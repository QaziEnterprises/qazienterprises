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00" tabRatio="916" firstSheet="73" activeTab="81"/>
  </bookViews>
  <sheets>
    <sheet name="Receivables list" sheetId="1" r:id="rId1"/>
    <sheet name="Aqua Refine " sheetId="136" r:id="rId2"/>
    <sheet name="Al Bayan Water " sheetId="81" r:id="rId3"/>
    <sheet name="Aqua Need" sheetId="141" r:id="rId4"/>
    <sheet name="Ab e Rose Water" sheetId="133" r:id="rId5"/>
    <sheet name="Aqua Musafi" sheetId="97" r:id="rId6"/>
    <sheet name="Al Javed Ice Factory" sheetId="96" r:id="rId7"/>
    <sheet name="Al Maida Water" sheetId="95" r:id="rId8"/>
    <sheet name="Ahmed N One water" sheetId="94" r:id="rId9"/>
    <sheet name="Al Shafi Water (Younas sb)" sheetId="93" r:id="rId10"/>
    <sheet name="Al Khidmat lodhran " sheetId="92" r:id="rId11"/>
    <sheet name="Al Khidmat Bwp" sheetId="91" r:id="rId12"/>
    <sheet name="Abshar Water" sheetId="90" r:id="rId13"/>
    <sheet name="Aqua Marine " sheetId="89" r:id="rId14"/>
    <sheet name="Ab e Hayat Plus" sheetId="88" r:id="rId15"/>
    <sheet name="Ajwah Water" sheetId="87" r:id="rId16"/>
    <sheet name="Aqsa Water" sheetId="86" r:id="rId17"/>
    <sheet name="Al Azam Water" sheetId="85" r:id="rId18"/>
    <sheet name="Aqua Santa" sheetId="84" r:id="rId19"/>
    <sheet name="Ahmed Ice Factory " sheetId="83" r:id="rId20"/>
    <sheet name="Aqua Shereen " sheetId="82" r:id="rId21"/>
    <sheet name="Alien Water( Bwp)" sheetId="79" r:id="rId22"/>
    <sheet name="Al Safina Water" sheetId="80" r:id="rId23"/>
    <sheet name="Alien Water( Lodhran)" sheetId="56" r:id="rId24"/>
    <sheet name="Al Nemat Water" sheetId="78" r:id="rId25"/>
    <sheet name="A.F Water" sheetId="77" r:id="rId26"/>
    <sheet name="Aswad Sb" sheetId="76" r:id="rId27"/>
    <sheet name="Ahsas Water " sheetId="98" r:id="rId28"/>
    <sheet name="Asia Homeyo Store" sheetId="117" r:id="rId29"/>
    <sheet name="Al Subhan Water" sheetId="75" r:id="rId30"/>
    <sheet name="Barcly Water" sheetId="10" r:id="rId31"/>
    <sheet name="Bling Water" sheetId="74" r:id="rId32"/>
    <sheet name="Bissimillah Senitary " sheetId="73" r:id="rId33"/>
    <sheet name="Berg Water New" sheetId="146" r:id="rId34"/>
    <sheet name="Berg Water" sheetId="130" r:id="rId35"/>
    <sheet name="Blue Ice " sheetId="72" r:id="rId36"/>
    <sheet name="Bwp Water" sheetId="71" r:id="rId37"/>
    <sheet name="BWMC" sheetId="70" r:id="rId38"/>
    <sheet name="Chand Agro" sheetId="69" r:id="rId39"/>
    <sheet name="Clean &amp; Clean" sheetId="123" r:id="rId40"/>
    <sheet name="Candy Water" sheetId="132" r:id="rId41"/>
    <sheet name="Crystal Water Bagouchi Pull" sheetId="122" r:id="rId42"/>
    <sheet name="Dar e Arqam " sheetId="68" r:id="rId43"/>
    <sheet name="1" sheetId="67" r:id="rId44"/>
    <sheet name="Ever Best" sheetId="124" r:id="rId45"/>
    <sheet name="Qari ajmal Sb" sheetId="66" r:id="rId46"/>
    <sheet name="2" sheetId="107" r:id="rId47"/>
    <sheet name="Haji Yousaf Sb" sheetId="103" r:id="rId48"/>
    <sheet name="Honey Water Dr Jameel" sheetId="104" r:id="rId49"/>
    <sheet name="Hunza Water " sheetId="106" r:id="rId50"/>
    <sheet name="Hayat Royal Water" sheetId="120" r:id="rId51"/>
    <sheet name="Ice Mountain " sheetId="127" r:id="rId52"/>
    <sheet name="Just Pure" sheetId="100" r:id="rId53"/>
    <sheet name="J Smart " sheetId="126" r:id="rId54"/>
    <sheet name="Kashif Askari Bank" sheetId="135" r:id="rId55"/>
    <sheet name="Moen Sb" sheetId="102" r:id="rId56"/>
    <sheet name="Mateen Sb" sheetId="101" r:id="rId57"/>
    <sheet name="Nero Water" sheetId="99" r:id="rId58"/>
    <sheet name="Nonari" sheetId="105" r:id="rId59"/>
    <sheet name="National Water" sheetId="57" r:id="rId60"/>
    <sheet name="Nayab Water" sheetId="131" r:id="rId61"/>
    <sheet name="Rohi Water" sheetId="129" r:id="rId62"/>
    <sheet name=" Shafi Water (Adnan sb)" sheetId="60" r:id="rId63"/>
    <sheet name="Sheikh Usman Sb" sheetId="2" r:id="rId64"/>
    <sheet name="TMA Ali Sb" sheetId="65" r:id="rId65"/>
    <sheet name="Umer Awan Sb" sheetId="108" r:id="rId66"/>
    <sheet name="Urban Water" sheetId="144" r:id="rId67"/>
    <sheet name="Waleed Sb BVH" sheetId="109" r:id="rId68"/>
    <sheet name="Yasir Sb" sheetId="111" r:id="rId69"/>
    <sheet name="ZYNG " sheetId="119" r:id="rId70"/>
    <sheet name="Zain Water" sheetId="110" r:id="rId71"/>
    <sheet name="Basharat Sb" sheetId="147" r:id="rId72"/>
    <sheet name="Yes Water" sheetId="137" r:id="rId73"/>
    <sheet name="Misclenous Customer List" sheetId="134" r:id="rId74"/>
    <sheet name="MD Foods" sheetId="148" r:id="rId75"/>
    <sheet name="Gysing Pak Water" sheetId="64" r:id="rId76"/>
    <sheet name="Usman Zubair." sheetId="113" r:id="rId77"/>
    <sheet name="Dr.Jameel Sab" sheetId="125" r:id="rId78"/>
    <sheet name="HB Water." sheetId="128" r:id="rId79"/>
    <sheet name="Sheet1" sheetId="138" r:id="rId80"/>
    <sheet name="Saboor sb Opal Water" sheetId="139" r:id="rId81"/>
    <sheet name="Star Light" sheetId="140" r:id="rId82"/>
    <sheet name="New SalSabeel BWP" sheetId="142" r:id="rId83"/>
    <sheet name="Qazi Irfan" sheetId="145" r:id="rId84"/>
    <sheet name="Harpal pure" sheetId="149" r:id="rId85"/>
    <sheet name="Al azam" sheetId="150" r:id="rId86"/>
    <sheet name="just pure 2" sheetId="151" r:id="rId8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Pani Gahr</author>
  </authors>
  <commentList>
    <comment ref="C19" authorId="0">
      <text>
        <r>
          <rPr>
            <b/>
            <sz val="9"/>
            <rFont val="Tahoma"/>
            <charset val="134"/>
          </rPr>
          <t>Pani Gahr:</t>
        </r>
        <r>
          <rPr>
            <sz val="9"/>
            <rFont val="Tahoma"/>
            <charset val="134"/>
          </rPr>
          <t xml:space="preserve">
For more reference
 see bill G1759
</t>
        </r>
      </text>
    </comment>
    <comment ref="E19" authorId="0">
      <text>
        <r>
          <rPr>
            <b/>
            <sz val="9"/>
            <rFont val="Tahoma"/>
            <charset val="134"/>
          </rPr>
          <t>Pani Gahr:</t>
        </r>
        <r>
          <rPr>
            <sz val="9"/>
            <rFont val="Tahoma"/>
            <charset val="134"/>
          </rPr>
          <t xml:space="preserve">
3000 + 800 From Bill G1759</t>
        </r>
      </text>
    </comment>
    <comment ref="E44" authorId="0">
      <text>
        <r>
          <rPr>
            <b/>
            <sz val="9"/>
            <rFont val="Tahoma"/>
            <charset val="134"/>
          </rPr>
          <t>Pani Gahr:</t>
        </r>
        <r>
          <rPr>
            <sz val="9"/>
            <rFont val="Tahoma"/>
            <charset val="134"/>
          </rPr>
          <t xml:space="preserve">
Received 25/11/24
</t>
        </r>
      </text>
    </comment>
  </commentList>
</comments>
</file>

<file path=xl/comments2.xml><?xml version="1.0" encoding="utf-8"?>
<comments xmlns="http://schemas.openxmlformats.org/spreadsheetml/2006/main">
  <authors>
    <author>Pani Gahr</author>
  </authors>
  <commentList>
    <comment ref="E33" authorId="0">
      <text>
        <r>
          <rPr>
            <b/>
            <sz val="9"/>
            <rFont val="Tahoma"/>
            <charset val="134"/>
          </rPr>
          <t>Pani Gahr:</t>
        </r>
        <r>
          <rPr>
            <sz val="9"/>
            <rFont val="Tahoma"/>
            <charset val="134"/>
          </rPr>
          <t xml:space="preserve">
(12/11/24)
</t>
        </r>
      </text>
    </comment>
  </commentList>
</comments>
</file>

<file path=xl/sharedStrings.xml><?xml version="1.0" encoding="utf-8"?>
<sst xmlns="http://schemas.openxmlformats.org/spreadsheetml/2006/main" count="7746" uniqueCount="3576">
  <si>
    <t>Receiveabl List</t>
  </si>
  <si>
    <t>S.NO</t>
  </si>
  <si>
    <t>PARTY NAME</t>
  </si>
  <si>
    <t>BALANCE</t>
  </si>
  <si>
    <t>Al Bayan Water</t>
  </si>
  <si>
    <t xml:space="preserve"> </t>
  </si>
  <si>
    <t>Ab e Rose Water</t>
  </si>
  <si>
    <t>Aqua Musafi</t>
  </si>
  <si>
    <t>Al Javaid Ice Factory</t>
  </si>
  <si>
    <t>Al Maida Water</t>
  </si>
  <si>
    <t>Ahmed N-One Water</t>
  </si>
  <si>
    <t>Al Khidmat Lodhran</t>
  </si>
  <si>
    <t>Al Khidmat BWP</t>
  </si>
  <si>
    <t>Al Shafi Water</t>
  </si>
  <si>
    <t>Aqua Refine</t>
  </si>
  <si>
    <t>Abshar Water</t>
  </si>
  <si>
    <t>Aqua Marine</t>
  </si>
  <si>
    <t>Ab e Hayat Plus</t>
  </si>
  <si>
    <t>Aqsa Water Chishti Sb</t>
  </si>
  <si>
    <t>Al Azam Water</t>
  </si>
  <si>
    <t>Aqua Santa</t>
  </si>
  <si>
    <t>Ahmed Ice Factory(LD)</t>
  </si>
  <si>
    <t>Aqua Shereen</t>
  </si>
  <si>
    <t>Alien Water Lodhran</t>
  </si>
  <si>
    <t>Alien Water Bwp</t>
  </si>
  <si>
    <t>A.F Water</t>
  </si>
  <si>
    <t>Aswad Sb</t>
  </si>
  <si>
    <t>Asia Homeo Store</t>
  </si>
  <si>
    <t>Ahsas Water</t>
  </si>
  <si>
    <t>Al Subhan Water</t>
  </si>
  <si>
    <t>Barcly Water</t>
  </si>
  <si>
    <t>Bling Water</t>
  </si>
  <si>
    <t xml:space="preserve">Bissmillah Senitary </t>
  </si>
  <si>
    <t>BWP Water</t>
  </si>
  <si>
    <t>Berg Water</t>
  </si>
  <si>
    <t xml:space="preserve">BWMC </t>
  </si>
  <si>
    <t>Chand Agro</t>
  </si>
  <si>
    <t>Candy Water</t>
  </si>
  <si>
    <t xml:space="preserve">Clean And Clean </t>
  </si>
  <si>
    <t xml:space="preserve">Dar E Arqam </t>
  </si>
  <si>
    <t xml:space="preserve"> Dr Aqua Water</t>
  </si>
  <si>
    <t>Ever Best</t>
  </si>
  <si>
    <t>Gysing  Pak Water</t>
  </si>
  <si>
    <t>Glorious Plus</t>
  </si>
  <si>
    <t>Hunza water</t>
  </si>
  <si>
    <t>Haji Yousaf Sb</t>
  </si>
  <si>
    <t xml:space="preserve">Ice Mountain </t>
  </si>
  <si>
    <t>Just Pure</t>
  </si>
  <si>
    <t>J Smart Water</t>
  </si>
  <si>
    <t>Kashif Sb-Water Shine</t>
  </si>
  <si>
    <t>Lasani Pure Water</t>
  </si>
  <si>
    <t>Hayat Royal Water</t>
  </si>
  <si>
    <t xml:space="preserve">Mateen Sb </t>
  </si>
  <si>
    <t>Moen Sb</t>
  </si>
  <si>
    <t>Nonari Water</t>
  </si>
  <si>
    <t>Nero Water</t>
  </si>
  <si>
    <t>National water</t>
  </si>
  <si>
    <t>Nestle Pure Water</t>
  </si>
  <si>
    <t>Naeem Crystal water</t>
  </si>
  <si>
    <t>Nayab Water</t>
  </si>
  <si>
    <t xml:space="preserve"> Qari Ajmal Sb</t>
  </si>
  <si>
    <t>Rohi Water</t>
  </si>
  <si>
    <t>Sheikh usman Sb</t>
  </si>
  <si>
    <t>Shafi Water</t>
  </si>
  <si>
    <t>Sawan Water</t>
  </si>
  <si>
    <t>Smart Water</t>
  </si>
  <si>
    <t>Tma Shamas Sb</t>
  </si>
  <si>
    <t>Tma Ali Sb</t>
  </si>
  <si>
    <t>Tanveer Chugtai Sb</t>
  </si>
  <si>
    <t>Umer Awan Sb</t>
  </si>
  <si>
    <t>Waleed Sb BVH</t>
  </si>
  <si>
    <t>Yes Water</t>
  </si>
  <si>
    <t>Yasir Water</t>
  </si>
  <si>
    <t>Zyng</t>
  </si>
  <si>
    <t>Zain Water</t>
  </si>
  <si>
    <t>Saboor Sb Opal Water</t>
  </si>
  <si>
    <t>Star Light</t>
  </si>
  <si>
    <t>New SalSabeel BWP</t>
  </si>
  <si>
    <t>Aqua Need</t>
  </si>
  <si>
    <t>Honey Water Jameel Sb</t>
  </si>
  <si>
    <t>TOTAL BALANCE</t>
  </si>
  <si>
    <t>LEDGER</t>
  </si>
  <si>
    <t>Account Holder's Name</t>
  </si>
  <si>
    <t xml:space="preserve">Aqua Refine </t>
  </si>
  <si>
    <t>Pg #</t>
  </si>
  <si>
    <t>New Reg (96)</t>
  </si>
  <si>
    <t>Date</t>
  </si>
  <si>
    <t>Ref No.</t>
  </si>
  <si>
    <t>Description</t>
  </si>
  <si>
    <t>Debit</t>
  </si>
  <si>
    <t>Credit</t>
  </si>
  <si>
    <t>Balance</t>
  </si>
  <si>
    <t>23/05/24</t>
  </si>
  <si>
    <t>F1859</t>
  </si>
  <si>
    <t>1.5L Bottle,..</t>
  </si>
  <si>
    <t>F1876</t>
  </si>
  <si>
    <t>1.5L Shoper</t>
  </si>
  <si>
    <t>30/05/24</t>
  </si>
  <si>
    <t>F1977</t>
  </si>
  <si>
    <t>30 mm Seal</t>
  </si>
  <si>
    <t>F1986</t>
  </si>
  <si>
    <t>IBFT</t>
  </si>
  <si>
    <t>Cash in Hand</t>
  </si>
  <si>
    <t>G58</t>
  </si>
  <si>
    <t>30 mm Caps,..</t>
  </si>
  <si>
    <t>1.5L Bottle Return
7/-@10.80</t>
  </si>
  <si>
    <t>G123</t>
  </si>
  <si>
    <t>13/06/24</t>
  </si>
  <si>
    <t>16/06/24</t>
  </si>
  <si>
    <t>G182</t>
  </si>
  <si>
    <t>20/6/24</t>
  </si>
  <si>
    <t>G193</t>
  </si>
  <si>
    <t>500ml-Caps,1.5 Bottle-Caps,..</t>
  </si>
  <si>
    <t>G195</t>
  </si>
  <si>
    <t>30mm Caps</t>
  </si>
  <si>
    <t>22/6/24</t>
  </si>
  <si>
    <t>G206</t>
  </si>
  <si>
    <t>1.5L-Caps,30mm caps,1.5L shoper</t>
  </si>
  <si>
    <t>25/6/24</t>
  </si>
  <si>
    <t>G237</t>
  </si>
  <si>
    <t>30mm caps,30mm seal, jumbo PPF, PPF 10"</t>
  </si>
  <si>
    <t>26/6/24</t>
  </si>
  <si>
    <t>29/6/24</t>
  </si>
  <si>
    <t>G271</t>
  </si>
  <si>
    <t>30mm caps, 30mm seal</t>
  </si>
  <si>
    <t>G290</t>
  </si>
  <si>
    <t>1.5L-Caps,30mm seal,1.5L shoper,500ml-caps,500ml shoper</t>
  </si>
  <si>
    <t>G313</t>
  </si>
  <si>
    <t>19L caps,1.5L- caps,500ml- caps</t>
  </si>
  <si>
    <t>G326</t>
  </si>
  <si>
    <t>30mmcaps,30mm seal, 1.5L shoper,500ml shoper</t>
  </si>
  <si>
    <t>G396</t>
  </si>
  <si>
    <t xml:space="preserve">19L Caps </t>
  </si>
  <si>
    <t>18/7/24</t>
  </si>
  <si>
    <t>G450</t>
  </si>
  <si>
    <t>500ml-Caps,500ml shoper,30mm caps</t>
  </si>
  <si>
    <t>15/7/24</t>
  </si>
  <si>
    <t>G643</t>
  </si>
  <si>
    <t>1.5L E, 500L, Shoper</t>
  </si>
  <si>
    <t>G1137</t>
  </si>
  <si>
    <t>Remaining Amount</t>
  </si>
  <si>
    <t>23/10/2024</t>
  </si>
  <si>
    <t>G1307</t>
  </si>
  <si>
    <t>29/10/24</t>
  </si>
  <si>
    <t>G1358</t>
  </si>
  <si>
    <t>500ml - Caps, 500ml Shoper, 30mm Caps</t>
  </si>
  <si>
    <t>31/10/24</t>
  </si>
  <si>
    <t>Amount Cancelled from IBFT</t>
  </si>
  <si>
    <t>G1408</t>
  </si>
  <si>
    <t>500ml E</t>
  </si>
  <si>
    <t>G1399</t>
  </si>
  <si>
    <t>IBFT received 10900 total amount is 11650</t>
  </si>
  <si>
    <t>G1428</t>
  </si>
  <si>
    <t xml:space="preserve">Total amount Bill G1428 39200 from which 20000 IBFT </t>
  </si>
  <si>
    <t>G1460</t>
  </si>
  <si>
    <t>1.5L - Caps</t>
  </si>
  <si>
    <t>Exp Sheet</t>
  </si>
  <si>
    <t>Cash Deposit</t>
  </si>
  <si>
    <t>19/10/24</t>
  </si>
  <si>
    <t xml:space="preserve"> Bill G1485 IBFT received 12500 from which 7120 Paid remaining amount deposit as old balance </t>
  </si>
  <si>
    <t>Filled Pet 500ml</t>
  </si>
  <si>
    <t>17/11/24</t>
  </si>
  <si>
    <t>G1550</t>
  </si>
  <si>
    <t>1.5L- Caps, 500ml - Caps</t>
  </si>
  <si>
    <t>3500 received remaining amount from bill G1550</t>
  </si>
  <si>
    <t>18/11/24</t>
  </si>
  <si>
    <t>23/11/24</t>
  </si>
  <si>
    <t>G1593</t>
  </si>
  <si>
    <t>24/11/24</t>
  </si>
  <si>
    <t>G1611</t>
  </si>
  <si>
    <t>500ml - Caps,1.5L - Caps</t>
  </si>
  <si>
    <t>25/11/24</t>
  </si>
  <si>
    <t>G1626</t>
  </si>
  <si>
    <t>28/11/24</t>
  </si>
  <si>
    <t>G1643</t>
  </si>
  <si>
    <t>G1649</t>
  </si>
  <si>
    <t>1.5L - Caps, 500ml - Caps</t>
  </si>
  <si>
    <t>30/11/24</t>
  </si>
  <si>
    <t>G1654</t>
  </si>
  <si>
    <t>500ml- Caps</t>
  </si>
  <si>
    <t>G1655</t>
  </si>
  <si>
    <t>G1671</t>
  </si>
  <si>
    <t>1.5L - Caps, 500ml - Caps,30mm seal,…</t>
  </si>
  <si>
    <t>Remaining Amount from Bill G1643</t>
  </si>
  <si>
    <t>Total amount received IBFT 10000 from which 2955 paid from Previous Bill G1626 and 8330 paid from bill G1643</t>
  </si>
  <si>
    <t>G1685</t>
  </si>
  <si>
    <t>IBFT + Cash</t>
  </si>
  <si>
    <t>Total amount received IBFT 18000 + Cash 2000 from which 7920 paid in Bill G1685 Remaining Amount deposit as old balance</t>
  </si>
  <si>
    <t>G1693</t>
  </si>
  <si>
    <t>1.5-Caps,500ml- Caps, 19L Bottle Pet,…..</t>
  </si>
  <si>
    <t>exp sh</t>
  </si>
  <si>
    <t>G1706</t>
  </si>
  <si>
    <t>G1677</t>
  </si>
  <si>
    <t>G1717</t>
  </si>
  <si>
    <t>G1724</t>
  </si>
  <si>
    <t>G1734</t>
  </si>
  <si>
    <t>G1737</t>
  </si>
  <si>
    <t>G1742</t>
  </si>
  <si>
    <t>1.5L- Caps, 1.5L Shoper</t>
  </si>
  <si>
    <t>Cash + E.P</t>
  </si>
  <si>
    <t>G1754</t>
  </si>
  <si>
    <t>G1756</t>
  </si>
  <si>
    <t>14/12/24</t>
  </si>
  <si>
    <t>G1775</t>
  </si>
  <si>
    <t>15/12/24</t>
  </si>
  <si>
    <t>G1783</t>
  </si>
  <si>
    <t>16/12/24</t>
  </si>
  <si>
    <t>G1793</t>
  </si>
  <si>
    <t>1.5L- Caps,30mm Caps</t>
  </si>
  <si>
    <t>17/12/24</t>
  </si>
  <si>
    <t>G1803</t>
  </si>
  <si>
    <t>G1812</t>
  </si>
  <si>
    <t>19/12/24</t>
  </si>
  <si>
    <t>G1826</t>
  </si>
  <si>
    <t>R.A Cash Deposit</t>
  </si>
  <si>
    <t>Total amount received 15000 from which 11415 paid in Bill G1826 Remaining Amount deposit as old balance</t>
  </si>
  <si>
    <t>G1830</t>
  </si>
  <si>
    <t>21/12/24</t>
  </si>
  <si>
    <t>G1832</t>
  </si>
  <si>
    <t>1.5L- Caps, 500ml - Caps,1.5L Shoper, 500ml Shoper</t>
  </si>
  <si>
    <t>G1839</t>
  </si>
  <si>
    <t>Total amount received 19000 from which 12940 paid in Bill G1839 Remaining Amount deposit as old balance</t>
  </si>
  <si>
    <t>22/12/2024</t>
  </si>
  <si>
    <t>G1847</t>
  </si>
  <si>
    <t>1.5L-Caps, 500ml- Caps,6L+ Caps</t>
  </si>
  <si>
    <t>23/12/24</t>
  </si>
  <si>
    <t>23/12/2024</t>
  </si>
  <si>
    <t>G1856</t>
  </si>
  <si>
    <t>Total amount received 12000 from which 8170 paid in Bill G1856 Remaining Amount deposit as old balance</t>
  </si>
  <si>
    <t>G1863</t>
  </si>
  <si>
    <t>30mm Seal</t>
  </si>
  <si>
    <t>G1865</t>
  </si>
  <si>
    <t>6L+ Caps</t>
  </si>
  <si>
    <t>24/12/24</t>
  </si>
  <si>
    <t>G1878</t>
  </si>
  <si>
    <t>25/12/24</t>
  </si>
  <si>
    <t>G1880</t>
  </si>
  <si>
    <t>26/12/24</t>
  </si>
  <si>
    <t>28/12/24</t>
  </si>
  <si>
    <t>G1896</t>
  </si>
  <si>
    <t>1.5L- Caps, 500ml - Caps, 6L + Caps,1.5L Shoper,…..</t>
  </si>
  <si>
    <t>G1892</t>
  </si>
  <si>
    <t>1.5L 500ml 6L,…</t>
  </si>
  <si>
    <t>G1908</t>
  </si>
  <si>
    <t>Total amount received 15000 from which 8160 paid in Bill G1908 Remaining Amount deposit as old balance</t>
  </si>
  <si>
    <t>29/12/24</t>
  </si>
  <si>
    <t>G1911</t>
  </si>
  <si>
    <t>1.5L-Caps,1.5L Shoper,30mm Caps</t>
  </si>
  <si>
    <t>G1914</t>
  </si>
  <si>
    <t>Total amount received 12400 from which 7380 paid in Bill G1914 Remaining Amount deposit as old balance</t>
  </si>
  <si>
    <t>30/12/24</t>
  </si>
  <si>
    <t>G1917</t>
  </si>
  <si>
    <t>G1922</t>
  </si>
  <si>
    <t>Exp Sh</t>
  </si>
  <si>
    <t>H3</t>
  </si>
  <si>
    <t>1.5L- Caps, 500ml- Caps,1.5L Shoper, Antiscalar</t>
  </si>
  <si>
    <t>H24</t>
  </si>
  <si>
    <t>1.5L-Caps, 500ml- Caps,6L+ Caps,…….</t>
  </si>
  <si>
    <t>20/10/24</t>
  </si>
  <si>
    <t>G1289</t>
  </si>
  <si>
    <t>H37</t>
  </si>
  <si>
    <t>H41</t>
  </si>
  <si>
    <t>14580 Bill H41 paid from the cash 15000 remaining amount deposited as old balance</t>
  </si>
  <si>
    <t>H52</t>
  </si>
  <si>
    <t>6L+Caps,1.5L-Caps,1.5L Shoper,30mm Caps</t>
  </si>
  <si>
    <t>H56</t>
  </si>
  <si>
    <t>1.5L-Caps,1.5L Shoper,30mm Caps,500ml shoper,….</t>
  </si>
  <si>
    <t>27/2/25</t>
  </si>
  <si>
    <t xml:space="preserve">Half Ton Plant Repairing Amount </t>
  </si>
  <si>
    <t>23/3/25</t>
  </si>
  <si>
    <t xml:space="preserve">Ledger Nill By Aqua Need </t>
  </si>
  <si>
    <t xml:space="preserve">Ledger Closed </t>
  </si>
  <si>
    <t xml:space="preserve">New Ledger Aqua Refine </t>
  </si>
  <si>
    <t>16/1/25</t>
  </si>
  <si>
    <t>H252</t>
  </si>
  <si>
    <t xml:space="preserve">Remaining Amount </t>
  </si>
  <si>
    <t>after paying 13000</t>
  </si>
  <si>
    <t>19/1/25</t>
  </si>
  <si>
    <t>H271</t>
  </si>
  <si>
    <t>after paying 14000</t>
  </si>
  <si>
    <t>Cash deposited</t>
  </si>
  <si>
    <t>26/1/25</t>
  </si>
  <si>
    <t>H342</t>
  </si>
  <si>
    <t>after paying 3000</t>
  </si>
  <si>
    <t>27/1/25</t>
  </si>
  <si>
    <t>29/1/25</t>
  </si>
  <si>
    <t>H364</t>
  </si>
  <si>
    <t>500ml- Caps, 1.5L- Caps, 1.5L Shoper, 500ml Shoper</t>
  </si>
  <si>
    <t>H450</t>
  </si>
  <si>
    <t>19L Caps, 30mm Caps</t>
  </si>
  <si>
    <t>H475</t>
  </si>
  <si>
    <t>500ml- Caps, 1.5L- Caps, 1.5L Shoper, 500ml Shoper,…</t>
  </si>
  <si>
    <t>15/2/25</t>
  </si>
  <si>
    <t>H537</t>
  </si>
  <si>
    <t>16/2/25</t>
  </si>
  <si>
    <t>24/3/25</t>
  </si>
  <si>
    <t>H913</t>
  </si>
  <si>
    <t>Slim PPF PPF 10" Jumbo PPF</t>
  </si>
  <si>
    <t>H916</t>
  </si>
  <si>
    <t>Ca, Mg, Na</t>
  </si>
  <si>
    <t>26/3/25</t>
  </si>
  <si>
    <t>H928</t>
  </si>
  <si>
    <t>27/3/25</t>
  </si>
  <si>
    <t>GRAND TOTAL</t>
  </si>
  <si>
    <t>New Reg(70)</t>
  </si>
  <si>
    <t xml:space="preserve">Old  Balnace </t>
  </si>
  <si>
    <t>New Reg (186)</t>
  </si>
  <si>
    <t>H426</t>
  </si>
  <si>
    <t>H448</t>
  </si>
  <si>
    <t>H446</t>
  </si>
  <si>
    <t>1.5L-Caps, 500ml- Caps, 6L + Caps</t>
  </si>
  <si>
    <t>H447</t>
  </si>
  <si>
    <t>H460</t>
  </si>
  <si>
    <t>Cash deposit</t>
  </si>
  <si>
    <t>H434</t>
  </si>
  <si>
    <t>Old Balance Received</t>
  </si>
  <si>
    <t>H472</t>
  </si>
  <si>
    <t>1.5L -Caps, 500ml - Caps</t>
  </si>
  <si>
    <t>H488</t>
  </si>
  <si>
    <t>1.5L- Caps, 500ml - caps, 6L+ Caps</t>
  </si>
  <si>
    <t>IBFT 50,000 deposited remaining amount deposit for plant</t>
  </si>
  <si>
    <t>H504</t>
  </si>
  <si>
    <t>13/2/25</t>
  </si>
  <si>
    <t>H524</t>
  </si>
  <si>
    <t>1.5L-Caps, 500ml- Caps</t>
  </si>
  <si>
    <t>H547</t>
  </si>
  <si>
    <t>H544</t>
  </si>
  <si>
    <t>18/2/25</t>
  </si>
  <si>
    <t>20/2/25</t>
  </si>
  <si>
    <t>H593</t>
  </si>
  <si>
    <t>1.5L-Caps, 500ml-Caps,500ml Seal</t>
  </si>
  <si>
    <t>19/2/25</t>
  </si>
  <si>
    <t>H586</t>
  </si>
  <si>
    <t xml:space="preserve">1.5L-Caps, </t>
  </si>
  <si>
    <t>25/2/25</t>
  </si>
  <si>
    <t>H644</t>
  </si>
  <si>
    <t>26/2/25</t>
  </si>
  <si>
    <t>H660</t>
  </si>
  <si>
    <t>6L+ Caps, 1.5L-Caps</t>
  </si>
  <si>
    <t>H667</t>
  </si>
  <si>
    <t>H693</t>
  </si>
  <si>
    <t>H728</t>
  </si>
  <si>
    <t>1.5L-Caps, 500ml -Caps</t>
  </si>
  <si>
    <t>H736</t>
  </si>
  <si>
    <t>1.5L-Caps, 500ml-Caps, Ca, Na</t>
  </si>
  <si>
    <t>H741</t>
  </si>
  <si>
    <t>H768</t>
  </si>
  <si>
    <t>H789</t>
  </si>
  <si>
    <t>16/3/25</t>
  </si>
  <si>
    <t>H830</t>
  </si>
  <si>
    <t>H832</t>
  </si>
  <si>
    <t>18/3/25</t>
  </si>
  <si>
    <t>H858</t>
  </si>
  <si>
    <t>1.5L-Caps, 500ml-Caps, 1.5L Shoper, 500ml Shoper</t>
  </si>
  <si>
    <t>19/3/25</t>
  </si>
  <si>
    <t>Ledger Nill 100,000 received and 38000 discount</t>
  </si>
  <si>
    <t>20/3/25</t>
  </si>
  <si>
    <t>H881</t>
  </si>
  <si>
    <t>22/3/25</t>
  </si>
  <si>
    <t>H885</t>
  </si>
  <si>
    <t>500ml-Caps, 1.5L-Caps, 1.5L Shoper,500ml Shoper, 30mm Caps</t>
  </si>
  <si>
    <t>H906</t>
  </si>
  <si>
    <t>H907</t>
  </si>
  <si>
    <t>Fill Pet Received</t>
  </si>
  <si>
    <t>25/3/25</t>
  </si>
  <si>
    <t>H923</t>
  </si>
  <si>
    <t>500ml-Caps, 1.5L-Caps, 1.5L Shoper,500ml Shoper, 30mmseal</t>
  </si>
  <si>
    <t>H927</t>
  </si>
  <si>
    <t>1.5L-Caps, 500ml-Caps,…</t>
  </si>
  <si>
    <t>H941</t>
  </si>
  <si>
    <t>500ml, 1.5L, Shoper</t>
  </si>
  <si>
    <t>H957</t>
  </si>
  <si>
    <t>29/3/25</t>
  </si>
  <si>
    <t>H961</t>
  </si>
  <si>
    <t>1.5L-Caps, 500ml-Caps, 30mm caps,….</t>
  </si>
  <si>
    <t>H977</t>
  </si>
  <si>
    <t>1.5L-Caps, 500ml-Caps, …</t>
  </si>
  <si>
    <t>30/3/25</t>
  </si>
  <si>
    <t>H979</t>
  </si>
  <si>
    <t>1.5L-Caps, 500ml-Caps,..</t>
  </si>
  <si>
    <t>H984</t>
  </si>
  <si>
    <t>500ml-caps, 6L+Caps</t>
  </si>
  <si>
    <t>H998</t>
  </si>
  <si>
    <t>1.5L, 500ml 1.5LShoper</t>
  </si>
  <si>
    <t>28/3/25</t>
  </si>
  <si>
    <t>Cash Recevied in Hand</t>
  </si>
  <si>
    <t>H1010</t>
  </si>
  <si>
    <t>H1019</t>
  </si>
  <si>
    <t>cash change remaining</t>
  </si>
  <si>
    <t>H1050</t>
  </si>
  <si>
    <t>6L+ Caps, 1.5L-Caps, Shoper</t>
  </si>
  <si>
    <t>H1046</t>
  </si>
  <si>
    <t xml:space="preserve">Jumbo PPF Quard </t>
  </si>
  <si>
    <t>H1078</t>
  </si>
  <si>
    <t>500ml - Caps</t>
  </si>
  <si>
    <t>H1073</t>
  </si>
  <si>
    <t>H1092</t>
  </si>
  <si>
    <t>H1102</t>
  </si>
  <si>
    <t>13/4/25</t>
  </si>
  <si>
    <t>H1115</t>
  </si>
  <si>
    <t>Shoper, Half liter packets,…</t>
  </si>
  <si>
    <t>H1152</t>
  </si>
  <si>
    <t>1.5L-Caps</t>
  </si>
  <si>
    <t>14/4/25</t>
  </si>
  <si>
    <t>H1177</t>
  </si>
  <si>
    <t>17/4/25</t>
  </si>
  <si>
    <t xml:space="preserve">IBFT  </t>
  </si>
  <si>
    <t>Text message</t>
  </si>
  <si>
    <t>Cash in Hand received by Dodh Wala</t>
  </si>
  <si>
    <t>H1225</t>
  </si>
  <si>
    <t>1.5L-Caps, 500ml-Caps</t>
  </si>
  <si>
    <t>16/4/25</t>
  </si>
  <si>
    <t>H1193</t>
  </si>
  <si>
    <t>H1237</t>
  </si>
  <si>
    <t>500ml Shoper, Na, Mg</t>
  </si>
  <si>
    <t>19/4/25</t>
  </si>
  <si>
    <t>H1253</t>
  </si>
  <si>
    <t>1.5LShoper, 19L Caps</t>
  </si>
  <si>
    <t>H1257</t>
  </si>
  <si>
    <t>6L+Caps</t>
  </si>
  <si>
    <t>H1263</t>
  </si>
  <si>
    <t>1.5LShoper, 30mm Caps</t>
  </si>
  <si>
    <t>20/4/25</t>
  </si>
  <si>
    <t>H1267</t>
  </si>
  <si>
    <t>Amount Received</t>
  </si>
  <si>
    <t>21/4/25</t>
  </si>
  <si>
    <t>H1293</t>
  </si>
  <si>
    <t>H1296</t>
  </si>
  <si>
    <t>30mmCaps, 1.5LShoper, 30mm caps.</t>
  </si>
  <si>
    <t>H1297</t>
  </si>
  <si>
    <t>1.5LSeal</t>
  </si>
  <si>
    <t>22/4/2025</t>
  </si>
  <si>
    <t>22/4/25</t>
  </si>
  <si>
    <t>H1322</t>
  </si>
  <si>
    <t>Shoper Pure Seal,..</t>
  </si>
  <si>
    <t>IBFT (Against Bill H1314)</t>
  </si>
  <si>
    <t>23/4/25</t>
  </si>
  <si>
    <t>19L Bottle</t>
  </si>
  <si>
    <t>24/4/25</t>
  </si>
  <si>
    <t>H1339</t>
  </si>
  <si>
    <t>1.5L-Caps, 500ml-Caps, 1.5L Seal, 500ml Seal</t>
  </si>
  <si>
    <t>26/4/25</t>
  </si>
  <si>
    <t>H1358</t>
  </si>
  <si>
    <t>1.5L Shoper, 30mm Seal, 30mm Caps</t>
  </si>
  <si>
    <t>27/4/25</t>
  </si>
  <si>
    <t>H1366</t>
  </si>
  <si>
    <t>H1381</t>
  </si>
  <si>
    <t>1.5L Seal, 500ml Seal</t>
  </si>
  <si>
    <t>28/4/25</t>
  </si>
  <si>
    <t>H1387</t>
  </si>
  <si>
    <t>1.5L-Caps, 500ml Seal</t>
  </si>
  <si>
    <t>H1388</t>
  </si>
  <si>
    <t>1.5L Shoper, 500ml Shoper</t>
  </si>
  <si>
    <t>29/4/25</t>
  </si>
  <si>
    <t>H1398</t>
  </si>
  <si>
    <t>Ca, 1.5L Shoper</t>
  </si>
  <si>
    <t>Cash deposit Cash in hand</t>
  </si>
  <si>
    <t>H1405</t>
  </si>
  <si>
    <t>H1410</t>
  </si>
  <si>
    <t>1.5L Shoper, 30mm Seal, 30mm Caps, 500ml Shoper, 12L Bottle</t>
  </si>
  <si>
    <t>30/4/25</t>
  </si>
  <si>
    <t>H1411</t>
  </si>
  <si>
    <t>H1418</t>
  </si>
  <si>
    <t>H1423</t>
  </si>
  <si>
    <t xml:space="preserve">Jumbo PPF </t>
  </si>
  <si>
    <t>H1430</t>
  </si>
  <si>
    <t>500ml Shoper</t>
  </si>
  <si>
    <t>H1432</t>
  </si>
  <si>
    <t>H1444</t>
  </si>
  <si>
    <t>1.5L-Caps, 30mm Caps, 19L Caps</t>
  </si>
  <si>
    <t>H1446</t>
  </si>
  <si>
    <t>30mm Caps, 1.5LShoper, 500ml Shoper</t>
  </si>
  <si>
    <t>H1502</t>
  </si>
  <si>
    <t>30mmCaps, 30mm seal, 1.5L Shoper, 500ml Shoper</t>
  </si>
  <si>
    <t>H1499</t>
  </si>
  <si>
    <t>H1522</t>
  </si>
  <si>
    <t>1.5L Shoper, 30mm Seal</t>
  </si>
  <si>
    <t>Cash in hand</t>
  </si>
  <si>
    <t>H1537</t>
  </si>
  <si>
    <t>1.5L-Caps, 1.5L Shoper, 500ml Shoper, 30mm Caps</t>
  </si>
  <si>
    <t>H1574</t>
  </si>
  <si>
    <t>1.5L-Caps, 1.5L Shoper, 30mm Seal, Ca, 30mm Caps</t>
  </si>
  <si>
    <t>H1586</t>
  </si>
  <si>
    <t xml:space="preserve">IBFT </t>
  </si>
  <si>
    <t>13/5/25</t>
  </si>
  <si>
    <t>Claim + disputed amount less</t>
  </si>
  <si>
    <t>H1605</t>
  </si>
  <si>
    <t xml:space="preserve">1.5L -Caps </t>
  </si>
  <si>
    <t>H1606</t>
  </si>
  <si>
    <t>H1624</t>
  </si>
  <si>
    <t>1.5L -Caps, 500ml - Caps,……</t>
  </si>
  <si>
    <t xml:space="preserve">1Ton RO plant complete cost </t>
  </si>
  <si>
    <t>Cash for RO plant</t>
  </si>
  <si>
    <t>Dispenser Amount</t>
  </si>
  <si>
    <t>Bakra Amount</t>
  </si>
  <si>
    <t xml:space="preserve">Cash to Naeem </t>
  </si>
  <si>
    <t>Bike 125 Amount</t>
  </si>
  <si>
    <t>14/5/25</t>
  </si>
  <si>
    <t>H1635</t>
  </si>
  <si>
    <t>1.5L-Caps, 500ml -Caps,1.5L Shoper, 500ml Shoper</t>
  </si>
  <si>
    <t>H1641</t>
  </si>
  <si>
    <t>500ml -Caps, 1.5L Caps, ,…</t>
  </si>
  <si>
    <t>15/5/25</t>
  </si>
  <si>
    <t>H1653</t>
  </si>
  <si>
    <t>0.5L Shoper, 30mm Caps,1.5L Caps CTN,…..</t>
  </si>
  <si>
    <t>17/5/25</t>
  </si>
  <si>
    <t>H1679</t>
  </si>
  <si>
    <t>1.5L -Caps</t>
  </si>
  <si>
    <t>H1680</t>
  </si>
  <si>
    <t>30mm Seal 1.5L Shoper</t>
  </si>
  <si>
    <t>18/5/25</t>
  </si>
  <si>
    <t>H1687</t>
  </si>
  <si>
    <t>Ball Valve3/4, 500ml -Caps</t>
  </si>
  <si>
    <t>H1693</t>
  </si>
  <si>
    <t>500ml-Caps, 1.5L-Caps, 30mm Caps,…..</t>
  </si>
  <si>
    <t>19/5/25</t>
  </si>
  <si>
    <t>20/5/25</t>
  </si>
  <si>
    <t>H1717</t>
  </si>
  <si>
    <t>H1718</t>
  </si>
  <si>
    <t>30mmCaps, 500ml Shoper, 1.5L Shoper, 500ml Shoper</t>
  </si>
  <si>
    <t>21/5/25</t>
  </si>
  <si>
    <t>H1725</t>
  </si>
  <si>
    <t>22/5/25</t>
  </si>
  <si>
    <t>H1738</t>
  </si>
  <si>
    <t>H1743</t>
  </si>
  <si>
    <t xml:space="preserve">1.5L Seal </t>
  </si>
  <si>
    <t>H1750</t>
  </si>
  <si>
    <t>1.5LShoper, 1.5L Seal, 30mm Caps, 500ml -Caps</t>
  </si>
  <si>
    <t>24/5/25</t>
  </si>
  <si>
    <t>H1767</t>
  </si>
  <si>
    <t>500ml Shoper, 1.5L seal, 30mm seal, 500ml Shoper</t>
  </si>
  <si>
    <t>25/5/25</t>
  </si>
  <si>
    <t>Cash deposit against Bill 1767</t>
  </si>
  <si>
    <t>27/5/25</t>
  </si>
  <si>
    <t>H1814</t>
  </si>
  <si>
    <t>H1822</t>
  </si>
  <si>
    <t>1.5LShoper, 500ml Shoper, 30mm Caps, 30mm Seal</t>
  </si>
  <si>
    <t>28/5/25</t>
  </si>
  <si>
    <t>H1843</t>
  </si>
  <si>
    <t>30mmCaps, 500ml Shoper, 1.5L Shoper, 30mm Seal</t>
  </si>
  <si>
    <t>29/5/25</t>
  </si>
  <si>
    <t>H1858</t>
  </si>
  <si>
    <t>1.5L Shoper, 500ml Shoper, 30mm Seal</t>
  </si>
  <si>
    <t xml:space="preserve">Qurbani Bakra </t>
  </si>
  <si>
    <t>17/6/25</t>
  </si>
  <si>
    <t>H183</t>
  </si>
  <si>
    <t>19/6/25</t>
  </si>
  <si>
    <t>13/8/2025</t>
  </si>
  <si>
    <t>15/8/2025</t>
  </si>
  <si>
    <t>25/8/2025</t>
  </si>
  <si>
    <t>I 878</t>
  </si>
  <si>
    <t>1.5L - Caps…..</t>
  </si>
  <si>
    <t>28/8/2025</t>
  </si>
  <si>
    <t>I 923</t>
  </si>
  <si>
    <t>31/8/2025</t>
  </si>
  <si>
    <t xml:space="preserve">Cash Deposit </t>
  </si>
  <si>
    <t>Old Reg(178)</t>
  </si>
  <si>
    <t>New Reg (141)</t>
  </si>
  <si>
    <t xml:space="preserve">Old Balance </t>
  </si>
  <si>
    <t>24/01/24</t>
  </si>
  <si>
    <t>14/02/24</t>
  </si>
  <si>
    <t>F739</t>
  </si>
  <si>
    <t>1.5L Bottle</t>
  </si>
  <si>
    <t>F742</t>
  </si>
  <si>
    <t>15/02/24</t>
  </si>
  <si>
    <t>F759</t>
  </si>
  <si>
    <t>19/02/24</t>
  </si>
  <si>
    <t>F794</t>
  </si>
  <si>
    <t>6L Bottle</t>
  </si>
  <si>
    <t>G149</t>
  </si>
  <si>
    <t>1.5 L Bottle,..</t>
  </si>
  <si>
    <t>500 ml Bottle,..</t>
  </si>
  <si>
    <t>27/7/24</t>
  </si>
  <si>
    <t>G529</t>
  </si>
  <si>
    <t>1.5L + caps, 500ml + caps,..</t>
  </si>
  <si>
    <t>G580</t>
  </si>
  <si>
    <t>5L+ caps, 500ml - caps, 1.5L-caps,…</t>
  </si>
  <si>
    <t>19L Used Bottle Purchase</t>
  </si>
  <si>
    <t>Al Javed Ice Factory</t>
  </si>
  <si>
    <t>New Reg(147)</t>
  </si>
  <si>
    <t>15/08/23</t>
  </si>
  <si>
    <t>F1247</t>
  </si>
  <si>
    <t>Sand,Jambo PPf,..</t>
  </si>
  <si>
    <t>F1592</t>
  </si>
  <si>
    <t>PPF 10",.</t>
  </si>
  <si>
    <t>New Reg(156)</t>
  </si>
  <si>
    <t>17/02/24</t>
  </si>
  <si>
    <t>F770</t>
  </si>
  <si>
    <t>36 Leak Bottle @85/-</t>
  </si>
  <si>
    <t>18/04/24</t>
  </si>
  <si>
    <t>F1436</t>
  </si>
  <si>
    <t>28/05/24</t>
  </si>
  <si>
    <t>F1939</t>
  </si>
  <si>
    <t>H1039</t>
  </si>
  <si>
    <t>Extra amount received through IBFT</t>
  </si>
  <si>
    <t>31/12/25</t>
  </si>
  <si>
    <t>j600</t>
  </si>
  <si>
    <t>19lbrush......</t>
  </si>
  <si>
    <t>Ahmed N One water</t>
  </si>
  <si>
    <t>New Reg(124)</t>
  </si>
  <si>
    <t>23/01/24</t>
  </si>
  <si>
    <t>F542</t>
  </si>
  <si>
    <t>27/01/24</t>
  </si>
  <si>
    <t>F566</t>
  </si>
  <si>
    <t>6L Bottle,..</t>
  </si>
  <si>
    <t>30/01/24</t>
  </si>
  <si>
    <t>F593</t>
  </si>
  <si>
    <t>F608</t>
  </si>
  <si>
    <t>F626</t>
  </si>
  <si>
    <t>F655</t>
  </si>
  <si>
    <t>F677</t>
  </si>
  <si>
    <t>F694</t>
  </si>
  <si>
    <t>F719</t>
  </si>
  <si>
    <t>14/2/24</t>
  </si>
  <si>
    <t>F749</t>
  </si>
  <si>
    <t>18/02/4</t>
  </si>
  <si>
    <t>F778</t>
  </si>
  <si>
    <t>18/02/24</t>
  </si>
  <si>
    <t>F784</t>
  </si>
  <si>
    <t>F767</t>
  </si>
  <si>
    <t>21/02/24</t>
  </si>
  <si>
    <t>F820</t>
  </si>
  <si>
    <t>24/02/24</t>
  </si>
  <si>
    <t>F845</t>
  </si>
  <si>
    <t>Loader Rickshaw</t>
  </si>
  <si>
    <t>27/02/24</t>
  </si>
  <si>
    <t>F888</t>
  </si>
  <si>
    <t>Calculation Mistake</t>
  </si>
  <si>
    <t>F934</t>
  </si>
  <si>
    <t>F952</t>
  </si>
  <si>
    <t>F976</t>
  </si>
  <si>
    <t>F1005</t>
  </si>
  <si>
    <t>F1017</t>
  </si>
  <si>
    <t>16/03/24</t>
  </si>
  <si>
    <t>F1082</t>
  </si>
  <si>
    <t>26/03/24</t>
  </si>
  <si>
    <t>F1178</t>
  </si>
  <si>
    <t>19L Bottle,..</t>
  </si>
  <si>
    <t>F1231</t>
  </si>
  <si>
    <t>04/04/024</t>
  </si>
  <si>
    <t>F1273</t>
  </si>
  <si>
    <t>F1305</t>
  </si>
  <si>
    <t>F1317</t>
  </si>
  <si>
    <t>13/04/24</t>
  </si>
  <si>
    <t>F1338</t>
  </si>
  <si>
    <t>14/04/24</t>
  </si>
  <si>
    <t>F1359</t>
  </si>
  <si>
    <t>F1430</t>
  </si>
  <si>
    <t>500 ml Bottle</t>
  </si>
  <si>
    <t>21/04/24</t>
  </si>
  <si>
    <t>F1463</t>
  </si>
  <si>
    <t>22/04/24</t>
  </si>
  <si>
    <t>F1597</t>
  </si>
  <si>
    <t>1.5L Shoper,.</t>
  </si>
  <si>
    <t>F1626</t>
  </si>
  <si>
    <t>F1697</t>
  </si>
  <si>
    <t>16/05/24</t>
  </si>
  <si>
    <t>F1781</t>
  </si>
  <si>
    <t>26/05/24</t>
  </si>
  <si>
    <t>F1302</t>
  </si>
  <si>
    <t>25/8/24</t>
  </si>
  <si>
    <t>G929</t>
  </si>
  <si>
    <t>Jumboo Houzing, PPF Jimbo,..</t>
  </si>
  <si>
    <t>15/8/24</t>
  </si>
  <si>
    <t>Plant Maintainence</t>
  </si>
  <si>
    <t>Al Shafi Water (Younas sb)</t>
  </si>
  <si>
    <t>New Reg(110)</t>
  </si>
  <si>
    <t>23/08/23</t>
  </si>
  <si>
    <t>E905</t>
  </si>
  <si>
    <t>26/08/23</t>
  </si>
  <si>
    <t>E953</t>
  </si>
  <si>
    <t>Flim Tech Memb,..</t>
  </si>
  <si>
    <t>G12</t>
  </si>
  <si>
    <t>14/7/24</t>
  </si>
  <si>
    <t>G426</t>
  </si>
  <si>
    <t>H902</t>
  </si>
  <si>
    <t>Amount Received by CCard=100,000 Cash they received =35000, Tax deducted=1800  (1.8%)</t>
  </si>
  <si>
    <t xml:space="preserve">Al Khidmat lodhran </t>
  </si>
  <si>
    <t>Old reg(76)</t>
  </si>
  <si>
    <t>18/01/24</t>
  </si>
  <si>
    <t>15/12/2024</t>
  </si>
  <si>
    <t>Exp sh</t>
  </si>
  <si>
    <t>Installment of plant</t>
  </si>
  <si>
    <t>total payment nill in haf ton plant</t>
  </si>
  <si>
    <t>Al Khidmat Bwp</t>
  </si>
  <si>
    <t>New Reg (23)</t>
  </si>
  <si>
    <t>F966</t>
  </si>
  <si>
    <t>Jambo PPf,..</t>
  </si>
  <si>
    <t>Net Cash Dep</t>
  </si>
  <si>
    <t>Cheque</t>
  </si>
  <si>
    <t>F1625</t>
  </si>
  <si>
    <t>14/05/24</t>
  </si>
  <si>
    <t>G304</t>
  </si>
  <si>
    <t>TDS meter claim</t>
  </si>
  <si>
    <t>cash deposit</t>
  </si>
  <si>
    <t xml:space="preserve">cash deposit </t>
  </si>
  <si>
    <t>H1778</t>
  </si>
  <si>
    <t>19L Caps</t>
  </si>
  <si>
    <t>I 35</t>
  </si>
  <si>
    <t>30/6/25</t>
  </si>
  <si>
    <t>I 164</t>
  </si>
  <si>
    <t xml:space="preserve">Plant Maintance </t>
  </si>
  <si>
    <t>22/7/25</t>
  </si>
  <si>
    <t>I 1089</t>
  </si>
  <si>
    <t>500ml+caps….</t>
  </si>
  <si>
    <t>28/9/2025</t>
  </si>
  <si>
    <t>I 1423</t>
  </si>
  <si>
    <t>j7</t>
  </si>
  <si>
    <t>flunch+membrane bush</t>
  </si>
  <si>
    <t>New Reg(58)</t>
  </si>
  <si>
    <t>E1103</t>
  </si>
  <si>
    <t>1.5L Bottle with Caps</t>
  </si>
  <si>
    <t>Plant Remaing Amount</t>
  </si>
  <si>
    <t>New Reg(150)</t>
  </si>
  <si>
    <t xml:space="preserve">Opening  Balnace </t>
  </si>
  <si>
    <t>`</t>
  </si>
  <si>
    <t>F652</t>
  </si>
  <si>
    <t>1.5L Shoper,..</t>
  </si>
  <si>
    <t>F1010</t>
  </si>
  <si>
    <t>Cash Dep</t>
  </si>
  <si>
    <t>New reg(27)</t>
  </si>
  <si>
    <t>18/10/24</t>
  </si>
  <si>
    <t>Add 20 L Can</t>
  </si>
  <si>
    <t>add , Diff</t>
  </si>
  <si>
    <t>Add</t>
  </si>
  <si>
    <t xml:space="preserve">Bill Diff </t>
  </si>
  <si>
    <t>F1355</t>
  </si>
  <si>
    <t>Ajwah Water</t>
  </si>
  <si>
    <t>Jumbo PPFGold, H.P Pump repairing,…Oold balance 3000, bill amount 22400, deposited 10,000</t>
  </si>
  <si>
    <t>19/10/25</t>
  </si>
  <si>
    <t>I 1703</t>
  </si>
  <si>
    <t>Aqsa Water</t>
  </si>
  <si>
    <t>Old Reg(179)</t>
  </si>
  <si>
    <t>18/10/21</t>
  </si>
  <si>
    <t xml:space="preserve">Old   Balnace </t>
  </si>
  <si>
    <t>Payment Rcv /cheq ky badly</t>
  </si>
  <si>
    <t>New Reg(165)</t>
  </si>
  <si>
    <t>20/11/23</t>
  </si>
  <si>
    <t>28/11/23</t>
  </si>
  <si>
    <t>F35</t>
  </si>
  <si>
    <t>Ca, Mg, Na,</t>
  </si>
  <si>
    <t>29/01/24</t>
  </si>
  <si>
    <t>F580</t>
  </si>
  <si>
    <t>Antiscaler</t>
  </si>
  <si>
    <t>1.5L Bottle ,Q=11200</t>
  </si>
  <si>
    <t>0.5L Bottle,Q=8500</t>
  </si>
  <si>
    <t>20/02/24</t>
  </si>
  <si>
    <t>F1025</t>
  </si>
  <si>
    <t>23/03/24</t>
  </si>
  <si>
    <t>F1141</t>
  </si>
  <si>
    <t xml:space="preserve">Less price witten in bill #F1141
</t>
  </si>
  <si>
    <t>28/04/24</t>
  </si>
  <si>
    <t>Discount</t>
  </si>
  <si>
    <t>Net Cash in Hand</t>
  </si>
  <si>
    <t>wall socket1 1/2",..</t>
  </si>
  <si>
    <t>Return Feed Pump in Bill #F1558</t>
  </si>
  <si>
    <t>24/7/24</t>
  </si>
  <si>
    <t>15/9/24</t>
  </si>
  <si>
    <t>G840</t>
  </si>
  <si>
    <t>500ml - caps, 30mm caps, 500ml Shoper</t>
  </si>
  <si>
    <t>H58</t>
  </si>
  <si>
    <t>Remaining Amount from 1875 after paying 1500</t>
  </si>
  <si>
    <t>Remaining Amount of RO Plant (Haji)</t>
  </si>
  <si>
    <t>H935</t>
  </si>
  <si>
    <t>Jumbo PPY 10</t>
  </si>
  <si>
    <t>I 255</t>
  </si>
  <si>
    <t>Jumbo PPF, Antiscalar, Ball Valve1", Sodium, Mg</t>
  </si>
  <si>
    <t>I 641</t>
  </si>
  <si>
    <t>1.5LShoper</t>
  </si>
  <si>
    <t>Aqua Santa &amp; Dolce</t>
  </si>
  <si>
    <t>Old Reg(180)</t>
  </si>
  <si>
    <t>23/05/3</t>
  </si>
  <si>
    <t xml:space="preserve">Old Balnace </t>
  </si>
  <si>
    <t>Ahmed Ice Factory (LD)</t>
  </si>
  <si>
    <t>Old Reg(182)</t>
  </si>
  <si>
    <t>15/07/3</t>
  </si>
  <si>
    <t>15/7/23</t>
  </si>
  <si>
    <t>E404</t>
  </si>
  <si>
    <t>24/7/23</t>
  </si>
  <si>
    <t>Purchase</t>
  </si>
  <si>
    <t xml:space="preserve">Memb Shell &amp; Feed Pump
</t>
  </si>
  <si>
    <t>30/7/24</t>
  </si>
  <si>
    <t>Pump Difference</t>
  </si>
  <si>
    <t xml:space="preserve">Fittings High Pressure Pump Online TDS Meter </t>
  </si>
  <si>
    <t xml:space="preserve"> 4 Sand Bags </t>
  </si>
  <si>
    <t>H1217</t>
  </si>
  <si>
    <t>Jumbo PPF</t>
  </si>
  <si>
    <t>H1239</t>
  </si>
  <si>
    <t>Elbow , Union, Plane socket,…</t>
  </si>
  <si>
    <t>H1302</t>
  </si>
  <si>
    <t>wall socket 1", F socket1", Mem washing chemical</t>
  </si>
  <si>
    <t xml:space="preserve">Aqua Shereen </t>
  </si>
  <si>
    <t>Old Reg(73)</t>
  </si>
  <si>
    <t>29/3/23</t>
  </si>
  <si>
    <t>Alien Water( Bwp)</t>
  </si>
  <si>
    <t>Old Reg (122)</t>
  </si>
  <si>
    <t>Al Safina Water</t>
  </si>
  <si>
    <t>Alien Water( Lodhran)</t>
  </si>
  <si>
    <t>Old reg(127)</t>
  </si>
  <si>
    <t>F1453</t>
  </si>
  <si>
    <t>Flim tech R.O Memb</t>
  </si>
  <si>
    <t>E.P</t>
  </si>
  <si>
    <t>14/9/24</t>
  </si>
  <si>
    <t>16/7/24</t>
  </si>
  <si>
    <t>H1133</t>
  </si>
  <si>
    <t>Mem Shell Seal (2)</t>
  </si>
  <si>
    <t>Al Nemat Water</t>
  </si>
  <si>
    <t>Old Reg(172)</t>
  </si>
  <si>
    <t>20/7/22</t>
  </si>
  <si>
    <t>Old Reg(106)</t>
  </si>
  <si>
    <t>PPF + PPF</t>
  </si>
  <si>
    <t>18/1/23</t>
  </si>
  <si>
    <t xml:space="preserve">PPF </t>
  </si>
  <si>
    <t>GAC, CTO</t>
  </si>
  <si>
    <t>23/3/23</t>
  </si>
  <si>
    <t>membrane100G</t>
  </si>
  <si>
    <t>PPF</t>
  </si>
  <si>
    <t>E739</t>
  </si>
  <si>
    <t>E1092</t>
  </si>
  <si>
    <t>E1808</t>
  </si>
  <si>
    <t>F762</t>
  </si>
  <si>
    <t>PPF 10"</t>
  </si>
  <si>
    <t>G50</t>
  </si>
  <si>
    <t>21/8/24</t>
  </si>
  <si>
    <t>G897</t>
  </si>
  <si>
    <t>Membrane100G, flow Valve,..</t>
  </si>
  <si>
    <t>14/10/24</t>
  </si>
  <si>
    <t>G1233</t>
  </si>
  <si>
    <t xml:space="preserve">Simple Valve 6mm </t>
  </si>
  <si>
    <t>15/1/25</t>
  </si>
  <si>
    <t>H243</t>
  </si>
  <si>
    <t>R.O Filteration</t>
  </si>
  <si>
    <t>13/3/25</t>
  </si>
  <si>
    <t>H1060</t>
  </si>
  <si>
    <t xml:space="preserve">Flow Wall, Pipe6mm , R.O Set </t>
  </si>
  <si>
    <t>H1944</t>
  </si>
  <si>
    <t>Old Reg (70)</t>
  </si>
  <si>
    <t>Old Reg (64)</t>
  </si>
  <si>
    <t>15/06/22</t>
  </si>
  <si>
    <t>New Reg (28)</t>
  </si>
  <si>
    <t>27/12/23</t>
  </si>
  <si>
    <t>F320</t>
  </si>
  <si>
    <t>P</t>
  </si>
  <si>
    <t>20/01/24</t>
  </si>
  <si>
    <t>F521(Rashid)</t>
  </si>
  <si>
    <t>adding  19L Bottle</t>
  </si>
  <si>
    <t>Barcly</t>
  </si>
  <si>
    <t>New Reg (137)</t>
  </si>
  <si>
    <t>F543</t>
  </si>
  <si>
    <t>F547</t>
  </si>
  <si>
    <t>1.5L+500 ml fill Pet</t>
  </si>
  <si>
    <t>F584</t>
  </si>
  <si>
    <t>500 ml Btl,..</t>
  </si>
  <si>
    <t>F618</t>
  </si>
  <si>
    <t>F664</t>
  </si>
  <si>
    <t>Ca,30mm Caps,.</t>
  </si>
  <si>
    <t>F671</t>
  </si>
  <si>
    <t>Shahid Turbine Net Deposit</t>
  </si>
  <si>
    <t>Uncle Farooq</t>
  </si>
  <si>
    <t>Cash Dep to Customer Minus From Ledger</t>
  </si>
  <si>
    <t>Net Cash Deposit</t>
  </si>
  <si>
    <t>Mobile &amp; Commision</t>
  </si>
  <si>
    <t>Deposit</t>
  </si>
  <si>
    <t>F690</t>
  </si>
  <si>
    <t>Ca,Mg,Na,…</t>
  </si>
  <si>
    <t>F702</t>
  </si>
  <si>
    <t>F755</t>
  </si>
  <si>
    <t>Ca,500 ml Bottle,..</t>
  </si>
  <si>
    <t>F774</t>
  </si>
  <si>
    <t>Washing Membrane with all chemicals,lab</t>
  </si>
  <si>
    <t xml:space="preserve"> Fill Pet</t>
  </si>
  <si>
    <t>22/02/24</t>
  </si>
  <si>
    <t>F842</t>
  </si>
  <si>
    <t>Caps,Shoper,…</t>
  </si>
  <si>
    <t xml:space="preserve">6mm Wire </t>
  </si>
  <si>
    <t>29/02/24</t>
  </si>
  <si>
    <t>Rcv From Bor</t>
  </si>
  <si>
    <t>F908</t>
  </si>
  <si>
    <t>F947</t>
  </si>
  <si>
    <t>F958</t>
  </si>
  <si>
    <t>F981</t>
  </si>
  <si>
    <t>Ca,1.5L Shoper</t>
  </si>
  <si>
    <t>F985</t>
  </si>
  <si>
    <t>500 ml Fill Pet (Purchase)</t>
  </si>
  <si>
    <t>500 ml Bottle(Return)</t>
  </si>
  <si>
    <t>Rickshaw Rent</t>
  </si>
  <si>
    <t>F1002</t>
  </si>
  <si>
    <t>F1026</t>
  </si>
  <si>
    <t>Plant Washing Chemical +Labr</t>
  </si>
  <si>
    <t>23/02/24</t>
  </si>
  <si>
    <t>Jazz Cash</t>
  </si>
  <si>
    <t>14/03/24</t>
  </si>
  <si>
    <t>F1070</t>
  </si>
  <si>
    <t>Washing with Chemicals+1abr</t>
  </si>
  <si>
    <t>19L Bottle(Rehan )</t>
  </si>
  <si>
    <t>F1039</t>
  </si>
  <si>
    <t>F1021</t>
  </si>
  <si>
    <t>Return 7 Pet of 500 ml Bottle</t>
  </si>
  <si>
    <t>28/03/24</t>
  </si>
  <si>
    <t>F1190</t>
  </si>
  <si>
    <t>Ca,Mg</t>
  </si>
  <si>
    <t>31/03/24</t>
  </si>
  <si>
    <t>F1216</t>
  </si>
  <si>
    <t>Memb washing with chemical,..</t>
  </si>
  <si>
    <t xml:space="preserve">Remaining Pyment of 8 Panels </t>
  </si>
  <si>
    <t>F1334</t>
  </si>
  <si>
    <t>Ca, mg, Na</t>
  </si>
  <si>
    <t>15/04/24</t>
  </si>
  <si>
    <t>F1375</t>
  </si>
  <si>
    <t>Ca, mg</t>
  </si>
  <si>
    <t xml:space="preserve">Paid Bill #F1375 when Deposited 30000 for 19L Pet Bottle
</t>
  </si>
  <si>
    <t xml:space="preserve">  </t>
  </si>
  <si>
    <t>Pyment of Solar Panels</t>
  </si>
  <si>
    <t>23/04/24</t>
  </si>
  <si>
    <t>F1481</t>
  </si>
  <si>
    <t>Ca</t>
  </si>
  <si>
    <t>24/04/24</t>
  </si>
  <si>
    <t>F1507</t>
  </si>
  <si>
    <t>19L Caps,..</t>
  </si>
  <si>
    <t>25/04/24</t>
  </si>
  <si>
    <t>F1510</t>
  </si>
  <si>
    <t>F1497</t>
  </si>
  <si>
    <t>Jambo PPF,..</t>
  </si>
  <si>
    <t>29/04/24</t>
  </si>
  <si>
    <t>Cash Dep.</t>
  </si>
  <si>
    <t>F1643</t>
  </si>
  <si>
    <t>F1696</t>
  </si>
  <si>
    <t>Ca,Mg,Na</t>
  </si>
  <si>
    <t>Nill</t>
  </si>
  <si>
    <t>F1783</t>
  </si>
  <si>
    <t>Na</t>
  </si>
  <si>
    <t>F1853</t>
  </si>
  <si>
    <t>F1877</t>
  </si>
  <si>
    <t>Ca,na,Mg</t>
  </si>
  <si>
    <t>F1878</t>
  </si>
  <si>
    <t>19L pet bottle</t>
  </si>
  <si>
    <t>G349</t>
  </si>
  <si>
    <t>jinko mono 590W, 590*45, stand L2,L3</t>
  </si>
  <si>
    <t>Deduct from Solar Commission</t>
  </si>
  <si>
    <t>28/7/24</t>
  </si>
  <si>
    <t>G926</t>
  </si>
  <si>
    <t>Remaining payment</t>
  </si>
  <si>
    <t>24/8/24</t>
  </si>
  <si>
    <t>G919</t>
  </si>
  <si>
    <t>Ca, Mg</t>
  </si>
  <si>
    <t>G1129</t>
  </si>
  <si>
    <t>19L Caps, 19L Lids, Ca, Mg, Na, Antiscalar, PPF Slim</t>
  </si>
  <si>
    <t>Old Balance of Solar</t>
  </si>
  <si>
    <t>22/1/25</t>
  </si>
  <si>
    <t>H303</t>
  </si>
  <si>
    <t>25/1/25</t>
  </si>
  <si>
    <t>Repairing of Inverters 2 times</t>
  </si>
  <si>
    <t>Mobile Installment</t>
  </si>
  <si>
    <t>Old Reg(96)</t>
  </si>
  <si>
    <t>21/01/24</t>
  </si>
  <si>
    <t>F527</t>
  </si>
  <si>
    <t>Easypaisa</t>
  </si>
  <si>
    <t>F676</t>
  </si>
  <si>
    <t>500 ml Shoper</t>
  </si>
  <si>
    <t>F1029</t>
  </si>
  <si>
    <t>F1030</t>
  </si>
  <si>
    <t>19/03/24</t>
  </si>
  <si>
    <t>F1495</t>
  </si>
  <si>
    <t>F1505</t>
  </si>
  <si>
    <t>1.5L, Ozonator new</t>
  </si>
  <si>
    <t>IBFT (1000 Cash)</t>
  </si>
  <si>
    <t>F1862</t>
  </si>
  <si>
    <t>19L Pet Bottle,..</t>
  </si>
  <si>
    <t xml:space="preserve">Bissimillah Senitary </t>
  </si>
  <si>
    <t>Old Reg(154)</t>
  </si>
  <si>
    <t>10" PPF Local</t>
  </si>
  <si>
    <t>old Reg(146)</t>
  </si>
  <si>
    <t>H1901</t>
  </si>
  <si>
    <t>Remaining Amount of Ampler, Bot Seal, Labour</t>
  </si>
  <si>
    <t>22/6/25</t>
  </si>
  <si>
    <t>I 69</t>
  </si>
  <si>
    <t>23/10/23</t>
  </si>
  <si>
    <t>Window work</t>
  </si>
  <si>
    <t>18/9/24</t>
  </si>
  <si>
    <t>G863</t>
  </si>
  <si>
    <t>19L Caps, 19L Lids, 19L Seal</t>
  </si>
  <si>
    <t>30/10/24</t>
  </si>
  <si>
    <t>G1370</t>
  </si>
  <si>
    <t>G1376</t>
  </si>
  <si>
    <t>19L Caps, 19L Lids, 19L Seal, 19L Bush</t>
  </si>
  <si>
    <t>G1383</t>
  </si>
  <si>
    <t xml:space="preserve">Discount </t>
  </si>
  <si>
    <t>Amount Deposited from Machine</t>
  </si>
  <si>
    <t>16/11/24</t>
  </si>
  <si>
    <t xml:space="preserve">Blue Ice </t>
  </si>
  <si>
    <t>G440</t>
  </si>
  <si>
    <t>Jumbo hozing, antiscaler</t>
  </si>
  <si>
    <t>Bwp Water</t>
  </si>
  <si>
    <t>Old Reg(109)</t>
  </si>
  <si>
    <t>28/5/21</t>
  </si>
  <si>
    <t>21/11/24</t>
  </si>
  <si>
    <t>G1588</t>
  </si>
  <si>
    <t>1.5L + Caps, 1.5L Shoper</t>
  </si>
  <si>
    <t>BWMC</t>
  </si>
  <si>
    <t>New Reg (59)</t>
  </si>
  <si>
    <t>26/06/23</t>
  </si>
  <si>
    <t>E92</t>
  </si>
  <si>
    <t>F.M Socket,..</t>
  </si>
  <si>
    <t>E355</t>
  </si>
  <si>
    <t>Gate Valve,…</t>
  </si>
  <si>
    <t>E383</t>
  </si>
  <si>
    <t>PPf Slim,..</t>
  </si>
  <si>
    <t>21/10/23</t>
  </si>
  <si>
    <t>Chand Agro Chemicals</t>
  </si>
  <si>
    <t>New Reg(167)</t>
  </si>
  <si>
    <t>PPF 10",..</t>
  </si>
  <si>
    <t>Carbon Stage,..</t>
  </si>
  <si>
    <t>15/11/22</t>
  </si>
  <si>
    <t>16/11/22</t>
  </si>
  <si>
    <t>Slim PPf,..</t>
  </si>
  <si>
    <t>13/12/22</t>
  </si>
  <si>
    <t>20/02/23</t>
  </si>
  <si>
    <t>Half Ton Plant Membrane Washing</t>
  </si>
  <si>
    <t>18/03/23</t>
  </si>
  <si>
    <t>2 Ton RO Plant</t>
  </si>
  <si>
    <t>Jambo PPf</t>
  </si>
  <si>
    <t>E172</t>
  </si>
  <si>
    <t>HP Pump4*12,..</t>
  </si>
  <si>
    <t>E1022</t>
  </si>
  <si>
    <t xml:space="preserve">Solar Bills </t>
  </si>
  <si>
    <t>Office Solar Plant</t>
  </si>
  <si>
    <t>Usman Sb(House)</t>
  </si>
  <si>
    <t>CAC 61DB(Madrasa)</t>
  </si>
  <si>
    <t>Ch Sarwar House</t>
  </si>
  <si>
    <t>Chand Agro Lab</t>
  </si>
  <si>
    <t>Net Metring Factory+Home</t>
  </si>
  <si>
    <t>Cheque Rcv</t>
  </si>
  <si>
    <t>Cash Rcv</t>
  </si>
  <si>
    <t>Car</t>
  </si>
  <si>
    <t>27/09/23</t>
  </si>
  <si>
    <t>F1389</t>
  </si>
  <si>
    <t>washing Chemical,..</t>
  </si>
  <si>
    <t>30/09/23</t>
  </si>
  <si>
    <t>F1418</t>
  </si>
  <si>
    <t>Chemicals,..</t>
  </si>
  <si>
    <t>14/11/23</t>
  </si>
  <si>
    <t>F1928</t>
  </si>
  <si>
    <t>Pump Amparrel,..</t>
  </si>
  <si>
    <t>18/11/23</t>
  </si>
  <si>
    <t>F1951</t>
  </si>
  <si>
    <t>Union 1",..</t>
  </si>
  <si>
    <t>F112</t>
  </si>
  <si>
    <t>17/01/24</t>
  </si>
  <si>
    <t>F528</t>
  </si>
  <si>
    <t>Vagan R</t>
  </si>
  <si>
    <t>28/02/24</t>
  </si>
  <si>
    <t>F901</t>
  </si>
  <si>
    <t>Wasing Chemical+Labr</t>
  </si>
  <si>
    <t>Baba Khursheed wala jo abhi ana ha</t>
  </si>
  <si>
    <t>Cheque Rcv Already</t>
  </si>
  <si>
    <t>Garu Vagan R</t>
  </si>
  <si>
    <t>Tracktor 2 adad</t>
  </si>
  <si>
    <t>Tracktor fee 2 Garian</t>
  </si>
  <si>
    <t>F1027</t>
  </si>
  <si>
    <t>New vessel 16*65,..</t>
  </si>
  <si>
    <t>16/04/24</t>
  </si>
  <si>
    <t>F1388</t>
  </si>
  <si>
    <t>Memb washing Chemical,..</t>
  </si>
  <si>
    <t>F1551</t>
  </si>
  <si>
    <t>washing memb 137,..</t>
  </si>
  <si>
    <t>F1671</t>
  </si>
  <si>
    <t>Multi Port Valve</t>
  </si>
  <si>
    <t>F1852</t>
  </si>
  <si>
    <t>Wall Socket 1*1/4",..</t>
  </si>
  <si>
    <t>F1855</t>
  </si>
  <si>
    <t>Wall Socket 1*1/2",..</t>
  </si>
  <si>
    <t>F1312</t>
  </si>
  <si>
    <t>F1985</t>
  </si>
  <si>
    <t>Inverter Rep Fronus</t>
  </si>
  <si>
    <t>G110</t>
  </si>
  <si>
    <t xml:space="preserve">20/6/24 </t>
  </si>
  <si>
    <t>G198</t>
  </si>
  <si>
    <t>500ml B+C+L</t>
  </si>
  <si>
    <t>20/7/24</t>
  </si>
  <si>
    <t>G454</t>
  </si>
  <si>
    <t>Received from Car Amount</t>
  </si>
  <si>
    <t>H687</t>
  </si>
  <si>
    <t>R.O Set</t>
  </si>
  <si>
    <t>H688</t>
  </si>
  <si>
    <t>Solar Labour</t>
  </si>
  <si>
    <t>Clean &amp; Clean</t>
  </si>
  <si>
    <t>Old Reg(97)</t>
  </si>
  <si>
    <t>Old Reg(159)</t>
  </si>
  <si>
    <t>23/11/23</t>
  </si>
  <si>
    <t>F507</t>
  </si>
  <si>
    <t>Auto Switch</t>
  </si>
  <si>
    <t>5L Bottle (4000 btl,Rate=32/-)</t>
  </si>
  <si>
    <t>IBFT(Send to customer acc)</t>
  </si>
  <si>
    <t>F816</t>
  </si>
  <si>
    <t>F940</t>
  </si>
  <si>
    <t>19/05/24</t>
  </si>
  <si>
    <t>Plant Rep, New Memb ,etc</t>
  </si>
  <si>
    <t>G31</t>
  </si>
  <si>
    <t>Mg,Na</t>
  </si>
  <si>
    <t>G341</t>
  </si>
  <si>
    <t>Chlorine tab, Mg,Na</t>
  </si>
  <si>
    <t>26/9/24</t>
  </si>
  <si>
    <t>G1064</t>
  </si>
  <si>
    <t>17/10/24</t>
  </si>
  <si>
    <t>G1265</t>
  </si>
  <si>
    <t>Qazi sb</t>
  </si>
  <si>
    <t>IBFT received</t>
  </si>
  <si>
    <t>H1692</t>
  </si>
  <si>
    <t>Absolute 20", Jumbo PPF</t>
  </si>
  <si>
    <t>24/6/2025</t>
  </si>
  <si>
    <t>We Recived</t>
  </si>
  <si>
    <t>1.5L Bottles 70*30 Packet</t>
  </si>
  <si>
    <t xml:space="preserve">0.5L Bottles 170*15 Packet </t>
  </si>
  <si>
    <t>6L Bottles 18*120 Packet</t>
  </si>
  <si>
    <t xml:space="preserve">5L bottles 20*30 Packet </t>
  </si>
  <si>
    <t>I 1474</t>
  </si>
  <si>
    <t>30mm caps….</t>
  </si>
  <si>
    <t>Crystal Water Bagouchi Pull</t>
  </si>
  <si>
    <t>Old Reg(94)</t>
  </si>
  <si>
    <t xml:space="preserve">Dar e Arqam </t>
  </si>
  <si>
    <t>New Reg(24)</t>
  </si>
  <si>
    <t>Kids School fees</t>
  </si>
  <si>
    <t xml:space="preserve">Car Vaganr Amount </t>
  </si>
  <si>
    <t>20/7/2024</t>
  </si>
  <si>
    <t>Costomer Ledger</t>
  </si>
  <si>
    <t>Membranes 8*40</t>
  </si>
  <si>
    <t xml:space="preserve">Media Change with Iron Removal, Gravels+Sand </t>
  </si>
  <si>
    <t>15/5/2025</t>
  </si>
  <si>
    <t xml:space="preserve">Old Balance of Cheque </t>
  </si>
  <si>
    <t>30/7/2024</t>
  </si>
  <si>
    <r>
      <rPr>
        <sz val="11"/>
        <color theme="1"/>
        <rFont val="Times New Roman"/>
        <charset val="134"/>
      </rPr>
      <t xml:space="preserve">Remaining Amount from Quotation for Zubair sb Yazman Madarsa </t>
    </r>
    <r>
      <rPr>
        <sz val="12"/>
        <color theme="1"/>
        <rFont val="Times New Roman"/>
        <charset val="134"/>
      </rPr>
      <t xml:space="preserve"> </t>
    </r>
  </si>
  <si>
    <t>Solar Remaning Amount of Usman sb House Yazman</t>
  </si>
  <si>
    <t>H 687</t>
  </si>
  <si>
    <t>R.O Filtration</t>
  </si>
  <si>
    <t>H 688</t>
  </si>
  <si>
    <t xml:space="preserve">Solar Labour </t>
  </si>
  <si>
    <t>20/4/2025</t>
  </si>
  <si>
    <t>H 1280</t>
  </si>
  <si>
    <t>Mem 100G, Flow Valve, R.O Filtration System</t>
  </si>
  <si>
    <t>H1965</t>
  </si>
  <si>
    <t xml:space="preserve">500ml + Caps </t>
  </si>
  <si>
    <t>Total Payable Amount= 164770</t>
  </si>
  <si>
    <t>Old Reg(104)</t>
  </si>
  <si>
    <t>17/04/22</t>
  </si>
  <si>
    <t>Qari Ajmal sb</t>
  </si>
  <si>
    <t>New Reg (60)</t>
  </si>
  <si>
    <t>13/02/24</t>
  </si>
  <si>
    <t>25/05/24</t>
  </si>
  <si>
    <t>F1881</t>
  </si>
  <si>
    <t>1.5L Botthle</t>
  </si>
  <si>
    <t>G644</t>
  </si>
  <si>
    <t>500ml + Caps, 500ml Shoper</t>
  </si>
  <si>
    <t>G1139</t>
  </si>
  <si>
    <t>21/10/24</t>
  </si>
  <si>
    <t>G1287</t>
  </si>
  <si>
    <t>G1410</t>
  </si>
  <si>
    <t>5L E+ C</t>
  </si>
  <si>
    <t>H546</t>
  </si>
  <si>
    <t>H1004</t>
  </si>
  <si>
    <t>H1409</t>
  </si>
  <si>
    <t>3 Cars dobule Biomatric</t>
  </si>
  <si>
    <t>1 Car Single Biomatric</t>
  </si>
  <si>
    <t xml:space="preserve">Total </t>
  </si>
  <si>
    <t xml:space="preserve">Number Plates </t>
  </si>
  <si>
    <t>Biscuts (Chases Number Plates 2 Cars</t>
  </si>
  <si>
    <t>Total</t>
  </si>
  <si>
    <t>Total Receivable Amount = 296,000</t>
  </si>
  <si>
    <t>New Reg(89)</t>
  </si>
  <si>
    <t>Old Balance</t>
  </si>
  <si>
    <t>Honey Water Dr Jameel</t>
  </si>
  <si>
    <t>New Reg(90)</t>
  </si>
  <si>
    <t>28/10/24</t>
  </si>
  <si>
    <t>G1354</t>
  </si>
  <si>
    <t>14/6/25</t>
  </si>
  <si>
    <t>15/6/25</t>
  </si>
  <si>
    <t>H155</t>
  </si>
  <si>
    <t>H200</t>
  </si>
  <si>
    <t>500ml-Caps, 1.5L-Caps, 1.5L Shoper, 500ml Shoper, 30mm Caps</t>
  </si>
  <si>
    <t>I 39</t>
  </si>
  <si>
    <t>1.5L Caps, 500ml Caps,1.5L shoper,….</t>
  </si>
  <si>
    <t>21/6/25</t>
  </si>
  <si>
    <t>I59</t>
  </si>
  <si>
    <t>1.5L Shoper, 500ml Seal</t>
  </si>
  <si>
    <t>24/6/25</t>
  </si>
  <si>
    <t>I 72</t>
  </si>
  <si>
    <t>1.5L Seal, 1.5L Shoper</t>
  </si>
  <si>
    <t>25/6/25</t>
  </si>
  <si>
    <t>IBFT+ Cash</t>
  </si>
  <si>
    <t>I 93</t>
  </si>
  <si>
    <t>I 209</t>
  </si>
  <si>
    <t>500ml seal, 1.5L Seal</t>
  </si>
  <si>
    <t>I 266</t>
  </si>
  <si>
    <t>30mm Caps, 1.5L Shoper, 500nl Shoper</t>
  </si>
  <si>
    <t>I 299</t>
  </si>
  <si>
    <t>I 327</t>
  </si>
  <si>
    <t>1.5L-Caps, 1.5L Seal, 1.5L Shoper</t>
  </si>
  <si>
    <t>16/7/25</t>
  </si>
  <si>
    <t>I 374</t>
  </si>
  <si>
    <t>15/7/25</t>
  </si>
  <si>
    <t>20/7/25</t>
  </si>
  <si>
    <t>I 417</t>
  </si>
  <si>
    <t>26/7/25</t>
  </si>
  <si>
    <t>I 493</t>
  </si>
  <si>
    <t>28/7/25</t>
  </si>
  <si>
    <t>I 524</t>
  </si>
  <si>
    <t>1.5L -Caps, 500ml -Caps, 1.5L Shoper,…</t>
  </si>
  <si>
    <t>Hunza Water</t>
  </si>
  <si>
    <t>New Reg(73)</t>
  </si>
  <si>
    <t>F695</t>
  </si>
  <si>
    <t>F883</t>
  </si>
  <si>
    <t>Ledger</t>
  </si>
  <si>
    <t>L+B23+A1+A1:F20</t>
  </si>
  <si>
    <t>New Reg(178)</t>
  </si>
  <si>
    <t>old Reg(83)</t>
  </si>
  <si>
    <t>G1700</t>
  </si>
  <si>
    <t>Remaining amount</t>
  </si>
  <si>
    <t>25/01/24</t>
  </si>
  <si>
    <t>F553</t>
  </si>
  <si>
    <t>20/11/24</t>
  </si>
  <si>
    <t>G1569</t>
  </si>
  <si>
    <t>G1730</t>
  </si>
  <si>
    <t>1.5L- Caps, 30mm Caps, 1.5L Shoper</t>
  </si>
  <si>
    <t>G1761</t>
  </si>
  <si>
    <t>G1825</t>
  </si>
  <si>
    <t>G1861</t>
  </si>
  <si>
    <t>500ml -Caps, 30mm Caps</t>
  </si>
  <si>
    <t>G1912</t>
  </si>
  <si>
    <t>31/12/24</t>
  </si>
  <si>
    <t>G1926</t>
  </si>
  <si>
    <t>G1929</t>
  </si>
  <si>
    <t>28/01/24</t>
  </si>
  <si>
    <t>F572</t>
  </si>
  <si>
    <t>H08</t>
  </si>
  <si>
    <t>H28</t>
  </si>
  <si>
    <t>21/7/24</t>
  </si>
  <si>
    <t>G468</t>
  </si>
  <si>
    <t>H39</t>
  </si>
  <si>
    <t>Cash deposited for Previous Bill</t>
  </si>
  <si>
    <t>G524</t>
  </si>
  <si>
    <t>1.5L - Caps, 500ml - Caps, 30mm Caps, 1.5L Shoper</t>
  </si>
  <si>
    <t>14/1/25</t>
  </si>
  <si>
    <t>H225</t>
  </si>
  <si>
    <t>H235</t>
  </si>
  <si>
    <t>G534</t>
  </si>
  <si>
    <t>1.5L -Caps,1.5L Shoper, 30mm Caps</t>
  </si>
  <si>
    <t>H453</t>
  </si>
  <si>
    <t>H455</t>
  </si>
  <si>
    <t>30mm Caps, 19L Caps</t>
  </si>
  <si>
    <t>H465</t>
  </si>
  <si>
    <t>Cash deposit as old Balance</t>
  </si>
  <si>
    <t xml:space="preserve">NILL  50000 Cash in hand from which  H496 Bill paid, credit amount 14345 detected </t>
  </si>
  <si>
    <t>500ml- caps</t>
  </si>
  <si>
    <t>H849</t>
  </si>
  <si>
    <t>H1357</t>
  </si>
  <si>
    <t>Ice mountain (Zahid Sb)</t>
  </si>
  <si>
    <t>Old Reg(120)</t>
  </si>
  <si>
    <t>Just Pure (Salman sab)</t>
  </si>
  <si>
    <t>New Reg(116)</t>
  </si>
  <si>
    <t>13/03/24</t>
  </si>
  <si>
    <t>F1051</t>
  </si>
  <si>
    <t>Memb 4*40 Agro Liks</t>
  </si>
  <si>
    <t>Plant Wasing Memb,..</t>
  </si>
  <si>
    <t>17/03/24</t>
  </si>
  <si>
    <t>F1089</t>
  </si>
  <si>
    <t>Gac 10" So Pure (10*400)</t>
  </si>
  <si>
    <t>F1609</t>
  </si>
  <si>
    <t>Gac 10" (10*500)</t>
  </si>
  <si>
    <t>F1741</t>
  </si>
  <si>
    <t>Gac 10" (02*450)</t>
  </si>
  <si>
    <t>G02</t>
  </si>
  <si>
    <t>Gac 10" (10*450)</t>
  </si>
  <si>
    <t>G634</t>
  </si>
  <si>
    <t>Dosing Pump Repairing</t>
  </si>
  <si>
    <t>Solar</t>
  </si>
  <si>
    <t>30/9/24</t>
  </si>
  <si>
    <t>G1100</t>
  </si>
  <si>
    <t>Flow Valve, Tee (remaining amount)</t>
  </si>
  <si>
    <t>G1495</t>
  </si>
  <si>
    <t>Memb100G (2)</t>
  </si>
  <si>
    <t>26/11/24</t>
  </si>
  <si>
    <t>G1632</t>
  </si>
  <si>
    <t>Membrane 100G (1)</t>
  </si>
  <si>
    <t>G1823</t>
  </si>
  <si>
    <t>6G Tank (1), 150G Membrane (2)</t>
  </si>
  <si>
    <t>G1889</t>
  </si>
  <si>
    <t>R.O Set (10Set)</t>
  </si>
  <si>
    <t>H22</t>
  </si>
  <si>
    <t>CTO 10", PPF 10" S/P</t>
  </si>
  <si>
    <t>H35</t>
  </si>
  <si>
    <t>GAC(10),CTO(10),PPF(10)</t>
  </si>
  <si>
    <t>H90</t>
  </si>
  <si>
    <t>PPF,CTO Vit, GAC Vit</t>
  </si>
  <si>
    <t>H363</t>
  </si>
  <si>
    <t>Chlorine tab, 5L + Caps, 1.5L + Caps</t>
  </si>
  <si>
    <t>H508</t>
  </si>
  <si>
    <t>Membrane 75G</t>
  </si>
  <si>
    <t>H484</t>
  </si>
  <si>
    <t>GAC (2), CTO (2), PPF (2)</t>
  </si>
  <si>
    <t>H1018</t>
  </si>
  <si>
    <t>100G Membrane</t>
  </si>
  <si>
    <t>H1161</t>
  </si>
  <si>
    <t>Tank 32G</t>
  </si>
  <si>
    <t>H1164</t>
  </si>
  <si>
    <t xml:space="preserve">High Pressure Pump repairing </t>
  </si>
  <si>
    <t>Deduction from panel</t>
  </si>
  <si>
    <t>H113</t>
  </si>
  <si>
    <t>Antiscalar</t>
  </si>
  <si>
    <t>13/7/25</t>
  </si>
  <si>
    <t>I 339</t>
  </si>
  <si>
    <t>19/7/25</t>
  </si>
  <si>
    <t>I 408</t>
  </si>
  <si>
    <t xml:space="preserve">CTO 10" </t>
  </si>
  <si>
    <t>I 656</t>
  </si>
  <si>
    <t xml:space="preserve">R.O </t>
  </si>
  <si>
    <t>13/1/26</t>
  </si>
  <si>
    <t>j744</t>
  </si>
  <si>
    <t>filter+membrane.......</t>
  </si>
  <si>
    <t xml:space="preserve">J Smart </t>
  </si>
  <si>
    <t>Old Reg(116)</t>
  </si>
  <si>
    <t>13/06/23</t>
  </si>
  <si>
    <t>Kashif Askari Bank</t>
  </si>
  <si>
    <t>28/06/22</t>
  </si>
  <si>
    <t>29/05/23</t>
  </si>
  <si>
    <t>PPF,Gac,..</t>
  </si>
  <si>
    <t>18/06/23</t>
  </si>
  <si>
    <t>R.O Tank Used</t>
  </si>
  <si>
    <t>E1435</t>
  </si>
  <si>
    <t>CTO,PPf,..</t>
  </si>
  <si>
    <t>New Reg(81)</t>
  </si>
  <si>
    <t>15/06/23</t>
  </si>
  <si>
    <t>Chand Agro Remaining Solar Lab</t>
  </si>
  <si>
    <t>24/03/24</t>
  </si>
  <si>
    <t>F1158</t>
  </si>
  <si>
    <t>27/03/24</t>
  </si>
  <si>
    <t>Dep Pyment from Solar Work of
Head Rajkan</t>
  </si>
  <si>
    <t>27/04/24</t>
  </si>
  <si>
    <t>F1550</t>
  </si>
  <si>
    <t>250 ml bottle</t>
  </si>
  <si>
    <t>Added From Solar Work</t>
  </si>
  <si>
    <t>F1645</t>
  </si>
  <si>
    <t>27/05/24</t>
  </si>
  <si>
    <t>F1927</t>
  </si>
  <si>
    <t>R.O filter Set,..</t>
  </si>
  <si>
    <t>23/7/24</t>
  </si>
  <si>
    <t>R.O diccount</t>
  </si>
  <si>
    <t>Solar deposit</t>
  </si>
  <si>
    <t>G451</t>
  </si>
  <si>
    <t>140ml - caps, PPF 10"</t>
  </si>
  <si>
    <t>Bush, Seal</t>
  </si>
  <si>
    <t>G655</t>
  </si>
  <si>
    <t>Connecter, Breaker, Light, CT</t>
  </si>
  <si>
    <t>G655/Exp Sheet</t>
  </si>
  <si>
    <t>G837</t>
  </si>
  <si>
    <t>1.50ml Bottle, 30mm Seal</t>
  </si>
  <si>
    <t xml:space="preserve">Amount Received </t>
  </si>
  <si>
    <t>Inverter 3.5KW</t>
  </si>
  <si>
    <t>G1407</t>
  </si>
  <si>
    <t>Neck Seal</t>
  </si>
  <si>
    <t>G1719</t>
  </si>
  <si>
    <t>150ml Bottle, 30mm Seal</t>
  </si>
  <si>
    <t>Mateen Sb</t>
  </si>
  <si>
    <t>New Reg(78)</t>
  </si>
  <si>
    <t>15/01/24</t>
  </si>
  <si>
    <t>G1141</t>
  </si>
  <si>
    <t xml:space="preserve">150ml Bottle </t>
  </si>
  <si>
    <t>G1198</t>
  </si>
  <si>
    <t>G1656</t>
  </si>
  <si>
    <t>Disount</t>
  </si>
  <si>
    <t>G1835</t>
  </si>
  <si>
    <t>G1897</t>
  </si>
  <si>
    <t>140ml Bottle</t>
  </si>
  <si>
    <t>H240</t>
  </si>
  <si>
    <t>H338</t>
  </si>
  <si>
    <t>H543</t>
  </si>
  <si>
    <t>22/2/25</t>
  </si>
  <si>
    <t>H614</t>
  </si>
  <si>
    <t>23/2/25</t>
  </si>
  <si>
    <t>H714</t>
  </si>
  <si>
    <t>150ml Bottle , 30mm Caps</t>
  </si>
  <si>
    <t>H752</t>
  </si>
  <si>
    <t>140ml Bottle, 30mm Seal</t>
  </si>
  <si>
    <t>H981</t>
  </si>
  <si>
    <t xml:space="preserve">Botal 140ml </t>
  </si>
  <si>
    <t>New Reg(54)</t>
  </si>
  <si>
    <t>Nonari</t>
  </si>
  <si>
    <t>New Reg(94)</t>
  </si>
  <si>
    <t>13/12/23</t>
  </si>
  <si>
    <t>23/12/23</t>
  </si>
  <si>
    <t>F525</t>
  </si>
  <si>
    <t>Washing+Lab,…</t>
  </si>
  <si>
    <t>F531</t>
  </si>
  <si>
    <t>Jambo</t>
  </si>
  <si>
    <t>31/01/24</t>
  </si>
  <si>
    <t>Disc</t>
  </si>
  <si>
    <t>F930</t>
  </si>
  <si>
    <t>Washing of 4Plants,..</t>
  </si>
  <si>
    <t>National Water</t>
  </si>
  <si>
    <t>Old Reg(155)</t>
  </si>
  <si>
    <t>28/02/23</t>
  </si>
  <si>
    <t>14/7/23</t>
  </si>
  <si>
    <t>Old Reg(156)</t>
  </si>
  <si>
    <t>F1613</t>
  </si>
  <si>
    <t>Old Reg (132)</t>
  </si>
  <si>
    <t>G139</t>
  </si>
  <si>
    <t>H64</t>
  </si>
  <si>
    <t>19L Bush, PPF 10"</t>
  </si>
  <si>
    <t>H1042</t>
  </si>
  <si>
    <t>Shafi Water (Adnan SB)</t>
  </si>
  <si>
    <t>New Reg(105)</t>
  </si>
  <si>
    <t>25/11/23</t>
  </si>
  <si>
    <t>G57</t>
  </si>
  <si>
    <t>Memb Washing Chemical</t>
  </si>
  <si>
    <t>22/8/24</t>
  </si>
  <si>
    <t>G905</t>
  </si>
  <si>
    <t>19L Caps, 19L Lids, Jumbo PPF</t>
  </si>
  <si>
    <t>17/9/24</t>
  </si>
  <si>
    <t>G857</t>
  </si>
  <si>
    <t>G1539</t>
  </si>
  <si>
    <t>Sand Silica, A.carbon, Gravel, Membrane8*40,…</t>
  </si>
  <si>
    <t>19/11/24</t>
  </si>
  <si>
    <t>G1567</t>
  </si>
  <si>
    <t>Remaining Amou</t>
  </si>
  <si>
    <t>Exp Sh Cash in Hand</t>
  </si>
  <si>
    <t>G757</t>
  </si>
  <si>
    <t>Discount in Membrane</t>
  </si>
  <si>
    <t>H1034</t>
  </si>
  <si>
    <t>H2000</t>
  </si>
  <si>
    <t>Sheikh Usman Sb</t>
  </si>
  <si>
    <t>F589</t>
  </si>
  <si>
    <t>F683</t>
  </si>
  <si>
    <t>F766</t>
  </si>
  <si>
    <t>F847</t>
  </si>
  <si>
    <t>F919</t>
  </si>
  <si>
    <t>Claim(53 Leak Bottle)</t>
  </si>
  <si>
    <t>F965</t>
  </si>
  <si>
    <t>19L Stand +Nozzle</t>
  </si>
  <si>
    <t>20/03/24</t>
  </si>
  <si>
    <t>F1112</t>
  </si>
  <si>
    <t>19L Seal</t>
  </si>
  <si>
    <t>25/03/24</t>
  </si>
  <si>
    <t>F1167</t>
  </si>
  <si>
    <t>F1234</t>
  </si>
  <si>
    <t>19L Caps,Na</t>
  </si>
  <si>
    <t>F1326</t>
  </si>
  <si>
    <t>F1438</t>
  </si>
  <si>
    <t>F1490</t>
  </si>
  <si>
    <t>Carbon Bush,.</t>
  </si>
  <si>
    <t>F1523</t>
  </si>
  <si>
    <t>F1644</t>
  </si>
  <si>
    <t>F1708</t>
  </si>
  <si>
    <t>F1764</t>
  </si>
  <si>
    <t>21/05/24</t>
  </si>
  <si>
    <t>F1836</t>
  </si>
  <si>
    <t>22/05/24</t>
  </si>
  <si>
    <t>F1846</t>
  </si>
  <si>
    <t>F1893</t>
  </si>
  <si>
    <t>Sand Bag</t>
  </si>
  <si>
    <t>F1887</t>
  </si>
  <si>
    <t>Disc on bill 1893</t>
  </si>
  <si>
    <t>F1973</t>
  </si>
  <si>
    <t>F1979</t>
  </si>
  <si>
    <t>19L Bottle Discount</t>
  </si>
  <si>
    <t>G64</t>
  </si>
  <si>
    <t>G137</t>
  </si>
  <si>
    <t>G186</t>
  </si>
  <si>
    <t>19L Caps, Lids</t>
  </si>
  <si>
    <t>G241</t>
  </si>
  <si>
    <t>19L Caps,19L Lids,19L Seal</t>
  </si>
  <si>
    <t>G270</t>
  </si>
  <si>
    <t>19L Caps,19L Lids,19L Seal, Ca, Na</t>
  </si>
  <si>
    <t>G308</t>
  </si>
  <si>
    <t>19Lcaps blue, 19L caps white</t>
  </si>
  <si>
    <t>Cash Received</t>
  </si>
  <si>
    <t>13/7/24</t>
  </si>
  <si>
    <t>G417</t>
  </si>
  <si>
    <t>19L caps, Lids</t>
  </si>
  <si>
    <t>G470</t>
  </si>
  <si>
    <t>19L Caps, 19L Seal</t>
  </si>
  <si>
    <t>25/7/24</t>
  </si>
  <si>
    <t>G510</t>
  </si>
  <si>
    <t>19L Caps, 19L Seal Na</t>
  </si>
  <si>
    <t>G542</t>
  </si>
  <si>
    <t>19L Caps, 19L tap</t>
  </si>
  <si>
    <t>G589</t>
  </si>
  <si>
    <t>19L caps- lids, 19L seal</t>
  </si>
  <si>
    <t>G751</t>
  </si>
  <si>
    <t>19L caps, 19L seal</t>
  </si>
  <si>
    <t>G773</t>
  </si>
  <si>
    <t>19L seal, Mg</t>
  </si>
  <si>
    <t>20/8/24</t>
  </si>
  <si>
    <t>G892</t>
  </si>
  <si>
    <t>19L caps, 19L Lids, Na</t>
  </si>
  <si>
    <t>G624</t>
  </si>
  <si>
    <t>19L Caps, 19L Lids, 19L Nozel</t>
  </si>
  <si>
    <t>22/9/24</t>
  </si>
  <si>
    <t>G1008</t>
  </si>
  <si>
    <t>19L Caps, 19L Seal, 19L Lids</t>
  </si>
  <si>
    <t>G1142</t>
  </si>
  <si>
    <t>19L Caps, 19L Handle, Na, 19L Nozle</t>
  </si>
  <si>
    <t>Ca, Lids (200PCs)</t>
  </si>
  <si>
    <t>H1534</t>
  </si>
  <si>
    <t>19L Lids</t>
  </si>
  <si>
    <t>H1783</t>
  </si>
  <si>
    <t>H148</t>
  </si>
  <si>
    <t>19L Seal, 19L Handle</t>
  </si>
  <si>
    <t>I 47</t>
  </si>
  <si>
    <t>19L Lids, 19L Stand</t>
  </si>
  <si>
    <t>I 246</t>
  </si>
  <si>
    <t>I 314</t>
  </si>
  <si>
    <t>Ca, Na, 19L Lids</t>
  </si>
  <si>
    <t>18/8/2025</t>
  </si>
  <si>
    <t>I 798</t>
  </si>
  <si>
    <t>19 shoper</t>
  </si>
  <si>
    <t>19/8/2025</t>
  </si>
  <si>
    <t>I 1496</t>
  </si>
  <si>
    <t>Mg  , Na</t>
  </si>
  <si>
    <t>13/12/25</t>
  </si>
  <si>
    <t>j417</t>
  </si>
  <si>
    <t>19l stand+19l tape</t>
  </si>
  <si>
    <t>15/10/2025</t>
  </si>
  <si>
    <t>cash received waqas</t>
  </si>
  <si>
    <t>New Reg(22)</t>
  </si>
  <si>
    <t>F660</t>
  </si>
  <si>
    <t>PPF+GAC+CTO+ Labour</t>
  </si>
  <si>
    <t>I583</t>
  </si>
  <si>
    <t>ppf. CTO. PPY</t>
  </si>
  <si>
    <t>Old reg(60)</t>
  </si>
  <si>
    <t>E237</t>
  </si>
  <si>
    <t>Multiport wall</t>
  </si>
  <si>
    <t>Bad Bottles</t>
  </si>
  <si>
    <t>a</t>
  </si>
  <si>
    <t>Urban Water</t>
  </si>
  <si>
    <t>New Reg</t>
  </si>
  <si>
    <t>H987</t>
  </si>
  <si>
    <t>H996</t>
  </si>
  <si>
    <t>500ml</t>
  </si>
  <si>
    <t>H974</t>
  </si>
  <si>
    <t>H1037</t>
  </si>
  <si>
    <t>1.5L, 500ml, 30mm Caps, 19L Caps,…</t>
  </si>
  <si>
    <t>H1055</t>
  </si>
  <si>
    <t>6L+Caps, 1.5L Shoper</t>
  </si>
  <si>
    <t>H1140</t>
  </si>
  <si>
    <t>6L+ Caps, 1.5L Shoper</t>
  </si>
  <si>
    <t>15/4/25</t>
  </si>
  <si>
    <t>H1186</t>
  </si>
  <si>
    <t>Mg</t>
  </si>
  <si>
    <t>H1252</t>
  </si>
  <si>
    <t>H1307</t>
  </si>
  <si>
    <t>1.5L-Caps, 500ml-Caps, 1.5L Shoper</t>
  </si>
  <si>
    <t>H1337</t>
  </si>
  <si>
    <t>1.5L, 500ml, Shoper</t>
  </si>
  <si>
    <t>H1356</t>
  </si>
  <si>
    <t>500ml-Caps, 30mm caps, 500ml Shoper</t>
  </si>
  <si>
    <t>H1374</t>
  </si>
  <si>
    <t>H1401</t>
  </si>
  <si>
    <t>H1426</t>
  </si>
  <si>
    <t>H1451</t>
  </si>
  <si>
    <t>H1491</t>
  </si>
  <si>
    <t>500ml Shoper, 1.5L Shoper</t>
  </si>
  <si>
    <t>H1506</t>
  </si>
  <si>
    <t>1.5L-Caps, Na, Antiscalar</t>
  </si>
  <si>
    <t>Easy Paisa</t>
  </si>
  <si>
    <t>H1546</t>
  </si>
  <si>
    <t>30mm Seal, 1.5L Shoper, 19L Caps</t>
  </si>
  <si>
    <t>H1686</t>
  </si>
  <si>
    <t>1.5L-Caps, 1.5L Shoper</t>
  </si>
  <si>
    <t>28/5/2025</t>
  </si>
  <si>
    <t>H 1833</t>
  </si>
  <si>
    <t>19L Bottle Printed</t>
  </si>
  <si>
    <t>Pending</t>
  </si>
  <si>
    <t>H1697</t>
  </si>
  <si>
    <t>500ml-Caps, 1.5L- caps, 500ml Shoper</t>
  </si>
  <si>
    <t>H1708</t>
  </si>
  <si>
    <t>6L+Caps, 500ml -Caps, 30mm Caps, 500ml Shoper, 30mm Seal</t>
  </si>
  <si>
    <t>H1734</t>
  </si>
  <si>
    <t>500ml-Caps, 500ml Shoper</t>
  </si>
  <si>
    <t>23/5/25</t>
  </si>
  <si>
    <t xml:space="preserve">IBFT Qazi Imran received </t>
  </si>
  <si>
    <t>H1787</t>
  </si>
  <si>
    <t>Valve3/4, Labour</t>
  </si>
  <si>
    <t>26/5/25</t>
  </si>
  <si>
    <t>H1790</t>
  </si>
  <si>
    <t>1.5L-Caps, 1.5L Shoper, 19L Caps</t>
  </si>
  <si>
    <t>H1838</t>
  </si>
  <si>
    <t>500ml -Caps</t>
  </si>
  <si>
    <t>H1833</t>
  </si>
  <si>
    <t xml:space="preserve">500ml Shoper, Dye Screen </t>
  </si>
  <si>
    <t>30/5/25</t>
  </si>
  <si>
    <t>H1897</t>
  </si>
  <si>
    <t>1.5L -Caps, 30mm Caps, 1.5L Shoper</t>
  </si>
  <si>
    <t>H127</t>
  </si>
  <si>
    <t>Burner</t>
  </si>
  <si>
    <t>H129</t>
  </si>
  <si>
    <t>1.5L-Caps, 6L+Caps,…</t>
  </si>
  <si>
    <t>16/6/25</t>
  </si>
  <si>
    <t>I 54</t>
  </si>
  <si>
    <t>I 89</t>
  </si>
  <si>
    <t>26/6/25</t>
  </si>
  <si>
    <t>28/6/25</t>
  </si>
  <si>
    <t>I 132</t>
  </si>
  <si>
    <t>30mm Caps, 1.5L - Caps, 19L - Caps, 1.5L Shoper</t>
  </si>
  <si>
    <t>29/6/2025</t>
  </si>
  <si>
    <t>I 174</t>
  </si>
  <si>
    <t xml:space="preserve">1.5L Seals </t>
  </si>
  <si>
    <t>I 666</t>
  </si>
  <si>
    <t>1.5L caps…..</t>
  </si>
  <si>
    <t>I 738</t>
  </si>
  <si>
    <t>1.5L  Caps….</t>
  </si>
  <si>
    <t xml:space="preserve">Exp sheet </t>
  </si>
  <si>
    <t>16/8/2025</t>
  </si>
  <si>
    <t>I 772</t>
  </si>
  <si>
    <t>1.5L caps</t>
  </si>
  <si>
    <t>17/8/2025</t>
  </si>
  <si>
    <t>I 1007</t>
  </si>
  <si>
    <t>1.5L Shoper…..</t>
  </si>
  <si>
    <t>I 1018</t>
  </si>
  <si>
    <t>1.5L Caps…..</t>
  </si>
  <si>
    <t>I 873</t>
  </si>
  <si>
    <t>30/8/025</t>
  </si>
  <si>
    <t>I 935</t>
  </si>
  <si>
    <t>1.5L caps…</t>
  </si>
  <si>
    <t>16/9/2025</t>
  </si>
  <si>
    <t>Bike Reamining Amount</t>
  </si>
  <si>
    <t>New Reg(160)</t>
  </si>
  <si>
    <t>15/1/2024</t>
  </si>
  <si>
    <t>F489</t>
  </si>
  <si>
    <t>PPF,..</t>
  </si>
  <si>
    <t>F575</t>
  </si>
  <si>
    <t>1.5L Fill Pet</t>
  </si>
  <si>
    <t>F627</t>
  </si>
  <si>
    <t>F669</t>
  </si>
  <si>
    <t>13/2/2024</t>
  </si>
  <si>
    <t>F729</t>
  </si>
  <si>
    <t>F796</t>
  </si>
  <si>
    <t>5L Filled Bottle</t>
  </si>
  <si>
    <t>27/02/4</t>
  </si>
  <si>
    <t>F892</t>
  </si>
  <si>
    <t>1.5L Filled Pet</t>
  </si>
  <si>
    <t>29/2/2024</t>
  </si>
  <si>
    <t>F920</t>
  </si>
  <si>
    <t>F959</t>
  </si>
  <si>
    <t>F1003</t>
  </si>
  <si>
    <t>13/3/24</t>
  </si>
  <si>
    <t>F1063</t>
  </si>
  <si>
    <t>500 ml Filled</t>
  </si>
  <si>
    <t>F1148</t>
  </si>
  <si>
    <t>500 ml Filled Pet</t>
  </si>
  <si>
    <t>F1228</t>
  </si>
  <si>
    <t>PPF 10",CTO 10",..</t>
  </si>
  <si>
    <t>Net  Cash Deposit</t>
  </si>
  <si>
    <t>F1239</t>
  </si>
  <si>
    <t>F1238</t>
  </si>
  <si>
    <t>PPF+Gac+CTO 10"+labr</t>
  </si>
  <si>
    <t>F1313</t>
  </si>
  <si>
    <t>Filled 500 ml ,..</t>
  </si>
  <si>
    <t>F1733</t>
  </si>
  <si>
    <t>G103</t>
  </si>
  <si>
    <t>G531</t>
  </si>
  <si>
    <t>G748</t>
  </si>
  <si>
    <t>G622</t>
  </si>
  <si>
    <t>R.O Filteration + Labour</t>
  </si>
  <si>
    <t>G679</t>
  </si>
  <si>
    <t>Single Bush</t>
  </si>
  <si>
    <t>19/9/24</t>
  </si>
  <si>
    <t>G876</t>
  </si>
  <si>
    <t>G1011</t>
  </si>
  <si>
    <t>Membrane , PPF</t>
  </si>
  <si>
    <t>G1291</t>
  </si>
  <si>
    <t>23/1/25</t>
  </si>
  <si>
    <t>H685</t>
  </si>
  <si>
    <t>R.O System</t>
  </si>
  <si>
    <t>Filled Packet Receive from star Light</t>
  </si>
  <si>
    <t>H1714</t>
  </si>
  <si>
    <t>PPF 10" (3),CTO 10", GAC 10"+ Labour</t>
  </si>
  <si>
    <t>I 415</t>
  </si>
  <si>
    <t>R.O Set, Tank 6G, Flow Valve, Tank Valve</t>
  </si>
  <si>
    <t>1.5L pet fill</t>
  </si>
  <si>
    <t>I 660</t>
  </si>
  <si>
    <t xml:space="preserve">Labour </t>
  </si>
  <si>
    <t>I 700</t>
  </si>
  <si>
    <t>1.5 Fill Pet</t>
  </si>
  <si>
    <t>I 1065</t>
  </si>
  <si>
    <t>14/9/2025</t>
  </si>
  <si>
    <t>I 1210</t>
  </si>
  <si>
    <t>R.O set   PPF 10</t>
  </si>
  <si>
    <t>j963</t>
  </si>
  <si>
    <t>cash received qazi sb</t>
  </si>
  <si>
    <t>Yasir Sb</t>
  </si>
  <si>
    <t>Old Reg(142)</t>
  </si>
  <si>
    <t>Naran Kaghan Trip
(20K Cash+ 15K Send toTourist)</t>
  </si>
  <si>
    <t>ZYNg</t>
  </si>
  <si>
    <t>Old Reg (108)</t>
  </si>
  <si>
    <t>Dosing Pump +Label</t>
  </si>
  <si>
    <t>21/3/25</t>
  </si>
  <si>
    <t>H883</t>
  </si>
  <si>
    <t>Ampaler, Bush carbide,…</t>
  </si>
  <si>
    <t>Old Reg(71)</t>
  </si>
  <si>
    <t>Basharat Sb</t>
  </si>
  <si>
    <t>H 205</t>
  </si>
  <si>
    <t>H 1101</t>
  </si>
  <si>
    <t>R.O Set, PPF</t>
  </si>
  <si>
    <t>H 1829</t>
  </si>
  <si>
    <t>R.O Set, PPF 10", PPY 10", Adapter, Membrane 100G Labour</t>
  </si>
  <si>
    <t>I 247</t>
  </si>
  <si>
    <t>R.O Set, PPF 10", PPY 10", Membrane Cleaning,..</t>
  </si>
  <si>
    <t>New Reg (47)</t>
  </si>
  <si>
    <t>Old Balnace</t>
  </si>
  <si>
    <t>F524</t>
  </si>
  <si>
    <t>Ca,Mg,Na,..</t>
  </si>
  <si>
    <t>DiscountReturn on fiill pet</t>
  </si>
  <si>
    <t>F582</t>
  </si>
  <si>
    <t>12/2/2024</t>
  </si>
  <si>
    <t>F721</t>
  </si>
  <si>
    <t>14/02/2024</t>
  </si>
  <si>
    <t>F745</t>
  </si>
  <si>
    <t>F836</t>
  </si>
  <si>
    <t>3/3/2024</t>
  </si>
  <si>
    <t>F950</t>
  </si>
  <si>
    <t>4/3/2024</t>
  </si>
  <si>
    <t>F963</t>
  </si>
  <si>
    <t>30 mm Caps</t>
  </si>
  <si>
    <t>9/3/2024</t>
  </si>
  <si>
    <t>F1014</t>
  </si>
  <si>
    <t>11/3/2024</t>
  </si>
  <si>
    <t>F1050</t>
  </si>
  <si>
    <t>500 ml Shoper,.</t>
  </si>
  <si>
    <t>F1091</t>
  </si>
  <si>
    <t>Cl,Antiscaler,..</t>
  </si>
  <si>
    <t>21/03/23</t>
  </si>
  <si>
    <t>F1147</t>
  </si>
  <si>
    <t>1.5L Shoper(Pure)</t>
  </si>
  <si>
    <t>F1197</t>
  </si>
  <si>
    <t>Return 25kg Shoper</t>
  </si>
  <si>
    <t>1/4/2024</t>
  </si>
  <si>
    <t>F1227</t>
  </si>
  <si>
    <t>7/4/2024</t>
  </si>
  <si>
    <t>F1308</t>
  </si>
  <si>
    <t>F1309</t>
  </si>
  <si>
    <t>F1513</t>
  </si>
  <si>
    <t>ca, Mg, Jambo Gold</t>
  </si>
  <si>
    <t>2/5/2024</t>
  </si>
  <si>
    <t>F1601</t>
  </si>
  <si>
    <t>Antiscaler,..</t>
  </si>
  <si>
    <t>12/5/2024</t>
  </si>
  <si>
    <t>F1743</t>
  </si>
  <si>
    <t>Ca,Mg,..</t>
  </si>
  <si>
    <t>15/05/24</t>
  </si>
  <si>
    <t>F1778</t>
  </si>
  <si>
    <t>20/05/24</t>
  </si>
  <si>
    <t>F1817</t>
  </si>
  <si>
    <t>PPF10",..</t>
  </si>
  <si>
    <t>G66</t>
  </si>
  <si>
    <t>G78</t>
  </si>
  <si>
    <t>23/10/24</t>
  </si>
  <si>
    <t>Claim</t>
  </si>
  <si>
    <t>23/10/25</t>
  </si>
  <si>
    <t>Miscelleneous Customer List</t>
  </si>
  <si>
    <t>Pending Bills</t>
  </si>
  <si>
    <t>Customer Name</t>
  </si>
  <si>
    <t>Cr Amt</t>
  </si>
  <si>
    <t>R.Amt</t>
  </si>
  <si>
    <t>Bill No</t>
  </si>
  <si>
    <t>Cr mount</t>
  </si>
  <si>
    <t>Sataus</t>
  </si>
  <si>
    <t>30/05/22</t>
  </si>
  <si>
    <t>13/9/22</t>
  </si>
  <si>
    <t>Shahab Sb Model Town A</t>
  </si>
  <si>
    <t>F1310</t>
  </si>
  <si>
    <t>Paid</t>
  </si>
  <si>
    <t>E1473</t>
  </si>
  <si>
    <t>S.D High School</t>
  </si>
  <si>
    <t>F169</t>
  </si>
  <si>
    <t>F1426</t>
  </si>
  <si>
    <t>E1586</t>
  </si>
  <si>
    <t>Shahid Sb (Excise Home)</t>
  </si>
  <si>
    <t>21/03/24</t>
  </si>
  <si>
    <t>F1134</t>
  </si>
  <si>
    <t>22/01/24</t>
  </si>
  <si>
    <t>F538</t>
  </si>
  <si>
    <t xml:space="preserve">Taj Aqua </t>
  </si>
  <si>
    <t>F578</t>
  </si>
  <si>
    <t>F552</t>
  </si>
  <si>
    <t>DTL BWP</t>
  </si>
  <si>
    <t>F798</t>
  </si>
  <si>
    <t>Master Mukhtar Sb</t>
  </si>
  <si>
    <t>26/02/24</t>
  </si>
  <si>
    <t>F875</t>
  </si>
  <si>
    <t>Ishfaq Ahmed sb A.P</t>
  </si>
  <si>
    <t>F945</t>
  </si>
  <si>
    <t>Jeo Water</t>
  </si>
  <si>
    <t>F1565</t>
  </si>
  <si>
    <t>arshad Ajwah Water</t>
  </si>
  <si>
    <t>F1829</t>
  </si>
  <si>
    <t>Al Safina Watet</t>
  </si>
  <si>
    <t>F1844</t>
  </si>
  <si>
    <t>Asfand Sb</t>
  </si>
  <si>
    <t>G5</t>
  </si>
  <si>
    <t>Hamad Sb</t>
  </si>
  <si>
    <t>G232</t>
  </si>
  <si>
    <t>Aman sab</t>
  </si>
  <si>
    <t>27/6/24</t>
  </si>
  <si>
    <t>G249</t>
  </si>
  <si>
    <t>Naseer Ahmad sab</t>
  </si>
  <si>
    <t>30/6/24</t>
  </si>
  <si>
    <t>G286</t>
  </si>
  <si>
    <t>Waqar sab Ecofina</t>
  </si>
  <si>
    <t>G476</t>
  </si>
  <si>
    <t>Kifayat</t>
  </si>
  <si>
    <t>G557</t>
  </si>
  <si>
    <t>Prof. Nasir Sb</t>
  </si>
  <si>
    <t>G917</t>
  </si>
  <si>
    <t>Zahid sab</t>
  </si>
  <si>
    <t>29/8/24</t>
  </si>
  <si>
    <t>G969</t>
  </si>
  <si>
    <t>Irshad Shah sab</t>
  </si>
  <si>
    <t>Fasial Dewan sab</t>
  </si>
  <si>
    <t>G1069</t>
  </si>
  <si>
    <t>28/9/24</t>
  </si>
  <si>
    <t>G1079</t>
  </si>
  <si>
    <t>7/Blue (Naveed)</t>
  </si>
  <si>
    <t>13/10/24</t>
  </si>
  <si>
    <t>G1210</t>
  </si>
  <si>
    <t xml:space="preserve">Asghar Awan </t>
  </si>
  <si>
    <t>G996</t>
  </si>
  <si>
    <t>Master Abdul Ghafoor sab</t>
  </si>
  <si>
    <t>Dr Jameel Sb LD</t>
  </si>
  <si>
    <t>G1374</t>
  </si>
  <si>
    <t>Mahar Ejaz sb</t>
  </si>
  <si>
    <t>G1384</t>
  </si>
  <si>
    <t>Al Shifa Ghulam Yaseen sb</t>
  </si>
  <si>
    <t>G1540</t>
  </si>
  <si>
    <t>Asif sb (Sukkur)</t>
  </si>
  <si>
    <t>G1551</t>
  </si>
  <si>
    <t>Ikrama Perwaz Water</t>
  </si>
  <si>
    <t>G1581</t>
  </si>
  <si>
    <t>Ishfaq Abasi sb</t>
  </si>
  <si>
    <t>G1607</t>
  </si>
  <si>
    <t>Pro Esencia</t>
  </si>
  <si>
    <t>G1647</t>
  </si>
  <si>
    <t>Dialysis Unit</t>
  </si>
  <si>
    <t>G1614</t>
  </si>
  <si>
    <t>Control Shed Lodhran</t>
  </si>
  <si>
    <t>G1660</t>
  </si>
  <si>
    <t>Paka Bara</t>
  </si>
  <si>
    <t>G1686</t>
  </si>
  <si>
    <t>Masood (House)</t>
  </si>
  <si>
    <t>G1595</t>
  </si>
  <si>
    <t>Ahmed Pur Shehroz Lodhi Control Shed</t>
  </si>
  <si>
    <t>G1711</t>
  </si>
  <si>
    <t>Imran Ullah sb</t>
  </si>
  <si>
    <t>G1689</t>
  </si>
  <si>
    <t>Saleem Abbas Nagar</t>
  </si>
  <si>
    <t>extra amount paid by qazi sb</t>
  </si>
  <si>
    <t>G1695</t>
  </si>
  <si>
    <t>Yousaf Nurani sb</t>
  </si>
  <si>
    <t>G1721</t>
  </si>
  <si>
    <t>Munawar Dewan</t>
  </si>
  <si>
    <t>G1822</t>
  </si>
  <si>
    <t>G1836</t>
  </si>
  <si>
    <t>2575 amount received in Bill H20 as remaining amount</t>
  </si>
  <si>
    <t>G1848</t>
  </si>
  <si>
    <t>Bilal sb Liaqatpur</t>
  </si>
  <si>
    <t>Sibat e Alam</t>
  </si>
  <si>
    <t>received IBFT</t>
  </si>
  <si>
    <t>G1882</t>
  </si>
  <si>
    <t>G1887</t>
  </si>
  <si>
    <t>Akhtar Awan sb</t>
  </si>
  <si>
    <t>G1899</t>
  </si>
  <si>
    <t>G1905</t>
  </si>
  <si>
    <t>Arslan sb (Remaining Amount)</t>
  </si>
  <si>
    <t>G1931</t>
  </si>
  <si>
    <t>MD Foods</t>
  </si>
  <si>
    <t>G1915</t>
  </si>
  <si>
    <t>Noman sb (Wapda Office)</t>
  </si>
  <si>
    <t>G1919</t>
  </si>
  <si>
    <t>TMA (BWP)</t>
  </si>
  <si>
    <t>G1927</t>
  </si>
  <si>
    <t>Post Graduate College</t>
  </si>
  <si>
    <t>H18</t>
  </si>
  <si>
    <t>H26</t>
  </si>
  <si>
    <t>Saood House</t>
  </si>
  <si>
    <t>H54</t>
  </si>
  <si>
    <t>H69</t>
  </si>
  <si>
    <t>Hamad sb</t>
  </si>
  <si>
    <t>H73</t>
  </si>
  <si>
    <t>Al Safina Water LD</t>
  </si>
  <si>
    <t>H87</t>
  </si>
  <si>
    <t>Pro Esencia (Remaining Amount)</t>
  </si>
  <si>
    <t>H237</t>
  </si>
  <si>
    <t>Professor Abdul Nasir sb</t>
  </si>
  <si>
    <t>H248</t>
  </si>
  <si>
    <t>Control Shed Kashif Bano Feed</t>
  </si>
  <si>
    <t>IBFT Received</t>
  </si>
  <si>
    <t>H256</t>
  </si>
  <si>
    <t>Ahsan sb (Mobile Shop)</t>
  </si>
  <si>
    <t>21/1/25</t>
  </si>
  <si>
    <t>H287</t>
  </si>
  <si>
    <t>Al Safa Water (Ghulam Muheudeen sb )</t>
  </si>
  <si>
    <t>H325</t>
  </si>
  <si>
    <t>H345</t>
  </si>
  <si>
    <t>Ikram sb (Asia Pure Water) Lodhran</t>
  </si>
  <si>
    <t>H346</t>
  </si>
  <si>
    <t>Qazi Anas sb Tuck Shop</t>
  </si>
  <si>
    <t>28/1/25</t>
  </si>
  <si>
    <t>H357</t>
  </si>
  <si>
    <t>Usman sb</t>
  </si>
  <si>
    <t>H361</t>
  </si>
  <si>
    <t>Dr Tariq Dental</t>
  </si>
  <si>
    <t>H362</t>
  </si>
  <si>
    <t>RohimWater</t>
  </si>
  <si>
    <t>H420</t>
  </si>
  <si>
    <t>H1936</t>
  </si>
  <si>
    <t>H442</t>
  </si>
  <si>
    <t>H495</t>
  </si>
  <si>
    <t>Saleem Chishti sb</t>
  </si>
  <si>
    <t>H501</t>
  </si>
  <si>
    <t>Itifaq Carton Factory</t>
  </si>
  <si>
    <t>H510</t>
  </si>
  <si>
    <t>H521</t>
  </si>
  <si>
    <t>H467</t>
  </si>
  <si>
    <t>Yaseen sb Tailor</t>
  </si>
  <si>
    <t>H509</t>
  </si>
  <si>
    <t>H530</t>
  </si>
  <si>
    <t>Professor Shaheen sb</t>
  </si>
  <si>
    <t>17/2/25</t>
  </si>
  <si>
    <t>H551</t>
  </si>
  <si>
    <t>Asia Pure Water</t>
  </si>
  <si>
    <t>H564</t>
  </si>
  <si>
    <t>Ahmed sb (DTL)</t>
  </si>
  <si>
    <t>H572</t>
  </si>
  <si>
    <t>Asghar sb Jesh Mohammad</t>
  </si>
  <si>
    <t>H588</t>
  </si>
  <si>
    <t>Comprehensive School</t>
  </si>
  <si>
    <t>H599</t>
  </si>
  <si>
    <t>Irtaza Smart Water</t>
  </si>
  <si>
    <t>H611</t>
  </si>
  <si>
    <t>Satluj Water</t>
  </si>
  <si>
    <t>24/2/25</t>
  </si>
  <si>
    <t>H628</t>
  </si>
  <si>
    <t>H648</t>
  </si>
  <si>
    <t>Qari Sheikh Yaqoob Sb</t>
  </si>
  <si>
    <t>H652</t>
  </si>
  <si>
    <t>Haji Sb Maroot Ice Factory</t>
  </si>
  <si>
    <t>H659</t>
  </si>
  <si>
    <t>Al Safina</t>
  </si>
  <si>
    <t>H664</t>
  </si>
  <si>
    <t>Usmania Protein LHR</t>
  </si>
  <si>
    <t>H630</t>
  </si>
  <si>
    <t>Usman Sb (Azan Water)</t>
  </si>
  <si>
    <t>H696</t>
  </si>
  <si>
    <t>Shahid Sb (Excise Office)</t>
  </si>
  <si>
    <t>H691</t>
  </si>
  <si>
    <t>Mahar Faraz Sb</t>
  </si>
  <si>
    <t>H762</t>
  </si>
  <si>
    <t>Dr Shoaib sb</t>
  </si>
  <si>
    <t>H829</t>
  </si>
  <si>
    <t>Javaid Sb B. Nagar Masjid</t>
  </si>
  <si>
    <t>H873</t>
  </si>
  <si>
    <t>Shahid Sb</t>
  </si>
  <si>
    <t>H892</t>
  </si>
  <si>
    <t>H918</t>
  </si>
  <si>
    <t>Qazi Tuck Shop</t>
  </si>
  <si>
    <t>H932</t>
  </si>
  <si>
    <t>Shahid Sb Excise Office</t>
  </si>
  <si>
    <t>H950</t>
  </si>
  <si>
    <t>Al Masoom Shadi Hall</t>
  </si>
  <si>
    <t>H982</t>
  </si>
  <si>
    <t>H921</t>
  </si>
  <si>
    <t>Ali Hassan Mart D.P Bwp</t>
  </si>
  <si>
    <t>H1015</t>
  </si>
  <si>
    <t>Cool and Pure Hammad</t>
  </si>
  <si>
    <t>H1074</t>
  </si>
  <si>
    <t xml:space="preserve">Yasir Sb </t>
  </si>
  <si>
    <t>H1086</t>
  </si>
  <si>
    <t>Perwaz Water</t>
  </si>
  <si>
    <t>H1090</t>
  </si>
  <si>
    <t xml:space="preserve">Dr Mazhar </t>
  </si>
  <si>
    <t>H1091</t>
  </si>
  <si>
    <t>H1105</t>
  </si>
  <si>
    <t>H1160</t>
  </si>
  <si>
    <t>Khalid Sb</t>
  </si>
  <si>
    <t>H1163</t>
  </si>
  <si>
    <t>Noman sb (Punjab Bank)</t>
  </si>
  <si>
    <t>H1216</t>
  </si>
  <si>
    <t>Ghulam Murtaza Sb</t>
  </si>
  <si>
    <t>H1220</t>
  </si>
  <si>
    <t>Ch Mehmood Sb House</t>
  </si>
  <si>
    <t>H1255</t>
  </si>
  <si>
    <t xml:space="preserve">Waqar Sb </t>
  </si>
  <si>
    <t>H1277</t>
  </si>
  <si>
    <t>Hassan Farooq</t>
  </si>
  <si>
    <t>H1284</t>
  </si>
  <si>
    <t>Dr Adeel sb</t>
  </si>
  <si>
    <t>H1262</t>
  </si>
  <si>
    <t>Perwaz Water (Remaining Amount)</t>
  </si>
  <si>
    <t>H1318</t>
  </si>
  <si>
    <t>Saad Pure Drinking Water</t>
  </si>
  <si>
    <t>H1334</t>
  </si>
  <si>
    <t>H1365</t>
  </si>
  <si>
    <t>H1386</t>
  </si>
  <si>
    <t>HB Water</t>
  </si>
  <si>
    <t>H1389</t>
  </si>
  <si>
    <t>H1421</t>
  </si>
  <si>
    <t>Noor Pur</t>
  </si>
  <si>
    <t>Ref No</t>
  </si>
  <si>
    <t>Name</t>
  </si>
  <si>
    <t>Credit Amount</t>
  </si>
  <si>
    <t>H1424</t>
  </si>
  <si>
    <t>Hasil Pur</t>
  </si>
  <si>
    <t>H1437</t>
  </si>
  <si>
    <t>H1481</t>
  </si>
  <si>
    <t>H1466</t>
  </si>
  <si>
    <t>Haseeb Sherwani Sb</t>
  </si>
  <si>
    <t>H1538</t>
  </si>
  <si>
    <t>H1463</t>
  </si>
  <si>
    <t>H1557</t>
  </si>
  <si>
    <t>H1459</t>
  </si>
  <si>
    <t>Al Rehman Batery</t>
  </si>
  <si>
    <t>H1363</t>
  </si>
  <si>
    <t>H1503</t>
  </si>
  <si>
    <t>Total Amount</t>
  </si>
  <si>
    <t>H1500</t>
  </si>
  <si>
    <t>Safar Sb PCRWR</t>
  </si>
  <si>
    <t>H1494</t>
  </si>
  <si>
    <t>MD Foods Sirka Factory</t>
  </si>
  <si>
    <t xml:space="preserve">Date </t>
  </si>
  <si>
    <t xml:space="preserve">Credit </t>
  </si>
  <si>
    <t>H1507</t>
  </si>
  <si>
    <t>Ch Masood  House</t>
  </si>
  <si>
    <t>H1508</t>
  </si>
  <si>
    <t>H1510</t>
  </si>
  <si>
    <t>Masood Sb</t>
  </si>
  <si>
    <t>H1704</t>
  </si>
  <si>
    <t xml:space="preserve">HB Water </t>
  </si>
  <si>
    <t>H1535</t>
  </si>
  <si>
    <t>I 498</t>
  </si>
  <si>
    <t>30/1/25</t>
  </si>
  <si>
    <t>I 547</t>
  </si>
  <si>
    <t>I 1014</t>
  </si>
  <si>
    <t>HB Water (Remn Amnt)</t>
  </si>
  <si>
    <t>H1524</t>
  </si>
  <si>
    <t xml:space="preserve">Safa warter Ghulam M </t>
  </si>
  <si>
    <t>23/8/2025</t>
  </si>
  <si>
    <t xml:space="preserve">Exp Sheet </t>
  </si>
  <si>
    <t>H1607</t>
  </si>
  <si>
    <t>Waqar Sv</t>
  </si>
  <si>
    <t>26/8/2025</t>
  </si>
  <si>
    <t>H1609</t>
  </si>
  <si>
    <t>H1602</t>
  </si>
  <si>
    <t xml:space="preserve">HB Water  BIFT </t>
  </si>
  <si>
    <t>H1632</t>
  </si>
  <si>
    <t>Qazi Anas sb</t>
  </si>
  <si>
    <t>24/8/2025</t>
  </si>
  <si>
    <t>I 870</t>
  </si>
  <si>
    <t xml:space="preserve">HB Water (Remn Amnt) </t>
  </si>
  <si>
    <t>I  950</t>
  </si>
  <si>
    <t>H1672</t>
  </si>
  <si>
    <t>Maqbool Industry</t>
  </si>
  <si>
    <t>I 1040</t>
  </si>
  <si>
    <t>HB Water Remaining Amount</t>
  </si>
  <si>
    <t>H1720</t>
  </si>
  <si>
    <t>13/9/2025</t>
  </si>
  <si>
    <t>I 1166</t>
  </si>
  <si>
    <t>13/9  Exp</t>
  </si>
  <si>
    <t>H1771</t>
  </si>
  <si>
    <t>HB Water (IBFT)</t>
  </si>
  <si>
    <t>H1850</t>
  </si>
  <si>
    <t>Liaqat Sb Car Machanic</t>
  </si>
  <si>
    <t>H1910</t>
  </si>
  <si>
    <t>Baqir Ali Sb</t>
  </si>
  <si>
    <t>13/9/25</t>
  </si>
  <si>
    <t>I 1201</t>
  </si>
  <si>
    <t>H1940</t>
  </si>
  <si>
    <t>Ch Saood Majeed House</t>
  </si>
  <si>
    <t>17/9/2025</t>
  </si>
  <si>
    <t>HB Water IBFT</t>
  </si>
  <si>
    <t>H1997</t>
  </si>
  <si>
    <t>Ref: Exp Sh 5/6/25</t>
  </si>
  <si>
    <t>18/9/2025</t>
  </si>
  <si>
    <t>I 1307</t>
  </si>
  <si>
    <t>H107</t>
  </si>
  <si>
    <t>Al- Safa Water (Gulam Moheu deen)</t>
  </si>
  <si>
    <t>22/9/2025</t>
  </si>
  <si>
    <t>H147</t>
  </si>
  <si>
    <t>Paristine Water</t>
  </si>
  <si>
    <t>24/9/2025</t>
  </si>
  <si>
    <t>I 1377</t>
  </si>
  <si>
    <t>30/9/2025</t>
  </si>
  <si>
    <t>H1950</t>
  </si>
  <si>
    <t xml:space="preserve">Ch Masood  House </t>
  </si>
  <si>
    <t>I 1476</t>
  </si>
  <si>
    <t>H190</t>
  </si>
  <si>
    <t>Pristine Water</t>
  </si>
  <si>
    <t>I 23</t>
  </si>
  <si>
    <t>Ch Masood House</t>
  </si>
  <si>
    <t>I 43</t>
  </si>
  <si>
    <t xml:space="preserve">Ch Majeed House </t>
  </si>
  <si>
    <t>I 1573</t>
  </si>
  <si>
    <t>Remn Amnt</t>
  </si>
  <si>
    <t>I 67</t>
  </si>
  <si>
    <t>Bilal Sb</t>
  </si>
  <si>
    <t>23/6/25</t>
  </si>
  <si>
    <t>I 79</t>
  </si>
  <si>
    <t>I 103</t>
  </si>
  <si>
    <t>I 107</t>
  </si>
  <si>
    <t>I 181</t>
  </si>
  <si>
    <t>Nabeel Bhati Sb</t>
  </si>
  <si>
    <t>I 222</t>
  </si>
  <si>
    <t>I 224</t>
  </si>
  <si>
    <t>Shahroz Water</t>
  </si>
  <si>
    <t>I 234</t>
  </si>
  <si>
    <t>Master Mukhtar Sb ( Remaining Amount)</t>
  </si>
  <si>
    <t>I 248</t>
  </si>
  <si>
    <t>Ch Masood Sb (House)</t>
  </si>
  <si>
    <t>I 264</t>
  </si>
  <si>
    <t>I 265</t>
  </si>
  <si>
    <t>I 267</t>
  </si>
  <si>
    <t>Shoaib Sb</t>
  </si>
  <si>
    <t>I 268</t>
  </si>
  <si>
    <t>I 342</t>
  </si>
  <si>
    <t>I 370</t>
  </si>
  <si>
    <t>Al Khidmat (Jhok Kumharan)</t>
  </si>
  <si>
    <t>I 411</t>
  </si>
  <si>
    <t>I 412</t>
  </si>
  <si>
    <t>Bahawal Nagar</t>
  </si>
  <si>
    <t>I 425</t>
  </si>
  <si>
    <t>Bano Feed Control Shed</t>
  </si>
  <si>
    <t>21/7/25</t>
  </si>
  <si>
    <t>I 434</t>
  </si>
  <si>
    <t>Ch Mehmood Majeed Sb House</t>
  </si>
  <si>
    <t>23/7/25</t>
  </si>
  <si>
    <t>I 471</t>
  </si>
  <si>
    <t>I 473</t>
  </si>
  <si>
    <t>Asghar Awan Sb</t>
  </si>
  <si>
    <t>I 475</t>
  </si>
  <si>
    <t>Gul Sher Khan Sb</t>
  </si>
  <si>
    <t>24/7/25</t>
  </si>
  <si>
    <t>I 484</t>
  </si>
  <si>
    <t>Al Shifa Malik Rafique</t>
  </si>
  <si>
    <t>I 479</t>
  </si>
  <si>
    <t>TMA Ali Sb BWP</t>
  </si>
  <si>
    <t>27/7/25</t>
  </si>
  <si>
    <t>I 517</t>
  </si>
  <si>
    <t>Bisharat Sb</t>
  </si>
  <si>
    <t>I 518</t>
  </si>
  <si>
    <t>Ikram Sb Yazman (Goheer Town)</t>
  </si>
  <si>
    <t>I 598</t>
  </si>
  <si>
    <t>Jumbo PPY</t>
  </si>
  <si>
    <t>30/8/25</t>
  </si>
  <si>
    <t>I 636</t>
  </si>
  <si>
    <t>Liaqat Pur</t>
  </si>
  <si>
    <t>I 706</t>
  </si>
  <si>
    <t xml:space="preserve">Bishrat sab </t>
  </si>
  <si>
    <t>I 773</t>
  </si>
  <si>
    <t xml:space="preserve">Al- Safa Water </t>
  </si>
  <si>
    <t>I 775</t>
  </si>
  <si>
    <t xml:space="preserve">Arora water </t>
  </si>
  <si>
    <t>I 777</t>
  </si>
  <si>
    <t>Salman sab</t>
  </si>
  <si>
    <t>I 618</t>
  </si>
  <si>
    <t xml:space="preserve">Ch Saood Sb </t>
  </si>
  <si>
    <t>6/8/205/25</t>
  </si>
  <si>
    <t>I 635</t>
  </si>
  <si>
    <t xml:space="preserve">Faheem sab </t>
  </si>
  <si>
    <t>I 1022</t>
  </si>
  <si>
    <t xml:space="preserve">Yousf Norani sb </t>
  </si>
  <si>
    <t>I 850</t>
  </si>
  <si>
    <t xml:space="preserve">S.E College </t>
  </si>
  <si>
    <t>20/8/2025</t>
  </si>
  <si>
    <t>I 813</t>
  </si>
  <si>
    <t xml:space="preserve">Enginer Naeem sb </t>
  </si>
  <si>
    <t>I 808</t>
  </si>
  <si>
    <t>Al Shefa Water</t>
  </si>
  <si>
    <t>I 892</t>
  </si>
  <si>
    <t>Master Abdul Nabi</t>
  </si>
  <si>
    <t>I 902</t>
  </si>
  <si>
    <t>I 915</t>
  </si>
  <si>
    <t xml:space="preserve">Al Rehman bettry </t>
  </si>
  <si>
    <t>30/8/2025</t>
  </si>
  <si>
    <t>I 931</t>
  </si>
  <si>
    <t>27/8/2025</t>
  </si>
  <si>
    <t>I 904</t>
  </si>
  <si>
    <t xml:space="preserve">Majeed Foods </t>
  </si>
  <si>
    <t>I 919</t>
  </si>
  <si>
    <t>PCR  WR(Paid exp sheet 23/10/25)</t>
  </si>
  <si>
    <t>Mehar Ali sab</t>
  </si>
  <si>
    <t xml:space="preserve">Master Abd ul Nabi </t>
  </si>
  <si>
    <t>I 956</t>
  </si>
  <si>
    <t xml:space="preserve">AL Rehman Battery </t>
  </si>
  <si>
    <t>I 958</t>
  </si>
  <si>
    <t xml:space="preserve">Ahma Sab BVH (Ex Sh)B.T   </t>
  </si>
  <si>
    <t>I 963</t>
  </si>
  <si>
    <t xml:space="preserve">Noman sab ECO </t>
  </si>
  <si>
    <t>I 981</t>
  </si>
  <si>
    <t xml:space="preserve">Naseem Maqbol Industry </t>
  </si>
  <si>
    <t>I 983</t>
  </si>
  <si>
    <t>Zafar Khan sb</t>
  </si>
  <si>
    <t>I 998</t>
  </si>
  <si>
    <t>I 1037</t>
  </si>
  <si>
    <t>I 1051</t>
  </si>
  <si>
    <t xml:space="preserve">Khan Sab Raja Road </t>
  </si>
  <si>
    <t>I 1094</t>
  </si>
  <si>
    <t>Ahmad Sb (DTL)</t>
  </si>
  <si>
    <t>I 1100</t>
  </si>
  <si>
    <t>25/9/2025</t>
  </si>
  <si>
    <t>Deposit IBFT</t>
  </si>
  <si>
    <t>I 1101</t>
  </si>
  <si>
    <t xml:space="preserve">CH Saood sab </t>
  </si>
  <si>
    <t>Precious Water</t>
  </si>
  <si>
    <t>I 1175</t>
  </si>
  <si>
    <t>I 1177</t>
  </si>
  <si>
    <t>I 1193</t>
  </si>
  <si>
    <t>Anees SB</t>
  </si>
  <si>
    <t xml:space="preserve">HB Water (Cash Deposit) </t>
  </si>
  <si>
    <t xml:space="preserve">Usman SB </t>
  </si>
  <si>
    <t>I 1205</t>
  </si>
  <si>
    <t>Usman SB paid</t>
  </si>
  <si>
    <t>14/9/25</t>
  </si>
  <si>
    <t>I 1222</t>
  </si>
  <si>
    <t>Cash Sale ( Sad Water)</t>
  </si>
  <si>
    <t>15/9/25</t>
  </si>
  <si>
    <t>CH. Masood sb</t>
  </si>
  <si>
    <t>I 1229</t>
  </si>
  <si>
    <t>Usman Zubair Remaining Amount</t>
  </si>
  <si>
    <t>I 1230</t>
  </si>
  <si>
    <t xml:space="preserve">Usman sb </t>
  </si>
  <si>
    <t>I 1277</t>
  </si>
  <si>
    <t>20/9/2025</t>
  </si>
  <si>
    <t>I 1312</t>
  </si>
  <si>
    <t xml:space="preserve">Safder sab D.C Office </t>
  </si>
  <si>
    <t>I 1310</t>
  </si>
  <si>
    <t>Usman Sab (Remining Amnt)</t>
  </si>
  <si>
    <t>20/9/25</t>
  </si>
  <si>
    <t>I 1320</t>
  </si>
  <si>
    <t xml:space="preserve">Usman sab </t>
  </si>
  <si>
    <t>21/9/2025</t>
  </si>
  <si>
    <t>Anees SB  IBFT</t>
  </si>
  <si>
    <t>I 1347</t>
  </si>
  <si>
    <t>M/D Foods  ( Sajid sb) Paid</t>
  </si>
  <si>
    <t>I 1389</t>
  </si>
  <si>
    <t>27/9/2025</t>
  </si>
  <si>
    <t>I 1398</t>
  </si>
  <si>
    <t>I 1405</t>
  </si>
  <si>
    <t>I 1462</t>
  </si>
  <si>
    <t>I 1408</t>
  </si>
  <si>
    <t>I 1483</t>
  </si>
  <si>
    <t xml:space="preserve">MD Foods </t>
  </si>
  <si>
    <t>I 1410</t>
  </si>
  <si>
    <t>Malik Asghar Awan sb</t>
  </si>
  <si>
    <t>I 1569</t>
  </si>
  <si>
    <t>I 1446</t>
  </si>
  <si>
    <t>MD Foods IBFT</t>
  </si>
  <si>
    <t>30/9/25</t>
  </si>
  <si>
    <t>I 1451</t>
  </si>
  <si>
    <t>Usman sb (Remining Amount)Paid</t>
  </si>
  <si>
    <t>1/10/25 Exp Sheet</t>
  </si>
  <si>
    <t>MD Foods  IBFT</t>
  </si>
  <si>
    <t>I 1465</t>
  </si>
  <si>
    <t>Haji Ahmad ( Munshi wla)</t>
  </si>
  <si>
    <t>I 1480</t>
  </si>
  <si>
    <t>Nessesry Water(Remining Amount) Usman zubzir</t>
  </si>
  <si>
    <t xml:space="preserve">Remaining Blance </t>
  </si>
  <si>
    <t>I 1533</t>
  </si>
  <si>
    <t>Aqua Life(Paid Exp Sht 7/10/25) B.T</t>
  </si>
  <si>
    <t>I 1560</t>
  </si>
  <si>
    <t>I 1584</t>
  </si>
  <si>
    <t>Abd ul Rasheed(Dubai Wla)</t>
  </si>
  <si>
    <t>13/10/25</t>
  </si>
  <si>
    <t>I 1616</t>
  </si>
  <si>
    <t>22/10/25</t>
  </si>
  <si>
    <t>I 1744</t>
  </si>
  <si>
    <t>I 1750</t>
  </si>
  <si>
    <t>26/10/25</t>
  </si>
  <si>
    <t>I 1793</t>
  </si>
  <si>
    <t>Rana Israr sb</t>
  </si>
  <si>
    <t>29/10/25</t>
  </si>
  <si>
    <t>I 1841</t>
  </si>
  <si>
    <t>Ali sab TMA</t>
  </si>
  <si>
    <t>Master Abdul Nabi sb</t>
  </si>
  <si>
    <t>Anees sab</t>
  </si>
  <si>
    <t>I 1924</t>
  </si>
  <si>
    <t xml:space="preserve">Hussain sb </t>
  </si>
  <si>
    <t>I 1937</t>
  </si>
  <si>
    <t>I1974</t>
  </si>
  <si>
    <t>ch. mehmood sb</t>
  </si>
  <si>
    <t>safdar sb</t>
  </si>
  <si>
    <t>M/D Foods</t>
  </si>
  <si>
    <t>6L+ caps</t>
  </si>
  <si>
    <t>13/10/2025</t>
  </si>
  <si>
    <t>I 1621</t>
  </si>
  <si>
    <t>16/10/25</t>
  </si>
  <si>
    <t>I 1657</t>
  </si>
  <si>
    <t>Membrane washing….</t>
  </si>
  <si>
    <t>20/10/25</t>
  </si>
  <si>
    <t>I 1713</t>
  </si>
  <si>
    <t>5L+caps</t>
  </si>
  <si>
    <t>6L+caps(351 Bottles Returen)</t>
  </si>
  <si>
    <t>22/11/25</t>
  </si>
  <si>
    <t>EXP sheet</t>
  </si>
  <si>
    <t>received by qazi sb</t>
  </si>
  <si>
    <t>bank transfer to qazi sb</t>
  </si>
  <si>
    <t>30/11/25</t>
  </si>
  <si>
    <t>j254</t>
  </si>
  <si>
    <t>1.5l bottle+shoper</t>
  </si>
  <si>
    <t>j163</t>
  </si>
  <si>
    <t>s.s filling nupzle</t>
  </si>
  <si>
    <t>28/1/26</t>
  </si>
  <si>
    <t>j902</t>
  </si>
  <si>
    <t>jumboppf+sand +gravel +vessel</t>
  </si>
  <si>
    <t>j1055</t>
  </si>
  <si>
    <t>elbow</t>
  </si>
  <si>
    <t>finael etc...</t>
  </si>
  <si>
    <t>Grand tatal</t>
  </si>
  <si>
    <t>Gysing Pak Water</t>
  </si>
  <si>
    <t>New Reg(35)</t>
  </si>
  <si>
    <t>F605</t>
  </si>
  <si>
    <t>12L Bottle</t>
  </si>
  <si>
    <t>F661</t>
  </si>
  <si>
    <t>F757</t>
  </si>
  <si>
    <t>F786</t>
  </si>
  <si>
    <t>F953</t>
  </si>
  <si>
    <t>F954</t>
  </si>
  <si>
    <t>F1069</t>
  </si>
  <si>
    <t>16/3/24</t>
  </si>
  <si>
    <t>F1113</t>
  </si>
  <si>
    <t>F1162</t>
  </si>
  <si>
    <t>F1161</t>
  </si>
  <si>
    <t>19L Bad Bottle(226B)</t>
  </si>
  <si>
    <t>F1263</t>
  </si>
  <si>
    <t>F1266</t>
  </si>
  <si>
    <t>F1424</t>
  </si>
  <si>
    <t>F1425</t>
  </si>
  <si>
    <t>17/04/24</t>
  </si>
  <si>
    <t>F1675</t>
  </si>
  <si>
    <t>F1676</t>
  </si>
  <si>
    <t>F1664</t>
  </si>
  <si>
    <t>Ca,Na</t>
  </si>
  <si>
    <t>F1718</t>
  </si>
  <si>
    <t>F1789</t>
  </si>
  <si>
    <t>F1867</t>
  </si>
  <si>
    <t>19Lpineo,..</t>
  </si>
  <si>
    <t>F1896</t>
  </si>
  <si>
    <t>F1929</t>
  </si>
  <si>
    <t>Pump Seal,..</t>
  </si>
  <si>
    <t>29/05/24</t>
  </si>
  <si>
    <t>F1361</t>
  </si>
  <si>
    <t>F1992</t>
  </si>
  <si>
    <t>G22</t>
  </si>
  <si>
    <t>G88</t>
  </si>
  <si>
    <t>G125</t>
  </si>
  <si>
    <t>G126</t>
  </si>
  <si>
    <t>15/6/24</t>
  </si>
  <si>
    <t>G156</t>
  </si>
  <si>
    <t>6L Bottle + Caps</t>
  </si>
  <si>
    <t>16/6/24</t>
  </si>
  <si>
    <t>G239</t>
  </si>
  <si>
    <t>G262</t>
  </si>
  <si>
    <t>G306</t>
  </si>
  <si>
    <t>G307</t>
  </si>
  <si>
    <t>G401</t>
  </si>
  <si>
    <t>G428</t>
  </si>
  <si>
    <t>G456</t>
  </si>
  <si>
    <t>500ml- caps, 1.5-caps</t>
  </si>
  <si>
    <t>G457</t>
  </si>
  <si>
    <t>30mm caps</t>
  </si>
  <si>
    <t>exp sheet</t>
  </si>
  <si>
    <t>19L Bad Bottle difference</t>
  </si>
  <si>
    <t>G522</t>
  </si>
  <si>
    <t>500ml - caps</t>
  </si>
  <si>
    <t>G523</t>
  </si>
  <si>
    <t>G586</t>
  </si>
  <si>
    <t>1.5L- caps</t>
  </si>
  <si>
    <t>G738</t>
  </si>
  <si>
    <t>1.5L- caps, 500ml - caps</t>
  </si>
  <si>
    <t>15/8/2024</t>
  </si>
  <si>
    <t>G778</t>
  </si>
  <si>
    <t xml:space="preserve">1 1/2 L Bottle </t>
  </si>
  <si>
    <t>19/8/2024</t>
  </si>
  <si>
    <t>G779</t>
  </si>
  <si>
    <t>21/8/2024</t>
  </si>
  <si>
    <t>G937</t>
  </si>
  <si>
    <t>500ml - caps, 1.5L - caps, 6L + Caps</t>
  </si>
  <si>
    <t>G667</t>
  </si>
  <si>
    <t>21/9/24</t>
  </si>
  <si>
    <t>23/9/24</t>
  </si>
  <si>
    <t>G1030</t>
  </si>
  <si>
    <t>G1055</t>
  </si>
  <si>
    <t>G1082</t>
  </si>
  <si>
    <t>1.5L- Caps</t>
  </si>
  <si>
    <t>G885</t>
  </si>
  <si>
    <t>G1138</t>
  </si>
  <si>
    <t>G1179</t>
  </si>
  <si>
    <t>G1261</t>
  </si>
  <si>
    <t>500ml - Caps, 1.5L - Caps</t>
  </si>
  <si>
    <t>24/10/24</t>
  </si>
  <si>
    <t>G1314</t>
  </si>
  <si>
    <t xml:space="preserve">Jumbo Gold, </t>
  </si>
  <si>
    <t>G1424</t>
  </si>
  <si>
    <t>12L  Bottle Pet</t>
  </si>
  <si>
    <t>G1425</t>
  </si>
  <si>
    <t>G1433</t>
  </si>
  <si>
    <t>G1453</t>
  </si>
  <si>
    <t>G1531</t>
  </si>
  <si>
    <t>500ml - Caps, Jumbo PPF Gold, Slim PPF Gold</t>
  </si>
  <si>
    <t>G1563</t>
  </si>
  <si>
    <t>G1740</t>
  </si>
  <si>
    <t>22/12/24</t>
  </si>
  <si>
    <t>H230</t>
  </si>
  <si>
    <t>H312</t>
  </si>
  <si>
    <t>H452</t>
  </si>
  <si>
    <t>H716</t>
  </si>
  <si>
    <t>500ml-Caps</t>
  </si>
  <si>
    <t>H732</t>
  </si>
  <si>
    <t>H777</t>
  </si>
  <si>
    <t>H972</t>
  </si>
  <si>
    <t>H994</t>
  </si>
  <si>
    <t>1.5L</t>
  </si>
  <si>
    <t>H1017</t>
  </si>
  <si>
    <t>500ml Bottles</t>
  </si>
  <si>
    <t>H1118</t>
  </si>
  <si>
    <t>H1151</t>
  </si>
  <si>
    <t>H1226</t>
  </si>
  <si>
    <t>1.5LCaps,500ml Caps</t>
  </si>
  <si>
    <t>H1311</t>
  </si>
  <si>
    <t>H1353</t>
  </si>
  <si>
    <t>H1354</t>
  </si>
  <si>
    <t>Cancel 6L Caps</t>
  </si>
  <si>
    <t>H1017 Rate Corrected</t>
  </si>
  <si>
    <t>1.5L Caps</t>
  </si>
  <si>
    <t>H1445</t>
  </si>
  <si>
    <t>H1486</t>
  </si>
  <si>
    <t>H1545</t>
  </si>
  <si>
    <t>H1556</t>
  </si>
  <si>
    <t>1.5L -Caps, 500ml -Caps</t>
  </si>
  <si>
    <t>H1636</t>
  </si>
  <si>
    <t>H1637</t>
  </si>
  <si>
    <t>Jumbo PPF, Slim PPF</t>
  </si>
  <si>
    <t>H1796</t>
  </si>
  <si>
    <t>H1827</t>
  </si>
  <si>
    <t>H1932</t>
  </si>
  <si>
    <t>H1983</t>
  </si>
  <si>
    <t>Dosing Pump</t>
  </si>
  <si>
    <t>H1998</t>
  </si>
  <si>
    <t>H136</t>
  </si>
  <si>
    <t>Sodium Calcium</t>
  </si>
  <si>
    <t>I 2</t>
  </si>
  <si>
    <t>500ml caps, 1.5Lcaps</t>
  </si>
  <si>
    <t>I 98</t>
  </si>
  <si>
    <t>500ml -Caps, Ca, Na</t>
  </si>
  <si>
    <t>I 117</t>
  </si>
  <si>
    <t>500ml -Caps, 1.5L -Caps</t>
  </si>
  <si>
    <t>I 186</t>
  </si>
  <si>
    <t>I 205</t>
  </si>
  <si>
    <t>I 279</t>
  </si>
  <si>
    <t>I 319</t>
  </si>
  <si>
    <t>I 359</t>
  </si>
  <si>
    <t>6L + Caps, 1.5L -Caps</t>
  </si>
  <si>
    <t>17/7/25</t>
  </si>
  <si>
    <t>I 406</t>
  </si>
  <si>
    <t xml:space="preserve">6L + Caps </t>
  </si>
  <si>
    <t>I 441</t>
  </si>
  <si>
    <t>6L + Caps</t>
  </si>
  <si>
    <t>I 456</t>
  </si>
  <si>
    <t>I 487</t>
  </si>
  <si>
    <t>29/7/25</t>
  </si>
  <si>
    <t>I 533</t>
  </si>
  <si>
    <t>6L +Caps</t>
  </si>
  <si>
    <t>I 535</t>
  </si>
  <si>
    <t>6L+Caps, 500ml - Caps</t>
  </si>
  <si>
    <t>I 537</t>
  </si>
  <si>
    <t>500ml-Caps, 1.5L-Caps</t>
  </si>
  <si>
    <t>31/7/25</t>
  </si>
  <si>
    <t>MG</t>
  </si>
  <si>
    <t>I 606</t>
  </si>
  <si>
    <t xml:space="preserve">1.5L caps </t>
  </si>
  <si>
    <t>I 655</t>
  </si>
  <si>
    <t>6LE+C</t>
  </si>
  <si>
    <t>I 663</t>
  </si>
  <si>
    <t>I 705</t>
  </si>
  <si>
    <t>6L+CAPS</t>
  </si>
  <si>
    <t>I 802</t>
  </si>
  <si>
    <t>21/8/2025</t>
  </si>
  <si>
    <t>I 831</t>
  </si>
  <si>
    <t>6L+Caps   1.5L-Caps</t>
  </si>
  <si>
    <t>23/8/20225</t>
  </si>
  <si>
    <t>I 844</t>
  </si>
  <si>
    <t>I 887</t>
  </si>
  <si>
    <t>I 867</t>
  </si>
  <si>
    <t>I 917</t>
  </si>
  <si>
    <t>6L Caps</t>
  </si>
  <si>
    <t>I 977</t>
  </si>
  <si>
    <t xml:space="preserve">6L+Caps </t>
  </si>
  <si>
    <t>I 996</t>
  </si>
  <si>
    <t>1.5L  Caps</t>
  </si>
  <si>
    <t>I 1049</t>
  </si>
  <si>
    <t>6L + caps.  500ml - caps</t>
  </si>
  <si>
    <t>I 1053</t>
  </si>
  <si>
    <t>I 1126</t>
  </si>
  <si>
    <t>500ml-caps…</t>
  </si>
  <si>
    <t>I 1137</t>
  </si>
  <si>
    <t>1.5L - Caps…</t>
  </si>
  <si>
    <t>I 1151</t>
  </si>
  <si>
    <t>6L + Caps…..</t>
  </si>
  <si>
    <t>I 1154</t>
  </si>
  <si>
    <t>I 1156</t>
  </si>
  <si>
    <t>Feed pump + Reparing</t>
  </si>
  <si>
    <t>I 1130</t>
  </si>
  <si>
    <t>Cash Deposit (IBFT)</t>
  </si>
  <si>
    <t>I 1187</t>
  </si>
  <si>
    <t>6L + caps</t>
  </si>
  <si>
    <t>I 1192</t>
  </si>
  <si>
    <t>15/9/2025</t>
  </si>
  <si>
    <t>I 1236</t>
  </si>
  <si>
    <t>1.5L - caps….</t>
  </si>
  <si>
    <t>I 1248</t>
  </si>
  <si>
    <t>12L + caps</t>
  </si>
  <si>
    <t>I 1276</t>
  </si>
  <si>
    <t>I 1308</t>
  </si>
  <si>
    <t>5L + caps….</t>
  </si>
  <si>
    <t>23/9/2025</t>
  </si>
  <si>
    <t>I 1362</t>
  </si>
  <si>
    <t>I 1421</t>
  </si>
  <si>
    <t>6L + capa…</t>
  </si>
  <si>
    <t>I 1422</t>
  </si>
  <si>
    <t>29/9/2025</t>
  </si>
  <si>
    <t>I 1440</t>
  </si>
  <si>
    <t>1.5L- caps…</t>
  </si>
  <si>
    <t>I 1501</t>
  </si>
  <si>
    <t>Cash Deposited</t>
  </si>
  <si>
    <t>I 1558</t>
  </si>
  <si>
    <t>1.5L - caps</t>
  </si>
  <si>
    <t>I 1588</t>
  </si>
  <si>
    <t>I 1592</t>
  </si>
  <si>
    <t>I 1600</t>
  </si>
  <si>
    <t>14/10/25</t>
  </si>
  <si>
    <t>I 1637</t>
  </si>
  <si>
    <t>15/10/25</t>
  </si>
  <si>
    <t>I 1646</t>
  </si>
  <si>
    <t>I 1667</t>
  </si>
  <si>
    <t>500ml-caps….</t>
  </si>
  <si>
    <t>18/10/25</t>
  </si>
  <si>
    <t>I 1693</t>
  </si>
  <si>
    <t xml:space="preserve">19L </t>
  </si>
  <si>
    <t>I 1715</t>
  </si>
  <si>
    <t>Slim Gold</t>
  </si>
  <si>
    <t>I 1740</t>
  </si>
  <si>
    <t>6L+caps</t>
  </si>
  <si>
    <t>I 1751</t>
  </si>
  <si>
    <t>25/10/25</t>
  </si>
  <si>
    <t>I 1768</t>
  </si>
  <si>
    <t>I 1835</t>
  </si>
  <si>
    <t>30/10/25</t>
  </si>
  <si>
    <t>I 1854</t>
  </si>
  <si>
    <t>6L+caps….</t>
  </si>
  <si>
    <t>I 1876</t>
  </si>
  <si>
    <t>I 1922</t>
  </si>
  <si>
    <t>I 1933</t>
  </si>
  <si>
    <t>I 1944</t>
  </si>
  <si>
    <t>I 1956</t>
  </si>
  <si>
    <t>Cash Seposit</t>
  </si>
  <si>
    <t>I1984</t>
  </si>
  <si>
    <t>j13</t>
  </si>
  <si>
    <t>j37</t>
  </si>
  <si>
    <t>12L + caps,500ml +caps</t>
  </si>
  <si>
    <t>bank transfer</t>
  </si>
  <si>
    <t>15/11/25</t>
  </si>
  <si>
    <t>j79</t>
  </si>
  <si>
    <t>6ltr +caps</t>
  </si>
  <si>
    <t>17/11/25</t>
  </si>
  <si>
    <t>j104</t>
  </si>
  <si>
    <t>18/11/25</t>
  </si>
  <si>
    <t>j114</t>
  </si>
  <si>
    <t>j116</t>
  </si>
  <si>
    <t>19/11/25</t>
  </si>
  <si>
    <t>20/11/25</t>
  </si>
  <si>
    <t>j133</t>
  </si>
  <si>
    <t>j137</t>
  </si>
  <si>
    <t>j148</t>
  </si>
  <si>
    <t>25/11/25</t>
  </si>
  <si>
    <t>j198</t>
  </si>
  <si>
    <t>27/11/25</t>
  </si>
  <si>
    <t>jazz cash</t>
  </si>
  <si>
    <t>29/11/25</t>
  </si>
  <si>
    <t>j236</t>
  </si>
  <si>
    <t>j288</t>
  </si>
  <si>
    <t>500ml bottle pure</t>
  </si>
  <si>
    <t>j313</t>
  </si>
  <si>
    <t>1.5l-cap,500ml-cap,6l+cap</t>
  </si>
  <si>
    <t>j334</t>
  </si>
  <si>
    <t>j390</t>
  </si>
  <si>
    <t>j404</t>
  </si>
  <si>
    <t>6l+caps+12ltr</t>
  </si>
  <si>
    <t>16/12/25</t>
  </si>
  <si>
    <t>j438</t>
  </si>
  <si>
    <t>17/12/25</t>
  </si>
  <si>
    <t>22/12/25</t>
  </si>
  <si>
    <t>j499</t>
  </si>
  <si>
    <t>23/12/25</t>
  </si>
  <si>
    <t>j512</t>
  </si>
  <si>
    <t>j517</t>
  </si>
  <si>
    <t>27/12/25</t>
  </si>
  <si>
    <t>j551</t>
  </si>
  <si>
    <t>6l+caps</t>
  </si>
  <si>
    <t>j562</t>
  </si>
  <si>
    <t>ca</t>
  </si>
  <si>
    <t>28/12/25</t>
  </si>
  <si>
    <t>30/12/25</t>
  </si>
  <si>
    <t>j592</t>
  </si>
  <si>
    <t>j594</t>
  </si>
  <si>
    <t>j599</t>
  </si>
  <si>
    <t>6l+caps.....</t>
  </si>
  <si>
    <t>j634</t>
  </si>
  <si>
    <t>j635</t>
  </si>
  <si>
    <t>mg</t>
  </si>
  <si>
    <t>easy paisa</t>
  </si>
  <si>
    <t>j670</t>
  </si>
  <si>
    <t>6l+caps+500ml pure</t>
  </si>
  <si>
    <t>j671</t>
  </si>
  <si>
    <t>ca +na</t>
  </si>
  <si>
    <t>online deposit</t>
  </si>
  <si>
    <t>j684</t>
  </si>
  <si>
    <t>j698</t>
  </si>
  <si>
    <t>j754</t>
  </si>
  <si>
    <t>j756</t>
  </si>
  <si>
    <t>14/1/26</t>
  </si>
  <si>
    <t>j768</t>
  </si>
  <si>
    <t>17/1/26</t>
  </si>
  <si>
    <t>20/1/26</t>
  </si>
  <si>
    <t>j818</t>
  </si>
  <si>
    <t>j824</t>
  </si>
  <si>
    <t>21/1/26</t>
  </si>
  <si>
    <t>j834</t>
  </si>
  <si>
    <t>26/1/26</t>
  </si>
  <si>
    <t>j877</t>
  </si>
  <si>
    <t>j901</t>
  </si>
  <si>
    <t>29/1/26</t>
  </si>
  <si>
    <t>j921</t>
  </si>
  <si>
    <t>31/1/26</t>
  </si>
  <si>
    <t>j932</t>
  </si>
  <si>
    <t>j978</t>
  </si>
  <si>
    <t>j991</t>
  </si>
  <si>
    <t>j1035</t>
  </si>
  <si>
    <t>j1070</t>
  </si>
  <si>
    <t>6l+caps+1.5l-caps</t>
  </si>
  <si>
    <t>j1081</t>
  </si>
  <si>
    <t>1.5-caps+6l+caps</t>
  </si>
  <si>
    <t>14/2/26</t>
  </si>
  <si>
    <t>j1120</t>
  </si>
  <si>
    <t>12l bottle</t>
  </si>
  <si>
    <t>j1127</t>
  </si>
  <si>
    <t>1.5l-caps,500ml-caps</t>
  </si>
  <si>
    <t>16/2/26</t>
  </si>
  <si>
    <t>j1147</t>
  </si>
  <si>
    <t>18/2/26</t>
  </si>
  <si>
    <t>j1190</t>
  </si>
  <si>
    <t>Usman Zubair</t>
  </si>
  <si>
    <t>I1987</t>
  </si>
  <si>
    <t>j82</t>
  </si>
  <si>
    <t>j99</t>
  </si>
  <si>
    <t>j125</t>
  </si>
  <si>
    <t>j157</t>
  </si>
  <si>
    <t>24/11/25</t>
  </si>
  <si>
    <t>j190</t>
  </si>
  <si>
    <t>26/11/25</t>
  </si>
  <si>
    <t>EXp sheet</t>
  </si>
  <si>
    <t>j251</t>
  </si>
  <si>
    <t>j337</t>
  </si>
  <si>
    <t>j358</t>
  </si>
  <si>
    <t>j324</t>
  </si>
  <si>
    <t>1.5l shoper</t>
  </si>
  <si>
    <t>j367</t>
  </si>
  <si>
    <t>j391</t>
  </si>
  <si>
    <t>j392</t>
  </si>
  <si>
    <t>1.5l label</t>
  </si>
  <si>
    <t>24/1/26</t>
  </si>
  <si>
    <t>j870</t>
  </si>
  <si>
    <t>1.5+caps...</t>
  </si>
  <si>
    <t>27/1/26</t>
  </si>
  <si>
    <t>j962</t>
  </si>
  <si>
    <t>j1009</t>
  </si>
  <si>
    <t>received by qazi sb cash in hand</t>
  </si>
  <si>
    <t>j1063</t>
  </si>
  <si>
    <t>1.5l+caps+500ml +caps</t>
  </si>
  <si>
    <t>j1111</t>
  </si>
  <si>
    <t>j1154</t>
  </si>
  <si>
    <t>6l</t>
  </si>
  <si>
    <t>j1189</t>
  </si>
  <si>
    <t>1.5l +caps....</t>
  </si>
  <si>
    <t>Grand Total</t>
  </si>
  <si>
    <t>Dr. Jameel Sab</t>
  </si>
  <si>
    <t>Old Reg(98)</t>
  </si>
  <si>
    <t xml:space="preserve">Deposit </t>
  </si>
  <si>
    <t>28/10/2024</t>
  </si>
  <si>
    <t>G 1354</t>
  </si>
  <si>
    <t>19/6/2025</t>
  </si>
  <si>
    <t>1.5L caps….</t>
  </si>
  <si>
    <t>Ex Sheet</t>
  </si>
  <si>
    <t>14/6/2025</t>
  </si>
  <si>
    <t>H 132</t>
  </si>
  <si>
    <t xml:space="preserve">1.5L Labour… </t>
  </si>
  <si>
    <t>15/6/2025</t>
  </si>
  <si>
    <t>H 155</t>
  </si>
  <si>
    <t>1.5L shoper….</t>
  </si>
  <si>
    <t>17/6/2025</t>
  </si>
  <si>
    <t>H 200</t>
  </si>
  <si>
    <t>500ml caps….</t>
  </si>
  <si>
    <t>21/6/2025</t>
  </si>
  <si>
    <t>I 59</t>
  </si>
  <si>
    <t>22/6/2025</t>
  </si>
  <si>
    <t>B.T</t>
  </si>
  <si>
    <t>23/6/2025</t>
  </si>
  <si>
    <t>25/6/2025</t>
  </si>
  <si>
    <t>30/6/2025</t>
  </si>
  <si>
    <t>500ml Seals…</t>
  </si>
  <si>
    <t>15/7/2025</t>
  </si>
  <si>
    <t>Cash Deposit  B.T</t>
  </si>
  <si>
    <t>16/7/2025</t>
  </si>
  <si>
    <t>500L caps…..</t>
  </si>
  <si>
    <t>26/7/2025</t>
  </si>
  <si>
    <r>
      <rPr>
        <b/>
        <sz val="12"/>
        <color rgb="FF000000"/>
        <rFont val="Calibri"/>
        <charset val="134"/>
        <scheme val="minor"/>
      </rPr>
      <t xml:space="preserve">I </t>
    </r>
    <r>
      <rPr>
        <sz val="12"/>
        <color rgb="FF000000"/>
        <rFont val="Calibri"/>
        <charset val="134"/>
        <scheme val="minor"/>
      </rPr>
      <t>493</t>
    </r>
  </si>
  <si>
    <t>28/7/2025</t>
  </si>
  <si>
    <t>I 782</t>
  </si>
  <si>
    <r>
      <rPr>
        <b/>
        <sz val="12"/>
        <color rgb="FF000000"/>
        <rFont val="Calibri"/>
        <charset val="134"/>
        <scheme val="minor"/>
      </rPr>
      <t xml:space="preserve">I </t>
    </r>
    <r>
      <rPr>
        <sz val="12"/>
        <color rgb="FF000000"/>
        <rFont val="Calibri"/>
        <charset val="134"/>
        <scheme val="minor"/>
      </rPr>
      <t>1025</t>
    </r>
  </si>
  <si>
    <t>I 812</t>
  </si>
  <si>
    <t>I 842</t>
  </si>
  <si>
    <t>I 860</t>
  </si>
  <si>
    <t>I 876</t>
  </si>
  <si>
    <t xml:space="preserve">Cash Deposit  </t>
  </si>
  <si>
    <t>I 924</t>
  </si>
  <si>
    <t>I 993</t>
  </si>
  <si>
    <t>1.5L   caps….</t>
  </si>
  <si>
    <t>I 1297</t>
  </si>
  <si>
    <t>I 1315</t>
  </si>
  <si>
    <t xml:space="preserve">Cash deposit </t>
  </si>
  <si>
    <t>I 1456</t>
  </si>
  <si>
    <t xml:space="preserve">Pending </t>
  </si>
  <si>
    <t>shell old</t>
  </si>
  <si>
    <t>membrane advance</t>
  </si>
  <si>
    <t>old Advance deposit</t>
  </si>
  <si>
    <t>j893</t>
  </si>
  <si>
    <t>1.5l-caps</t>
  </si>
  <si>
    <t>j916</t>
  </si>
  <si>
    <t>30/7/2025</t>
  </si>
  <si>
    <t xml:space="preserve">Remn Amnt </t>
  </si>
  <si>
    <t>30/7/25</t>
  </si>
  <si>
    <t>Media Lable 6L (paid)</t>
  </si>
  <si>
    <t>HB Water Remn Amnt</t>
  </si>
  <si>
    <t>I 1143</t>
  </si>
  <si>
    <t>I 1610</t>
  </si>
  <si>
    <t>500ml seal….</t>
  </si>
  <si>
    <t>I 1625</t>
  </si>
  <si>
    <t>18/10/2025</t>
  </si>
  <si>
    <t>I 1683</t>
  </si>
  <si>
    <t>21/10/25</t>
  </si>
  <si>
    <t>I 1757</t>
  </si>
  <si>
    <t>27/10/25</t>
  </si>
  <si>
    <t>I 1862</t>
  </si>
  <si>
    <t>I 1926</t>
  </si>
  <si>
    <t>I 1957</t>
  </si>
  <si>
    <t>500ml + caps….</t>
  </si>
  <si>
    <t>I1990</t>
  </si>
  <si>
    <t>1.5ltr+500ml</t>
  </si>
  <si>
    <t>13/11/25</t>
  </si>
  <si>
    <t>j74</t>
  </si>
  <si>
    <t>16/11/25</t>
  </si>
  <si>
    <t>j107</t>
  </si>
  <si>
    <t>1.5Ltr+500ml+6ltr</t>
  </si>
  <si>
    <t>j159</t>
  </si>
  <si>
    <t>j164</t>
  </si>
  <si>
    <t>ozone generator</t>
  </si>
  <si>
    <t>23/11/25</t>
  </si>
  <si>
    <t>j176</t>
  </si>
  <si>
    <t>washing chemical,flunch jan</t>
  </si>
  <si>
    <t>j217</t>
  </si>
  <si>
    <t>j342</t>
  </si>
  <si>
    <t>j434</t>
  </si>
  <si>
    <t>25/12/25</t>
  </si>
  <si>
    <t>cash deposit +bank transfer</t>
  </si>
  <si>
    <t>21/12/25</t>
  </si>
  <si>
    <t>j496</t>
  </si>
  <si>
    <t>j545</t>
  </si>
  <si>
    <t>1.5+caps.......</t>
  </si>
  <si>
    <t>j619</t>
  </si>
  <si>
    <t>j757</t>
  </si>
  <si>
    <t>j826</t>
  </si>
  <si>
    <t>6ltr label</t>
  </si>
  <si>
    <t>j1028</t>
  </si>
  <si>
    <t>j1148</t>
  </si>
  <si>
    <t>500ml+1.5l+shoper...</t>
  </si>
  <si>
    <t>j1182</t>
  </si>
  <si>
    <t>30mm caps+1.5l seal</t>
  </si>
  <si>
    <t>D264</t>
  </si>
  <si>
    <t>Bhatti Girls Hostel</t>
  </si>
  <si>
    <t>Akhter Awan Sb</t>
  </si>
  <si>
    <t>18/05/23</t>
  </si>
  <si>
    <t>M Usman (Tall)</t>
  </si>
  <si>
    <t>21/06/23</t>
  </si>
  <si>
    <t>E37</t>
  </si>
  <si>
    <t>Eng Naeem Sb BVH</t>
  </si>
  <si>
    <t>F962</t>
  </si>
  <si>
    <t>18/07/23</t>
  </si>
  <si>
    <t>E471</t>
  </si>
  <si>
    <t>Ahmed Sb Sheri Chowk</t>
  </si>
  <si>
    <t>Ref: Sir Imran</t>
  </si>
  <si>
    <t>Nafy Water(Danial ) Pump 
Rep</t>
  </si>
  <si>
    <t>28/08/23</t>
  </si>
  <si>
    <t>E961</t>
  </si>
  <si>
    <t>Zafar Khan Sb</t>
  </si>
  <si>
    <t>E1062</t>
  </si>
  <si>
    <t>Masjid Sageer ul Yousaf</t>
  </si>
  <si>
    <t>E11760</t>
  </si>
  <si>
    <t>Madrasa Dar ul Salam</t>
  </si>
  <si>
    <t>24/09/23</t>
  </si>
  <si>
    <t>E1343</t>
  </si>
  <si>
    <t>Bilal Sb Liaquat Pur</t>
  </si>
  <si>
    <t>31/10/23</t>
  </si>
  <si>
    <t>E1437</t>
  </si>
  <si>
    <t>Bashrat Sb 1Unit</t>
  </si>
  <si>
    <t>E1624</t>
  </si>
  <si>
    <t>E1782</t>
  </si>
  <si>
    <t>F1502</t>
  </si>
  <si>
    <t>E1588</t>
  </si>
  <si>
    <t>S.E Clg</t>
  </si>
  <si>
    <t>F975</t>
  </si>
  <si>
    <t>F990</t>
  </si>
  <si>
    <t>20/04/24</t>
  </si>
  <si>
    <t>F1444</t>
  </si>
  <si>
    <t>Shahid Sb (Excise Office</t>
  </si>
  <si>
    <t>F1563</t>
  </si>
  <si>
    <t>Excice office</t>
  </si>
  <si>
    <t>16/10/23</t>
  </si>
  <si>
    <t>E1666</t>
  </si>
  <si>
    <t>Ch Masood Sb</t>
  </si>
  <si>
    <t>F100</t>
  </si>
  <si>
    <t>Ahmed Sb DTL</t>
  </si>
  <si>
    <t>F84</t>
  </si>
  <si>
    <t>Master Abdul Shakoor Sb</t>
  </si>
  <si>
    <t>24/12/23</t>
  </si>
  <si>
    <t>F281</t>
  </si>
  <si>
    <t>Yaseen Bhai Tailor</t>
  </si>
  <si>
    <t>30/12/23</t>
  </si>
  <si>
    <t>F346</t>
  </si>
  <si>
    <t>Thanda Pani (Asif Sb)</t>
  </si>
  <si>
    <t>F761</t>
  </si>
  <si>
    <t>Thanda Pani (Irfan)</t>
  </si>
  <si>
    <t>F1892</t>
  </si>
  <si>
    <t>F443</t>
  </si>
  <si>
    <t>Safa Water (G.M)</t>
  </si>
  <si>
    <t>F500</t>
  </si>
  <si>
    <t>F540</t>
  </si>
  <si>
    <t xml:space="preserve">Haji Akbar </t>
  </si>
  <si>
    <t>F548</t>
  </si>
  <si>
    <t>PCRWR</t>
  </si>
  <si>
    <t>F576</t>
  </si>
  <si>
    <t>Sheikh Uncle</t>
  </si>
  <si>
    <t>F625</t>
  </si>
  <si>
    <t>M.D Foods (Sajid Sb)</t>
  </si>
  <si>
    <t>26/07/23</t>
  </si>
  <si>
    <t>E569</t>
  </si>
  <si>
    <t>Saleem Chishti Sb</t>
  </si>
  <si>
    <t>E663</t>
  </si>
  <si>
    <t>19/09/23</t>
  </si>
  <si>
    <t>E1293</t>
  </si>
  <si>
    <t>E1832</t>
  </si>
  <si>
    <t>F777</t>
  </si>
  <si>
    <t>Esencia Water(Asad Sb)</t>
  </si>
  <si>
    <t>F811</t>
  </si>
  <si>
    <t>F856</t>
  </si>
  <si>
    <t>18/05/24</t>
  </si>
  <si>
    <t>F1790</t>
  </si>
  <si>
    <t>Esencia Water</t>
  </si>
  <si>
    <t>F929</t>
  </si>
  <si>
    <t>F994</t>
  </si>
  <si>
    <t>26/3/2024</t>
  </si>
  <si>
    <t>F1172</t>
  </si>
  <si>
    <t>G91</t>
  </si>
  <si>
    <t>F1072</t>
  </si>
  <si>
    <t>Wasif Ali/Danish Cofee</t>
  </si>
  <si>
    <t>F1049</t>
  </si>
  <si>
    <t>Munawar Dewan Sb</t>
  </si>
  <si>
    <t>F1649</t>
  </si>
  <si>
    <t>F1087</t>
  </si>
  <si>
    <t>Mubarik Pur (Akram Sb)</t>
  </si>
  <si>
    <t>F1107</t>
  </si>
  <si>
    <t>Mahar Ijaz Sb</t>
  </si>
  <si>
    <t>F956</t>
  </si>
  <si>
    <t>Al Khidmat (Asif Sb)</t>
  </si>
  <si>
    <t>F973</t>
  </si>
  <si>
    <t>F991</t>
  </si>
  <si>
    <t xml:space="preserve">Respected Sir Haji Hassan </t>
  </si>
  <si>
    <t>F1184</t>
  </si>
  <si>
    <t>Basit Ali Sb (Danish Bhai)</t>
  </si>
  <si>
    <t>F1183</t>
  </si>
  <si>
    <t>Abad ul Rehman</t>
  </si>
  <si>
    <t>F1294</t>
  </si>
  <si>
    <t>Sadam Sb</t>
  </si>
  <si>
    <t>MAhar Faraz Sb</t>
  </si>
  <si>
    <t>F1416</t>
  </si>
  <si>
    <t>Nector Water Fall</t>
  </si>
  <si>
    <t>F1479</t>
  </si>
  <si>
    <t>Prof. Abdul Nabi Sb</t>
  </si>
  <si>
    <t>F1516</t>
  </si>
  <si>
    <t>Fida Hussain Sb</t>
  </si>
  <si>
    <t>F1845</t>
  </si>
  <si>
    <t>F1518</t>
  </si>
  <si>
    <t>Uch Shareef</t>
  </si>
  <si>
    <t>F1519</t>
  </si>
  <si>
    <t xml:space="preserve">Anees </t>
  </si>
  <si>
    <t>30/04/24</t>
  </si>
  <si>
    <t>F1577</t>
  </si>
  <si>
    <t>F1582</t>
  </si>
  <si>
    <t>F1588</t>
  </si>
  <si>
    <t>F1594</t>
  </si>
  <si>
    <t>Nimra Masjid LD</t>
  </si>
  <si>
    <t>F1595</t>
  </si>
  <si>
    <t>F1607</t>
  </si>
  <si>
    <t>Dr Adeel Sb</t>
  </si>
  <si>
    <t>F1648</t>
  </si>
  <si>
    <t>Yousaf Norani Sb</t>
  </si>
  <si>
    <t>F1674</t>
  </si>
  <si>
    <t>12 Bs High School</t>
  </si>
  <si>
    <t>F1707</t>
  </si>
  <si>
    <t>14/5/2024</t>
  </si>
  <si>
    <t>F1768</t>
  </si>
  <si>
    <t>abdul Haq Fresco</t>
  </si>
  <si>
    <t>F1612</t>
  </si>
  <si>
    <t>Hafiz Sb</t>
  </si>
  <si>
    <t>F1933</t>
  </si>
  <si>
    <t>Mahad Rafiq</t>
  </si>
  <si>
    <t>F1983</t>
  </si>
  <si>
    <t>Imran Lasani Water</t>
  </si>
  <si>
    <t>G52</t>
  </si>
  <si>
    <t>MD Industry</t>
  </si>
  <si>
    <t>F2000</t>
  </si>
  <si>
    <t>Plumber</t>
  </si>
  <si>
    <t>G92</t>
  </si>
  <si>
    <t>G167</t>
  </si>
  <si>
    <t>Ahsan sb(Al Kareem Plaza)</t>
  </si>
  <si>
    <t>G179</t>
  </si>
  <si>
    <t>Yaseen sab Tailor</t>
  </si>
  <si>
    <t>G200</t>
  </si>
  <si>
    <t>G211</t>
  </si>
  <si>
    <t>Saboor sab (Opel Water)</t>
  </si>
  <si>
    <t>G240</t>
  </si>
  <si>
    <t>G259</t>
  </si>
  <si>
    <t>G261</t>
  </si>
  <si>
    <t>G263</t>
  </si>
  <si>
    <t>Altaf-ur-Rehman sab</t>
  </si>
  <si>
    <t>G274</t>
  </si>
  <si>
    <t>G291</t>
  </si>
  <si>
    <t>Haroon sab ice factory</t>
  </si>
  <si>
    <t>G353</t>
  </si>
  <si>
    <t>Imran ul Allah</t>
  </si>
  <si>
    <t>G366</t>
  </si>
  <si>
    <t>Yousaf Nurani</t>
  </si>
  <si>
    <t>7/724</t>
  </si>
  <si>
    <t>G367</t>
  </si>
  <si>
    <t>Opel Water (Saboor sab)</t>
  </si>
  <si>
    <t>G382</t>
  </si>
  <si>
    <t>G388</t>
  </si>
  <si>
    <t>Naeem sab BVH</t>
  </si>
  <si>
    <t>G394</t>
  </si>
  <si>
    <t>G439</t>
  </si>
  <si>
    <t>Kashif Blue Ice</t>
  </si>
  <si>
    <t>G460</t>
  </si>
  <si>
    <t>Abdul Nabi sab</t>
  </si>
  <si>
    <t>G494</t>
  </si>
  <si>
    <t>G498</t>
  </si>
  <si>
    <t>Pro Esencia Water</t>
  </si>
  <si>
    <t>29/7/24</t>
  </si>
  <si>
    <t>G544</t>
  </si>
  <si>
    <t>Mehar Ijaz</t>
  </si>
  <si>
    <t>22/7/24</t>
  </si>
  <si>
    <t>G485</t>
  </si>
  <si>
    <t>Glaxy Aqua Lodhran</t>
  </si>
  <si>
    <t>G553</t>
  </si>
  <si>
    <t>Muzamil sab</t>
  </si>
  <si>
    <t>G559</t>
  </si>
  <si>
    <t>Bino</t>
  </si>
  <si>
    <t>G546</t>
  </si>
  <si>
    <t>Al Safa</t>
  </si>
  <si>
    <t>G731</t>
  </si>
  <si>
    <t>Dr. Adeel sab</t>
  </si>
  <si>
    <t>G736</t>
  </si>
  <si>
    <t>Asif sab</t>
  </si>
  <si>
    <t>G758</t>
  </si>
  <si>
    <t>G903</t>
  </si>
  <si>
    <t>Aqua Crystal water</t>
  </si>
  <si>
    <t>G978</t>
  </si>
  <si>
    <t>Water Well A.P</t>
  </si>
  <si>
    <t>Shah sab</t>
  </si>
  <si>
    <t>Aqua Blue (Old Balance)</t>
  </si>
  <si>
    <t>G633</t>
  </si>
  <si>
    <t>16/9/24</t>
  </si>
  <si>
    <t>G848</t>
  </si>
  <si>
    <t>G1003</t>
  </si>
  <si>
    <t>G1024</t>
  </si>
  <si>
    <t>Kamal Water</t>
  </si>
  <si>
    <t>G1014</t>
  </si>
  <si>
    <t xml:space="preserve">Ahmad Sab </t>
  </si>
  <si>
    <t>G884</t>
  </si>
  <si>
    <t xml:space="preserve">SD High School </t>
  </si>
  <si>
    <t>G1021</t>
  </si>
  <si>
    <t>Excise Office</t>
  </si>
  <si>
    <t>G841</t>
  </si>
  <si>
    <t>G1127</t>
  </si>
  <si>
    <t>Ahsan sab (Mobile)</t>
  </si>
  <si>
    <t>Water Candy</t>
  </si>
  <si>
    <t>G1276</t>
  </si>
  <si>
    <t>G1292</t>
  </si>
  <si>
    <t>G1310</t>
  </si>
  <si>
    <t xml:space="preserve">MD Food </t>
  </si>
  <si>
    <t>G1311</t>
  </si>
  <si>
    <t>27/10/24</t>
  </si>
  <si>
    <t>G1345</t>
  </si>
  <si>
    <t>G1373</t>
  </si>
  <si>
    <t>G1387</t>
  </si>
  <si>
    <t>Dr Saleem sb</t>
  </si>
  <si>
    <t>G1389</t>
  </si>
  <si>
    <t>G1411</t>
  </si>
  <si>
    <t>Bisharat sb</t>
  </si>
  <si>
    <t>G1417</t>
  </si>
  <si>
    <t>G1456</t>
  </si>
  <si>
    <t>G1464</t>
  </si>
  <si>
    <t>G1481</t>
  </si>
  <si>
    <t>G1486</t>
  </si>
  <si>
    <t>Saboor sb Opal Water</t>
  </si>
  <si>
    <t>New Reg(180)</t>
  </si>
  <si>
    <t>18/5/24</t>
  </si>
  <si>
    <t>F1794</t>
  </si>
  <si>
    <t>25/5/24</t>
  </si>
  <si>
    <t>F1890</t>
  </si>
  <si>
    <t>1.5L Bottle,…</t>
  </si>
  <si>
    <t>28/5/24</t>
  </si>
  <si>
    <t>F1937</t>
  </si>
  <si>
    <t>29/5/24</t>
  </si>
  <si>
    <t>F1969</t>
  </si>
  <si>
    <t>F1988</t>
  </si>
  <si>
    <t>500ml Bottles,..</t>
  </si>
  <si>
    <t>G743</t>
  </si>
  <si>
    <t>G744</t>
  </si>
  <si>
    <t>G81</t>
  </si>
  <si>
    <t>G118</t>
  </si>
  <si>
    <t>23/6/24</t>
  </si>
  <si>
    <t>28/6/24</t>
  </si>
  <si>
    <t>G1578</t>
  </si>
  <si>
    <t>G1624</t>
  </si>
  <si>
    <t>1.5L - Caps, 30mm  Caps</t>
  </si>
  <si>
    <t>G1635</t>
  </si>
  <si>
    <t>G1642</t>
  </si>
  <si>
    <t>500ml -Caps, 6L + Caps</t>
  </si>
  <si>
    <t>G1664</t>
  </si>
  <si>
    <t>G1698</t>
  </si>
  <si>
    <t>G1722</t>
  </si>
  <si>
    <t>G1741</t>
  </si>
  <si>
    <t>6L + Caps, 500ml - Caps, 1.5L - Caps</t>
  </si>
  <si>
    <t>G1752</t>
  </si>
  <si>
    <t>6L + Caps, 30mm Caps</t>
  </si>
  <si>
    <t>G1773</t>
  </si>
  <si>
    <t>1.5-L Caps, 500ml- Caps</t>
  </si>
  <si>
    <t>G1774</t>
  </si>
  <si>
    <t>5L + Caps</t>
  </si>
  <si>
    <t>G1787</t>
  </si>
  <si>
    <t>1.5L- Caps,500ml - Caps,5L + Caps</t>
  </si>
  <si>
    <t>G1829</t>
  </si>
  <si>
    <t>1.5L, 500ml, 6L E+C</t>
  </si>
  <si>
    <t>G1837</t>
  </si>
  <si>
    <t>G1850</t>
  </si>
  <si>
    <t>1.5L- Caps,500ml - Caps,6L + Caps</t>
  </si>
  <si>
    <t>G1866</t>
  </si>
  <si>
    <t>1.5L-Caps,500ml -Caps</t>
  </si>
  <si>
    <t>Cash Deposit (Bill no 1850+274)</t>
  </si>
  <si>
    <t>G1885</t>
  </si>
  <si>
    <t>G1888</t>
  </si>
  <si>
    <t>H12</t>
  </si>
  <si>
    <t>18/12/24</t>
  </si>
  <si>
    <t>G1813</t>
  </si>
  <si>
    <t>0.5L, Caps</t>
  </si>
  <si>
    <t>H38</t>
  </si>
  <si>
    <t>6L+Caps, 1.5L-Caps,500ml-Caps</t>
  </si>
  <si>
    <t>H50</t>
  </si>
  <si>
    <t>1.5L- Caps,500ml-Caps, 30mm Caps</t>
  </si>
  <si>
    <t>H57</t>
  </si>
  <si>
    <t>1.5L-Caps,6L+ Caps</t>
  </si>
  <si>
    <t>H207</t>
  </si>
  <si>
    <t>500ml-Caps,6L+ Caps</t>
  </si>
  <si>
    <t>H232</t>
  </si>
  <si>
    <t>H244</t>
  </si>
  <si>
    <t>18/1/25</t>
  </si>
  <si>
    <t>H300</t>
  </si>
  <si>
    <t>G199</t>
  </si>
  <si>
    <t>H329</t>
  </si>
  <si>
    <t>500ml-Caps, 1.5L- Caps</t>
  </si>
  <si>
    <t>H340</t>
  </si>
  <si>
    <t>H356</t>
  </si>
  <si>
    <t>30mm Caps, 1.5L- Caps, 500ml - Caps</t>
  </si>
  <si>
    <t>Cash deposited against Bill No 1885</t>
  </si>
  <si>
    <t>H396</t>
  </si>
  <si>
    <t>500ml- Caps, 1.5L- Caps, 30mm Caps</t>
  </si>
  <si>
    <t>H414</t>
  </si>
  <si>
    <t>1.5L-Caps, 500ml - Caps, 6L + Caps</t>
  </si>
  <si>
    <t>H421</t>
  </si>
  <si>
    <t>6L+Caps, 1.5L-Caps</t>
  </si>
  <si>
    <t>H457</t>
  </si>
  <si>
    <t>H482</t>
  </si>
  <si>
    <t>1.5L-Caps, 500ml - Caps, 6L + Caps,30mm Caps</t>
  </si>
  <si>
    <t>H499</t>
  </si>
  <si>
    <t>H503</t>
  </si>
  <si>
    <t>H538</t>
  </si>
  <si>
    <t>6L+ Caps, 500ml - Caps</t>
  </si>
  <si>
    <t>H575</t>
  </si>
  <si>
    <t>500ml- Caps, 6L + Caps</t>
  </si>
  <si>
    <t>H577</t>
  </si>
  <si>
    <t>H591</t>
  </si>
  <si>
    <t>1.5L-Caps, 500ml-Caps, 6L+ Caps</t>
  </si>
  <si>
    <t>H603</t>
  </si>
  <si>
    <t>H637</t>
  </si>
  <si>
    <t>6L+ Caps, 500ml - Caps,1.5L - Caps</t>
  </si>
  <si>
    <t>H650</t>
  </si>
  <si>
    <t>H666</t>
  </si>
  <si>
    <t>Cash Sale</t>
  </si>
  <si>
    <t>H718</t>
  </si>
  <si>
    <t>Cash deposit (Bill no H666+718) 6000IBFT, 3360 Cash</t>
  </si>
  <si>
    <t>H748</t>
  </si>
  <si>
    <t>1.5L-Caps, 500ml-Caps, 6L+Caps, 30mm Caps</t>
  </si>
  <si>
    <t>H799</t>
  </si>
  <si>
    <t>1.5L-Caps, 6L + Caps</t>
  </si>
  <si>
    <t>15/3/25</t>
  </si>
  <si>
    <t>H814</t>
  </si>
  <si>
    <t>Jumbo PPF , 1.5L -Caps, 500ml - Caps</t>
  </si>
  <si>
    <t>H837</t>
  </si>
  <si>
    <t>1.5L-Caps, 500ml - Caps</t>
  </si>
  <si>
    <t>17/3/25</t>
  </si>
  <si>
    <t>H847</t>
  </si>
  <si>
    <t>H868</t>
  </si>
  <si>
    <t>H876</t>
  </si>
  <si>
    <t>H890</t>
  </si>
  <si>
    <t>500ml-Caps, 1.5L- Caps, 30mm Caps</t>
  </si>
  <si>
    <t>H909</t>
  </si>
  <si>
    <t>Cash Deposit against bill 837+909</t>
  </si>
  <si>
    <t>H924</t>
  </si>
  <si>
    <t>H948</t>
  </si>
  <si>
    <t>H971</t>
  </si>
  <si>
    <t>500ml-Caps, 1.5LCaps, 6L+ Caps</t>
  </si>
  <si>
    <t>Cash deposit against bill 924+948+ 890</t>
  </si>
  <si>
    <t>Cash deposit againt Bill 971</t>
  </si>
  <si>
    <t>H1038</t>
  </si>
  <si>
    <t xml:space="preserve">6LCaps, 500ml </t>
  </si>
  <si>
    <t>H1072</t>
  </si>
  <si>
    <t>H1211</t>
  </si>
  <si>
    <t>H1295</t>
  </si>
  <si>
    <t>500ml-Caps, 1.5L-Caps, 30mm Caps</t>
  </si>
  <si>
    <t>Cash deposited against Bill No 1211</t>
  </si>
  <si>
    <t>Cash deposited against Bill 1295</t>
  </si>
  <si>
    <t>H1452</t>
  </si>
  <si>
    <t>H1453</t>
  </si>
  <si>
    <t>H1455</t>
  </si>
  <si>
    <t>Fitting</t>
  </si>
  <si>
    <t>H1497</t>
  </si>
  <si>
    <t xml:space="preserve">500ml </t>
  </si>
  <si>
    <t>H1703</t>
  </si>
  <si>
    <t>H1800</t>
  </si>
  <si>
    <t>H1921</t>
  </si>
  <si>
    <t>H1942</t>
  </si>
  <si>
    <t>I1</t>
  </si>
  <si>
    <t>500ml Caps</t>
  </si>
  <si>
    <t>18/6/25</t>
  </si>
  <si>
    <t>Cash + Exp Sh</t>
  </si>
  <si>
    <t>I 99</t>
  </si>
  <si>
    <t>Iron + Ceiling Fan</t>
  </si>
  <si>
    <t>Qazi Sb</t>
  </si>
  <si>
    <t>Discount of total Ledger</t>
  </si>
  <si>
    <t>I 231</t>
  </si>
  <si>
    <t>500ml  - Caps</t>
  </si>
  <si>
    <t>I 278</t>
  </si>
  <si>
    <t>1.5L-Caps, 30mm Caps</t>
  </si>
  <si>
    <t>I 387</t>
  </si>
  <si>
    <t>500ml-Caps, 1.5L -Caps</t>
  </si>
  <si>
    <t>I 424</t>
  </si>
  <si>
    <t>21/7/2025</t>
  </si>
  <si>
    <t>Cash Deposit    Cash</t>
  </si>
  <si>
    <t>22/7/2025</t>
  </si>
  <si>
    <t>IBFT (E.P)</t>
  </si>
  <si>
    <t>I 459</t>
  </si>
  <si>
    <t>I 597</t>
  </si>
  <si>
    <t>500ml+ 1.5L</t>
  </si>
  <si>
    <t>I 11</t>
  </si>
  <si>
    <t>I 624</t>
  </si>
  <si>
    <t>Bill No 624 648</t>
  </si>
  <si>
    <t>I 671</t>
  </si>
  <si>
    <t>I 697</t>
  </si>
  <si>
    <t>I 732</t>
  </si>
  <si>
    <t>I 763</t>
  </si>
  <si>
    <t xml:space="preserve">500ml caps </t>
  </si>
  <si>
    <t>I 774</t>
  </si>
  <si>
    <t xml:space="preserve">1.5L </t>
  </si>
  <si>
    <t>I 785</t>
  </si>
  <si>
    <t>I 1002</t>
  </si>
  <si>
    <t>Ball Vavle…</t>
  </si>
  <si>
    <t>I 1013</t>
  </si>
  <si>
    <t xml:space="preserve">I 806 </t>
  </si>
  <si>
    <t xml:space="preserve">500ml Caps , 1.5L Caps </t>
  </si>
  <si>
    <t>I 833</t>
  </si>
  <si>
    <t>1.5L Caps - 500ml Caps</t>
  </si>
  <si>
    <t>I 852</t>
  </si>
  <si>
    <t>6L + Caps….</t>
  </si>
  <si>
    <t>I 859</t>
  </si>
  <si>
    <t>I 881</t>
  </si>
  <si>
    <t>500ml Caps….</t>
  </si>
  <si>
    <t>I 903</t>
  </si>
  <si>
    <t>500ml   -  Caps</t>
  </si>
  <si>
    <t>28/8/2027</t>
  </si>
  <si>
    <t>I 933</t>
  </si>
  <si>
    <t>I 989</t>
  </si>
  <si>
    <t>I 1000</t>
  </si>
  <si>
    <t>1.5L  Caps /  500ml  Caps</t>
  </si>
  <si>
    <t>I 1055</t>
  </si>
  <si>
    <t>I 1059</t>
  </si>
  <si>
    <t>I 1131</t>
  </si>
  <si>
    <t>19L pump -  19L Handle</t>
  </si>
  <si>
    <t>I 1119</t>
  </si>
  <si>
    <t>500ml caps</t>
  </si>
  <si>
    <t>I 1155</t>
  </si>
  <si>
    <t>I 1170</t>
  </si>
  <si>
    <t>I 1212</t>
  </si>
  <si>
    <t>I 1231</t>
  </si>
  <si>
    <t>500ml - caps…</t>
  </si>
  <si>
    <t>I 1241</t>
  </si>
  <si>
    <t>I 1246</t>
  </si>
  <si>
    <t>I 1274</t>
  </si>
  <si>
    <t>I 1278</t>
  </si>
  <si>
    <t>I 1306</t>
  </si>
  <si>
    <t>I 1330</t>
  </si>
  <si>
    <t>500ml - caps…    (Rem Amnt)</t>
  </si>
  <si>
    <t>I 1390</t>
  </si>
  <si>
    <t>I 1417</t>
  </si>
  <si>
    <t>I 1487</t>
  </si>
  <si>
    <t>1.5L - caps… (Rem Amnt)</t>
  </si>
  <si>
    <t>I 1528</t>
  </si>
  <si>
    <t>I 1570</t>
  </si>
  <si>
    <t>500ml - caps (Rem Amnt)</t>
  </si>
  <si>
    <t>I 1587</t>
  </si>
  <si>
    <t>1.5L - caps…. (Remn Amnt)</t>
  </si>
  <si>
    <t>I 1604</t>
  </si>
  <si>
    <t>I 1726</t>
  </si>
  <si>
    <t>I 1755</t>
  </si>
  <si>
    <t>1.5L-caps…..</t>
  </si>
  <si>
    <t>I 1762</t>
  </si>
  <si>
    <t>500ml - caps….</t>
  </si>
  <si>
    <t>I 1786</t>
  </si>
  <si>
    <t>I 1912</t>
  </si>
  <si>
    <t>I 1940</t>
  </si>
  <si>
    <t>1.5L - caps…..</t>
  </si>
  <si>
    <t>J5</t>
  </si>
  <si>
    <t>j8</t>
  </si>
  <si>
    <t>j47</t>
  </si>
  <si>
    <t>j81</t>
  </si>
  <si>
    <t>1.5L  Caps /  500ml Caps</t>
  </si>
  <si>
    <t>bank deposit</t>
  </si>
  <si>
    <t>j98</t>
  </si>
  <si>
    <t>j156</t>
  </si>
  <si>
    <t>cash deposit j081</t>
  </si>
  <si>
    <t>cash deposit bill#i1912</t>
  </si>
  <si>
    <t>cash deposit bill#j098</t>
  </si>
  <si>
    <t>j249</t>
  </si>
  <si>
    <t>j261</t>
  </si>
  <si>
    <t xml:space="preserve"> bank transfer</t>
  </si>
  <si>
    <t>j291</t>
  </si>
  <si>
    <t>j308</t>
  </si>
  <si>
    <t>j314</t>
  </si>
  <si>
    <t>j432</t>
  </si>
  <si>
    <t>j435</t>
  </si>
  <si>
    <t>cash deposit+ bank transfer</t>
  </si>
  <si>
    <t>j518</t>
  </si>
  <si>
    <t>j568</t>
  </si>
  <si>
    <t>j596</t>
  </si>
  <si>
    <t>500ml-caps......</t>
  </si>
  <si>
    <t>j621</t>
  </si>
  <si>
    <t>j690</t>
  </si>
  <si>
    <t>j753</t>
  </si>
  <si>
    <t>j797</t>
  </si>
  <si>
    <t>15/1/26</t>
  </si>
  <si>
    <t>18/1/26</t>
  </si>
  <si>
    <t>j798</t>
  </si>
  <si>
    <t>1.5+caps....</t>
  </si>
  <si>
    <t>19/1/26</t>
  </si>
  <si>
    <t>j856</t>
  </si>
  <si>
    <t>500ml+caps....</t>
  </si>
  <si>
    <t>j948</t>
  </si>
  <si>
    <t>1.5l+caps....</t>
  </si>
  <si>
    <t>j956</t>
  </si>
  <si>
    <t>j1015</t>
  </si>
  <si>
    <t>j1037</t>
  </si>
  <si>
    <t>cash depoit bill #568</t>
  </si>
  <si>
    <t>cash deposit bill #518</t>
  </si>
  <si>
    <t>j1060</t>
  </si>
  <si>
    <t>j1074</t>
  </si>
  <si>
    <t>j1082</t>
  </si>
  <si>
    <t>bank transfer bill no j956</t>
  </si>
  <si>
    <t>bank transfer bill no j948</t>
  </si>
  <si>
    <t>j1089</t>
  </si>
  <si>
    <t>1.5l+caps,500ml+caps,6l+caps</t>
  </si>
  <si>
    <t>cash deposit +bank transfer bill No j753</t>
  </si>
  <si>
    <t>bank transfer bill No j798</t>
  </si>
  <si>
    <t>j1116</t>
  </si>
  <si>
    <t>saboor sb bill No j621</t>
  </si>
  <si>
    <t>bank transfer bill No j1060</t>
  </si>
  <si>
    <t>fill pet payment bank transfer</t>
  </si>
  <si>
    <t>j1126</t>
  </si>
  <si>
    <t>jazz cash bill No 1126</t>
  </si>
  <si>
    <t>jazz cash bill No1116</t>
  </si>
  <si>
    <t>j1157</t>
  </si>
  <si>
    <t>6L....</t>
  </si>
  <si>
    <t>17/2/26</t>
  </si>
  <si>
    <t>j1160</t>
  </si>
  <si>
    <t>1.5l+caps+500ml+caps</t>
  </si>
  <si>
    <t>bank transfer bill No 1082</t>
  </si>
  <si>
    <t>cash deposit bill No 1082</t>
  </si>
  <si>
    <t xml:space="preserve">Grand Total </t>
  </si>
  <si>
    <t>I 743</t>
  </si>
  <si>
    <t>G1609</t>
  </si>
  <si>
    <t>Stand+ Guage</t>
  </si>
  <si>
    <t>27/11/24</t>
  </si>
  <si>
    <t>G1637</t>
  </si>
  <si>
    <t>G1684</t>
  </si>
  <si>
    <t>G1814</t>
  </si>
  <si>
    <t>19L Caps, Antiscalar, Jumbo PPF</t>
  </si>
  <si>
    <t>G1855</t>
  </si>
  <si>
    <t>G1879</t>
  </si>
  <si>
    <t>H62</t>
  </si>
  <si>
    <t>H96</t>
  </si>
  <si>
    <t>30mm Caps, Antiscalar</t>
  </si>
  <si>
    <t>H219</t>
  </si>
  <si>
    <t>19L Caps, 19L Lids</t>
  </si>
  <si>
    <t>20/1/25</t>
  </si>
  <si>
    <t>H282</t>
  </si>
  <si>
    <t>H353</t>
  </si>
  <si>
    <t>H459</t>
  </si>
  <si>
    <t>Jumbo PPF, 1.5L Shoper,..</t>
  </si>
  <si>
    <t>H764</t>
  </si>
  <si>
    <t>19L caps</t>
  </si>
  <si>
    <t>19L Bottles Printed 200</t>
  </si>
  <si>
    <t>Cash deposit in hand</t>
  </si>
  <si>
    <t>H884</t>
  </si>
  <si>
    <t xml:space="preserve">30mm Caps </t>
  </si>
  <si>
    <t>H1274</t>
  </si>
  <si>
    <t>1.5L Shoper, Antiscalar</t>
  </si>
  <si>
    <t>H1474</t>
  </si>
  <si>
    <t>H1505</t>
  </si>
  <si>
    <t>19L Caps, 30mm Caps, 1.5L Shoper,….</t>
  </si>
  <si>
    <t>H1553</t>
  </si>
  <si>
    <t>1.5L Shoper,500ml Shoper</t>
  </si>
  <si>
    <t>H1566</t>
  </si>
  <si>
    <t>H1590</t>
  </si>
  <si>
    <t>H1626</t>
  </si>
  <si>
    <t>1.5L Shoper Pure</t>
  </si>
  <si>
    <t>1.5L Filled pet @250</t>
  </si>
  <si>
    <t>H1762</t>
  </si>
  <si>
    <t>1.5LShoper, 30mm Seal</t>
  </si>
  <si>
    <t>H1801</t>
  </si>
  <si>
    <t>H1810</t>
  </si>
  <si>
    <t>H1857</t>
  </si>
  <si>
    <t>1.5L Shoper Pure, 500ml Shoper pure</t>
  </si>
  <si>
    <t>31/5/25</t>
  </si>
  <si>
    <t>H1877</t>
  </si>
  <si>
    <t>1.5L Pure, 500 Pure</t>
  </si>
  <si>
    <t>H1902</t>
  </si>
  <si>
    <t>H1986</t>
  </si>
  <si>
    <t>13/6/25</t>
  </si>
  <si>
    <t>H133</t>
  </si>
  <si>
    <t>H184</t>
  </si>
  <si>
    <t>18/6/26</t>
  </si>
  <si>
    <t>I 4</t>
  </si>
  <si>
    <t xml:space="preserve">1.5L Bottle </t>
  </si>
  <si>
    <t>I16</t>
  </si>
  <si>
    <t>30mm caps, 30mmcaps white</t>
  </si>
  <si>
    <t>I 50</t>
  </si>
  <si>
    <t>1.5L Caps Pure, 30mm caps pure</t>
  </si>
  <si>
    <t>I 125</t>
  </si>
  <si>
    <t>29/6/25</t>
  </si>
  <si>
    <t>I 141</t>
  </si>
  <si>
    <t>I 162</t>
  </si>
  <si>
    <t>Quad, Rod, UV Pannel double, Jumbo PPF</t>
  </si>
  <si>
    <t>I 161</t>
  </si>
  <si>
    <t>Fittings</t>
  </si>
  <si>
    <t>Fitting return</t>
  </si>
  <si>
    <t>I 187</t>
  </si>
  <si>
    <t>10mm value</t>
  </si>
  <si>
    <t>I 252</t>
  </si>
  <si>
    <t>I 294</t>
  </si>
  <si>
    <t>I 385</t>
  </si>
  <si>
    <t>I 409</t>
  </si>
  <si>
    <t>I 435</t>
  </si>
  <si>
    <t>Jumbo PPF Gold</t>
  </si>
  <si>
    <t>I 461</t>
  </si>
  <si>
    <t>I 453</t>
  </si>
  <si>
    <t>IBFT to Plas Pak</t>
  </si>
  <si>
    <t>I 548</t>
  </si>
  <si>
    <t>Ball valu"P.socket…..</t>
  </si>
  <si>
    <t>I 602</t>
  </si>
  <si>
    <t>I 653</t>
  </si>
  <si>
    <t>I 731</t>
  </si>
  <si>
    <t xml:space="preserve">1.5L shoper </t>
  </si>
  <si>
    <t>I 784</t>
  </si>
  <si>
    <t>I 795</t>
  </si>
  <si>
    <t>1.5L caps pure..</t>
  </si>
  <si>
    <t>I 814</t>
  </si>
  <si>
    <t>I 821</t>
  </si>
  <si>
    <t>I 921</t>
  </si>
  <si>
    <t xml:space="preserve">500ml Bottles we Received </t>
  </si>
  <si>
    <t>I 941</t>
  </si>
  <si>
    <t>19L Lids…..</t>
  </si>
  <si>
    <t>I 965</t>
  </si>
  <si>
    <t>1.5L Shoper Mix</t>
  </si>
  <si>
    <t>I 969</t>
  </si>
  <si>
    <t>I 992</t>
  </si>
  <si>
    <t>I1031</t>
  </si>
  <si>
    <t>I 1072</t>
  </si>
  <si>
    <t>1.5L Pure ,, 500 ml Pure</t>
  </si>
  <si>
    <t>22/8/2025</t>
  </si>
  <si>
    <t>Truk Fare</t>
  </si>
  <si>
    <t>I 1256</t>
  </si>
  <si>
    <t>1.5L shoper</t>
  </si>
  <si>
    <t>I 1290</t>
  </si>
  <si>
    <t>30mm seal</t>
  </si>
  <si>
    <t xml:space="preserve">Bottles Discount </t>
  </si>
  <si>
    <t>I 1435</t>
  </si>
  <si>
    <t xml:space="preserve">500ml - caps Pure (we recived) </t>
  </si>
  <si>
    <t>I 1547</t>
  </si>
  <si>
    <t>I 1598</t>
  </si>
  <si>
    <t>I 1608</t>
  </si>
  <si>
    <t>1.5L sfoper….</t>
  </si>
  <si>
    <t>I 1729</t>
  </si>
  <si>
    <t>I 1766</t>
  </si>
  <si>
    <t xml:space="preserve">500ml - caps </t>
  </si>
  <si>
    <t>28/10/25</t>
  </si>
  <si>
    <t>I 1820</t>
  </si>
  <si>
    <t>I 1821</t>
  </si>
  <si>
    <t>I 1847</t>
  </si>
  <si>
    <t>1.5L Shoper….</t>
  </si>
  <si>
    <t>I 1904</t>
  </si>
  <si>
    <t>F.Socket 1/2….</t>
  </si>
  <si>
    <t>I 1942</t>
  </si>
  <si>
    <t>j21</t>
  </si>
  <si>
    <t>j35</t>
  </si>
  <si>
    <t>I1980</t>
  </si>
  <si>
    <t>500ml pure bottle</t>
  </si>
  <si>
    <t>truck kraya</t>
  </si>
  <si>
    <t>j95</t>
  </si>
  <si>
    <t>j120</t>
  </si>
  <si>
    <t>500ml shoper</t>
  </si>
  <si>
    <t>j126</t>
  </si>
  <si>
    <t>j235</t>
  </si>
  <si>
    <t>jumbo ppf,19l cap</t>
  </si>
  <si>
    <t>j266</t>
  </si>
  <si>
    <t>1.5l shoper+500ml -caps</t>
  </si>
  <si>
    <t>j727</t>
  </si>
  <si>
    <t>500ml -caps pure</t>
  </si>
  <si>
    <t>j763</t>
  </si>
  <si>
    <t>j764</t>
  </si>
  <si>
    <t>1.5-caps pure(we received)</t>
  </si>
  <si>
    <t>j773</t>
  </si>
  <si>
    <t>500ml-caps pure</t>
  </si>
  <si>
    <t>j784</t>
  </si>
  <si>
    <t>j793</t>
  </si>
  <si>
    <t>mcb bank transfer qazi sb</t>
  </si>
  <si>
    <t>22/1/26</t>
  </si>
  <si>
    <t>j844</t>
  </si>
  <si>
    <t>j859</t>
  </si>
  <si>
    <t>19l cap</t>
  </si>
  <si>
    <t>j1010</t>
  </si>
  <si>
    <t>j1017</t>
  </si>
  <si>
    <t>j1045</t>
  </si>
  <si>
    <t>j1080</t>
  </si>
  <si>
    <t>j1143</t>
  </si>
  <si>
    <t>j1185</t>
  </si>
  <si>
    <t>500ml bottle purte</t>
  </si>
  <si>
    <t>19/2/26</t>
  </si>
  <si>
    <t>j1198</t>
  </si>
  <si>
    <t>500 ml pure + mix</t>
  </si>
  <si>
    <t>New Salsabeel BWP</t>
  </si>
  <si>
    <t>New Reg(200)</t>
  </si>
  <si>
    <t>H745</t>
  </si>
  <si>
    <t>H755</t>
  </si>
  <si>
    <t>500ml Seal, 500ml Seal</t>
  </si>
  <si>
    <t>9//3/25</t>
  </si>
  <si>
    <t>H760</t>
  </si>
  <si>
    <t>H787</t>
  </si>
  <si>
    <t>19L Bush</t>
  </si>
  <si>
    <t>H797</t>
  </si>
  <si>
    <t>Membrane 100G, Flow Valve, CTO,….</t>
  </si>
  <si>
    <t>H857</t>
  </si>
  <si>
    <t>500ml+ Caps</t>
  </si>
  <si>
    <t>Cash deposit against Bill 760</t>
  </si>
  <si>
    <t>H1087</t>
  </si>
  <si>
    <t>Chlorine Tab</t>
  </si>
  <si>
    <t>H1167</t>
  </si>
  <si>
    <t>H1176</t>
  </si>
  <si>
    <t>Jumbo Housing</t>
  </si>
  <si>
    <t>H1231</t>
  </si>
  <si>
    <t>1.5LCaps, 500mlcaps, 1.5L Shoper</t>
  </si>
  <si>
    <t>Qazi Irfan Sb</t>
  </si>
  <si>
    <t>I 24</t>
  </si>
  <si>
    <t>RO Axtron</t>
  </si>
  <si>
    <t>Flow Valve + Labour</t>
  </si>
  <si>
    <t>I694</t>
  </si>
  <si>
    <t>j1177</t>
  </si>
  <si>
    <t>tank replace +r.o set</t>
  </si>
  <si>
    <t>Harpal pure</t>
  </si>
  <si>
    <t>PG#</t>
  </si>
  <si>
    <t>Ref.No</t>
  </si>
  <si>
    <t xml:space="preserve">    Description</t>
  </si>
  <si>
    <t>30mm caps (5ctn)</t>
  </si>
  <si>
    <t>j50</t>
  </si>
  <si>
    <t>1.5ltr shoper+500ml shoper</t>
  </si>
  <si>
    <t xml:space="preserve">30mm caps </t>
  </si>
  <si>
    <t>30mm cap</t>
  </si>
  <si>
    <t>j194</t>
  </si>
  <si>
    <t>30mm caps+500ml shoper</t>
  </si>
  <si>
    <t>کھاتہ بنام</t>
  </si>
  <si>
    <t>ال اعظم واٹر</t>
  </si>
  <si>
    <t>اکاونٹ ہولڈر کا نام</t>
  </si>
  <si>
    <t>نیا رجسٹر165/</t>
  </si>
  <si>
    <t>صفحہ نمبر</t>
  </si>
  <si>
    <t>بقایا</t>
  </si>
  <si>
    <t xml:space="preserve">نکاس </t>
  </si>
  <si>
    <t xml:space="preserve">آمد </t>
  </si>
  <si>
    <t xml:space="preserve">                       تفصیل</t>
  </si>
  <si>
    <t>تاریخ</t>
  </si>
  <si>
    <t>ہاف لیٹر بوتل</t>
  </si>
  <si>
    <t>i1384</t>
  </si>
  <si>
    <t>26/09/2023</t>
  </si>
  <si>
    <t>ہاف لیٹر ڈھکن</t>
  </si>
  <si>
    <t>i1378</t>
  </si>
  <si>
    <t>جمع رقم</t>
  </si>
  <si>
    <t>EXp sh.</t>
  </si>
  <si>
    <t>بال وال 1''</t>
  </si>
  <si>
    <t>i1645</t>
  </si>
  <si>
    <t>14/10/23</t>
  </si>
  <si>
    <t>i1803</t>
  </si>
  <si>
    <r>
      <rPr>
        <sz val="12"/>
        <color theme="1"/>
        <rFont val="Arial"/>
        <charset val="134"/>
      </rPr>
      <t>ٹی</t>
    </r>
    <r>
      <rPr>
        <sz val="12"/>
        <color theme="1"/>
        <rFont val="Calibri"/>
        <charset val="134"/>
      </rPr>
      <t xml:space="preserve"> 1''</t>
    </r>
  </si>
  <si>
    <t>i1971</t>
  </si>
  <si>
    <t>سوڈیم وغیرہ</t>
  </si>
  <si>
    <t>f35</t>
  </si>
  <si>
    <t>اینٹی سکیلر</t>
  </si>
  <si>
    <t>f580</t>
  </si>
  <si>
    <t>29/01/23</t>
  </si>
  <si>
    <t>1.5لیٹر بوتل</t>
  </si>
  <si>
    <t>بینک ٹرانسفر</t>
  </si>
  <si>
    <t>ہاف لیٹر کیپ</t>
  </si>
  <si>
    <t>f1025</t>
  </si>
  <si>
    <t>f1141</t>
  </si>
  <si>
    <t>ڈسکاونٹ</t>
  </si>
  <si>
    <t>نقد رقم جمع</t>
  </si>
  <si>
    <t>وال ساکٹ 1/2</t>
  </si>
  <si>
    <t xml:space="preserve">فیڈ پمپ </t>
  </si>
  <si>
    <t>24/07/24</t>
  </si>
  <si>
    <t>ہاف لیٹر+ڈیڑھ لیٹر+500ملی لیٹر شاپر</t>
  </si>
  <si>
    <t>g840</t>
  </si>
  <si>
    <t>15/09/24</t>
  </si>
  <si>
    <t>بقایا رقم</t>
  </si>
  <si>
    <t>h58</t>
  </si>
  <si>
    <t>جمبو پی پی واے</t>
  </si>
  <si>
    <t>26/03/25</t>
  </si>
  <si>
    <t>جمبو پی پی ایف+اینٹی سکیلر+بال وال1''</t>
  </si>
  <si>
    <t>i255</t>
  </si>
  <si>
    <t>1۔5لیٹرشاپر</t>
  </si>
  <si>
    <t>i641</t>
  </si>
  <si>
    <t>گندم 6من</t>
  </si>
  <si>
    <t>آٹا1من</t>
  </si>
  <si>
    <t>کل ٹوٹل</t>
  </si>
  <si>
    <t>Gac 10" So Pure</t>
  </si>
  <si>
    <t>Gac 10"</t>
  </si>
  <si>
    <t>Memb100G</t>
  </si>
  <si>
    <t>Membrane 100G</t>
  </si>
  <si>
    <t>6G Tank, 150G Membrane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</si>
</sst>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55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Arial"/>
      <charset val="134"/>
    </font>
    <font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  <font>
      <b/>
      <sz val="14.5"/>
      <color rgb="FF000000"/>
      <name val="Times New Roman"/>
      <charset val="134"/>
    </font>
    <font>
      <b/>
      <sz val="13"/>
      <color rgb="FF000000"/>
      <name val="Times New Roman"/>
      <charset val="134"/>
    </font>
    <font>
      <b/>
      <sz val="10"/>
      <color rgb="FF000000"/>
      <name val="Calibri"/>
      <charset val="134"/>
    </font>
    <font>
      <sz val="11"/>
      <color rgb="FF000000"/>
      <name val="Times New Roman"/>
      <charset val="134"/>
    </font>
    <font>
      <b/>
      <sz val="10"/>
      <color rgb="FF808080"/>
      <name val="Calibri"/>
      <charset val="134"/>
    </font>
    <font>
      <sz val="11"/>
      <color theme="1"/>
      <name val="Arial Black"/>
      <charset val="134"/>
    </font>
    <font>
      <b/>
      <sz val="20"/>
      <color theme="1"/>
      <name val="Times New Roman"/>
      <charset val="134"/>
    </font>
    <font>
      <b/>
      <sz val="1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50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FF"/>
        <bgColor rgb="FFC0C0C0"/>
      </patternFill>
    </fill>
    <fill>
      <patternFill patternType="solid">
        <fgColor theme="0"/>
        <bgColor rgb="FF00CCF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5" borderId="37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6" borderId="40" applyNumberFormat="0" applyAlignment="0" applyProtection="0">
      <alignment vertical="center"/>
    </xf>
    <xf numFmtId="0" fontId="42" fillId="27" borderId="41" applyNumberFormat="0" applyAlignment="0" applyProtection="0">
      <alignment vertical="center"/>
    </xf>
    <xf numFmtId="0" fontId="43" fillId="27" borderId="40" applyNumberFormat="0" applyAlignment="0" applyProtection="0">
      <alignment vertical="center"/>
    </xf>
    <xf numFmtId="0" fontId="44" fillId="28" borderId="42" applyNumberFormat="0" applyAlignment="0" applyProtection="0">
      <alignment vertical="center"/>
    </xf>
    <xf numFmtId="0" fontId="45" fillId="0" borderId="43" applyNumberFormat="0" applyFill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24" fillId="0" borderId="0"/>
  </cellStyleXfs>
  <cellXfs count="4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58" fontId="4" fillId="0" borderId="1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58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8" fontId="5" fillId="0" borderId="1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58" fontId="0" fillId="0" borderId="13" xfId="0" applyNumberFormat="1" applyBorder="1" applyAlignment="1">
      <alignment horizontal="center" vertical="center"/>
    </xf>
    <xf numFmtId="0" fontId="0" fillId="0" borderId="6" xfId="0" applyBorder="1"/>
    <xf numFmtId="0" fontId="4" fillId="0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58" fontId="0" fillId="0" borderId="10" xfId="0" applyNumberForma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3" xfId="0" applyBorder="1"/>
    <xf numFmtId="0" fontId="4" fillId="0" borderId="14" xfId="0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wrapText="1"/>
    </xf>
    <xf numFmtId="58" fontId="0" fillId="0" borderId="7" xfId="0" applyNumberFormat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/>
    <xf numFmtId="0" fontId="8" fillId="3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3" borderId="10" xfId="0" applyFont="1" applyFill="1" applyBorder="1"/>
    <xf numFmtId="0" fontId="5" fillId="0" borderId="10" xfId="0" applyFont="1" applyBorder="1"/>
    <xf numFmtId="58" fontId="5" fillId="0" borderId="10" xfId="0" applyNumberFormat="1" applyFont="1" applyBorder="1"/>
    <xf numFmtId="0" fontId="10" fillId="0" borderId="10" xfId="0" applyFont="1" applyBorder="1"/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6" fillId="0" borderId="0" xfId="0" applyFont="1" applyAlignment="1"/>
    <xf numFmtId="0" fontId="6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10" xfId="0" applyFont="1" applyBorder="1"/>
    <xf numFmtId="58" fontId="0" fillId="0" borderId="10" xfId="0" applyNumberFormat="1" applyBorder="1"/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58" fontId="4" fillId="0" borderId="7" xfId="0" applyNumberFormat="1" applyFont="1" applyBorder="1" applyAlignment="1">
      <alignment horizontal="center" vertical="center"/>
    </xf>
    <xf numFmtId="0" fontId="0" fillId="0" borderId="5" xfId="0" applyBorder="1"/>
    <xf numFmtId="0" fontId="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58" fontId="4" fillId="5" borderId="7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58" fontId="4" fillId="6" borderId="10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58" fontId="4" fillId="0" borderId="15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58" fontId="4" fillId="0" borderId="15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58" fontId="4" fillId="0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3" fillId="6" borderId="10" xfId="0" applyFont="1" applyFill="1" applyBorder="1" applyAlignment="1">
      <alignment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58" fontId="0" fillId="0" borderId="10" xfId="0" applyNumberFormat="1" applyBorder="1" applyAlignment="1">
      <alignment horizontal="left" vertical="top"/>
    </xf>
    <xf numFmtId="58" fontId="5" fillId="0" borderId="10" xfId="0" applyNumberFormat="1" applyFont="1" applyBorder="1" applyAlignment="1">
      <alignment horizontal="left" vertical="top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58" fontId="5" fillId="0" borderId="14" xfId="0" applyNumberFormat="1" applyFont="1" applyBorder="1" applyAlignment="1">
      <alignment horizontal="left" vertical="top"/>
    </xf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0" fontId="16" fillId="7" borderId="10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58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58" fontId="4" fillId="0" borderId="16" xfId="0" applyNumberFormat="1" applyFont="1" applyBorder="1" applyAlignment="1">
      <alignment horizontal="center" vertical="center"/>
    </xf>
    <xf numFmtId="58" fontId="4" fillId="0" borderId="22" xfId="0" applyNumberFormat="1" applyFont="1" applyBorder="1" applyAlignment="1">
      <alignment horizontal="center" vertical="center"/>
    </xf>
    <xf numFmtId="58" fontId="4" fillId="0" borderId="23" xfId="0" applyNumberFormat="1" applyFont="1" applyBorder="1" applyAlignment="1">
      <alignment horizontal="center" vertical="center"/>
    </xf>
    <xf numFmtId="58" fontId="4" fillId="0" borderId="24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58" fontId="4" fillId="0" borderId="0" xfId="0" applyNumberFormat="1" applyFont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/>
    </xf>
    <xf numFmtId="58" fontId="4" fillId="8" borderId="7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9" xfId="0" applyFont="1" applyFill="1" applyBorder="1"/>
    <xf numFmtId="0" fontId="4" fillId="0" borderId="9" xfId="0" applyFont="1" applyFill="1" applyBorder="1"/>
    <xf numFmtId="0" fontId="13" fillId="9" borderId="9" xfId="0" applyFont="1" applyFill="1" applyBorder="1"/>
    <xf numFmtId="0" fontId="13" fillId="6" borderId="9" xfId="0" applyFont="1" applyFill="1" applyBorder="1"/>
    <xf numFmtId="58" fontId="4" fillId="10" borderId="7" xfId="0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58" fontId="4" fillId="0" borderId="7" xfId="0" applyNumberFormat="1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left" vertical="top"/>
    </xf>
    <xf numFmtId="58" fontId="4" fillId="0" borderId="10" xfId="0" applyNumberFormat="1" applyFont="1" applyFill="1" applyBorder="1" applyAlignment="1">
      <alignment horizontal="left" vertical="top"/>
    </xf>
    <xf numFmtId="0" fontId="0" fillId="6" borderId="10" xfId="0" applyFill="1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6" borderId="10" xfId="0" applyFill="1" applyBorder="1"/>
    <xf numFmtId="58" fontId="0" fillId="0" borderId="10" xfId="0" applyNumberFormat="1" applyFill="1" applyBorder="1" applyAlignment="1">
      <alignment horizontal="left" vertical="top"/>
    </xf>
    <xf numFmtId="0" fontId="0" fillId="0" borderId="10" xfId="0" applyFill="1" applyBorder="1"/>
    <xf numFmtId="0" fontId="0" fillId="6" borderId="13" xfId="0" applyFill="1" applyBorder="1"/>
    <xf numFmtId="0" fontId="0" fillId="6" borderId="14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0" borderId="10" xfId="0" applyBorder="1" applyAlignment="1">
      <alignment vertical="top"/>
    </xf>
    <xf numFmtId="58" fontId="0" fillId="0" borderId="10" xfId="0" applyNumberFormat="1" applyBorder="1" applyAlignment="1">
      <alignment horizontal="left"/>
    </xf>
    <xf numFmtId="58" fontId="0" fillId="0" borderId="0" xfId="0" applyNumberFormat="1" applyAlignment="1">
      <alignment horizontal="left"/>
    </xf>
    <xf numFmtId="0" fontId="0" fillId="0" borderId="13" xfId="0" applyFill="1" applyBorder="1"/>
    <xf numFmtId="58" fontId="4" fillId="0" borderId="10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58" fontId="4" fillId="0" borderId="10" xfId="0" applyNumberFormat="1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" fontId="4" fillId="0" borderId="10" xfId="0" applyNumberFormat="1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11" borderId="10" xfId="0" applyFont="1" applyFill="1" applyBorder="1" applyAlignment="1">
      <alignment horizontal="left" vertical="top"/>
    </xf>
    <xf numFmtId="0" fontId="18" fillId="11" borderId="9" xfId="0" applyFont="1" applyFill="1" applyBorder="1" applyAlignment="1">
      <alignment horizontal="left" vertical="top"/>
    </xf>
    <xf numFmtId="0" fontId="18" fillId="11" borderId="9" xfId="0" applyFont="1" applyFill="1" applyBorder="1"/>
    <xf numFmtId="0" fontId="18" fillId="11" borderId="9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left" vertical="top"/>
    </xf>
    <xf numFmtId="0" fontId="18" fillId="11" borderId="6" xfId="0" applyFont="1" applyFill="1" applyBorder="1" applyAlignment="1">
      <alignment horizontal="left" vertical="top"/>
    </xf>
    <xf numFmtId="0" fontId="18" fillId="11" borderId="6" xfId="0" applyFont="1" applyFill="1" applyBorder="1"/>
    <xf numFmtId="0" fontId="18" fillId="11" borderId="6" xfId="0" applyFont="1" applyFill="1" applyBorder="1" applyAlignment="1">
      <alignment horizontal="center" vertical="center"/>
    </xf>
    <xf numFmtId="58" fontId="18" fillId="11" borderId="11" xfId="0" applyNumberFormat="1" applyFont="1" applyFill="1" applyBorder="1" applyAlignment="1">
      <alignment horizontal="left" vertical="top"/>
    </xf>
    <xf numFmtId="0" fontId="18" fillId="12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left" vertical="top"/>
    </xf>
    <xf numFmtId="0" fontId="20" fillId="0" borderId="11" xfId="0" applyFont="1" applyBorder="1" applyAlignment="1">
      <alignment horizontal="left" vertical="top"/>
    </xf>
    <xf numFmtId="0" fontId="20" fillId="0" borderId="6" xfId="0" applyFont="1" applyBorder="1" applyAlignment="1">
      <alignment horizontal="left" vertical="top"/>
    </xf>
    <xf numFmtId="0" fontId="20" fillId="0" borderId="6" xfId="0" applyFont="1" applyBorder="1" applyAlignment="1">
      <alignment horizontal="center" vertical="center"/>
    </xf>
    <xf numFmtId="58" fontId="21" fillId="0" borderId="15" xfId="0" applyNumberFormat="1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0" fillId="0" borderId="0" xfId="0" applyFont="1" applyAlignment="1">
      <alignment horizontal="center" vertical="center"/>
    </xf>
    <xf numFmtId="0" fontId="19" fillId="11" borderId="9" xfId="0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top"/>
    </xf>
    <xf numFmtId="58" fontId="20" fillId="0" borderId="10" xfId="0" applyNumberFormat="1" applyFont="1" applyBorder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20" fillId="0" borderId="13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58" fontId="20" fillId="0" borderId="7" xfId="0" applyNumberFormat="1" applyFont="1" applyBorder="1" applyAlignment="1">
      <alignment horizontal="left" vertical="top"/>
    </xf>
    <xf numFmtId="0" fontId="20" fillId="0" borderId="10" xfId="0" applyFont="1" applyBorder="1"/>
    <xf numFmtId="0" fontId="20" fillId="0" borderId="3" xfId="0" applyFont="1" applyBorder="1"/>
    <xf numFmtId="0" fontId="20" fillId="0" borderId="14" xfId="0" applyFont="1" applyBorder="1"/>
    <xf numFmtId="58" fontId="20" fillId="0" borderId="7" xfId="0" applyNumberFormat="1" applyFont="1" applyBorder="1"/>
    <xf numFmtId="0" fontId="20" fillId="0" borderId="7" xfId="0" applyFont="1" applyBorder="1"/>
    <xf numFmtId="0" fontId="0" fillId="13" borderId="5" xfId="0" applyFill="1" applyBorder="1"/>
    <xf numFmtId="0" fontId="16" fillId="13" borderId="10" xfId="0" applyFont="1" applyFill="1" applyBorder="1" applyAlignment="1">
      <alignment horizontal="center"/>
    </xf>
    <xf numFmtId="0" fontId="16" fillId="13" borderId="6" xfId="0" applyFont="1" applyFill="1" applyBorder="1"/>
    <xf numFmtId="0" fontId="0" fillId="13" borderId="12" xfId="0" applyFill="1" applyBorder="1"/>
    <xf numFmtId="0" fontId="20" fillId="13" borderId="11" xfId="0" applyFont="1" applyFill="1" applyBorder="1"/>
    <xf numFmtId="0" fontId="0" fillId="0" borderId="2" xfId="0" applyBorder="1"/>
    <xf numFmtId="0" fontId="0" fillId="0" borderId="0" xfId="0" applyBorder="1"/>
    <xf numFmtId="0" fontId="4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12" fillId="14" borderId="7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6" borderId="10" xfId="0" applyFill="1" applyBorder="1" applyAlignment="1">
      <alignment vertical="top"/>
    </xf>
    <xf numFmtId="0" fontId="0" fillId="0" borderId="10" xfId="0" applyFill="1" applyBorder="1" applyAlignment="1">
      <alignment horizontal="left" vertical="top"/>
    </xf>
    <xf numFmtId="0" fontId="0" fillId="0" borderId="10" xfId="0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left" vertical="center"/>
    </xf>
    <xf numFmtId="58" fontId="4" fillId="6" borderId="15" xfId="0" applyNumberFormat="1" applyFont="1" applyFill="1" applyBorder="1" applyAlignment="1">
      <alignment horizontal="center" vertical="center"/>
    </xf>
    <xf numFmtId="0" fontId="13" fillId="15" borderId="9" xfId="0" applyFont="1" applyFill="1" applyBorder="1"/>
    <xf numFmtId="0" fontId="13" fillId="0" borderId="9" xfId="0" applyFont="1" applyFill="1" applyBorder="1" applyAlignment="1">
      <alignment wrapText="1"/>
    </xf>
    <xf numFmtId="58" fontId="4" fillId="6" borderId="7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58" fontId="13" fillId="0" borderId="9" xfId="0" applyNumberFormat="1" applyFont="1" applyBorder="1" applyAlignment="1">
      <alignment horizontal="center"/>
    </xf>
    <xf numFmtId="58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23" fillId="6" borderId="9" xfId="0" applyFont="1" applyFill="1" applyBorder="1" applyAlignment="1">
      <alignment horizontal="center"/>
    </xf>
    <xf numFmtId="0" fontId="23" fillId="6" borderId="10" xfId="0" applyFont="1" applyFill="1" applyBorder="1"/>
    <xf numFmtId="0" fontId="13" fillId="6" borderId="9" xfId="0" applyFont="1" applyFill="1" applyBorder="1" applyAlignment="1">
      <alignment wrapText="1"/>
    </xf>
    <xf numFmtId="58" fontId="4" fillId="16" borderId="7" xfId="0" applyNumberFormat="1" applyFont="1" applyFill="1" applyBorder="1" applyAlignment="1">
      <alignment horizontal="center" vertical="center"/>
    </xf>
    <xf numFmtId="58" fontId="4" fillId="7" borderId="7" xfId="0" applyNumberFormat="1" applyFont="1" applyFill="1" applyBorder="1" applyAlignment="1">
      <alignment horizontal="center" vertical="center"/>
    </xf>
    <xf numFmtId="0" fontId="13" fillId="7" borderId="9" xfId="0" applyFont="1" applyFill="1" applyBorder="1"/>
    <xf numFmtId="0" fontId="13" fillId="8" borderId="9" xfId="0" applyFont="1" applyFill="1" applyBorder="1"/>
    <xf numFmtId="0" fontId="4" fillId="17" borderId="10" xfId="0" applyFont="1" applyFill="1" applyBorder="1" applyAlignment="1">
      <alignment horizontal="center" vertical="center"/>
    </xf>
    <xf numFmtId="0" fontId="3" fillId="0" borderId="10" xfId="0" applyFont="1" applyBorder="1"/>
    <xf numFmtId="0" fontId="0" fillId="0" borderId="14" xfId="0" applyBorder="1"/>
    <xf numFmtId="0" fontId="3" fillId="18" borderId="30" xfId="0" applyFont="1" applyFill="1" applyBorder="1"/>
    <xf numFmtId="0" fontId="3" fillId="18" borderId="31" xfId="0" applyFont="1" applyFill="1" applyBorder="1"/>
    <xf numFmtId="58" fontId="4" fillId="0" borderId="30" xfId="0" applyNumberFormat="1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13" fillId="0" borderId="31" xfId="0" applyFont="1" applyFill="1" applyBorder="1"/>
    <xf numFmtId="0" fontId="0" fillId="18" borderId="30" xfId="0" applyFill="1" applyBorder="1"/>
    <xf numFmtId="0" fontId="0" fillId="18" borderId="31" xfId="0" applyFill="1" applyBorder="1"/>
    <xf numFmtId="0" fontId="3" fillId="18" borderId="31" xfId="0" applyFont="1" applyFill="1" applyBorder="1" applyAlignment="1">
      <alignment horizontal="center"/>
    </xf>
    <xf numFmtId="0" fontId="0" fillId="0" borderId="11" xfId="0" applyBorder="1"/>
    <xf numFmtId="0" fontId="23" fillId="18" borderId="9" xfId="0" applyFont="1" applyFill="1" applyBorder="1"/>
    <xf numFmtId="0" fontId="23" fillId="18" borderId="10" xfId="0" applyFont="1" applyFill="1" applyBorder="1"/>
    <xf numFmtId="58" fontId="4" fillId="0" borderId="8" xfId="0" applyNumberFormat="1" applyFont="1" applyFill="1" applyBorder="1" applyAlignment="1">
      <alignment horizontal="left" vertical="top"/>
    </xf>
    <xf numFmtId="58" fontId="4" fillId="0" borderId="9" xfId="0" applyNumberFormat="1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" fillId="6" borderId="9" xfId="0" applyFont="1" applyFill="1" applyBorder="1" applyAlignment="1">
      <alignment horizontal="left" vertical="top"/>
    </xf>
    <xf numFmtId="0" fontId="5" fillId="6" borderId="10" xfId="0" applyFont="1" applyFill="1" applyBorder="1"/>
    <xf numFmtId="0" fontId="5" fillId="6" borderId="10" xfId="0" applyFont="1" applyFill="1" applyBorder="1" applyAlignment="1">
      <alignment horizontal="center" vertical="center"/>
    </xf>
    <xf numFmtId="58" fontId="0" fillId="0" borderId="9" xfId="0" applyNumberFormat="1" applyFill="1" applyBorder="1" applyAlignment="1">
      <alignment horizontal="left" vertical="top"/>
    </xf>
    <xf numFmtId="58" fontId="0" fillId="0" borderId="9" xfId="0" applyNumberFormat="1" applyBorder="1" applyAlignment="1">
      <alignment horizontal="left" vertical="top"/>
    </xf>
    <xf numFmtId="0" fontId="13" fillId="19" borderId="9" xfId="0" applyFont="1" applyFill="1" applyBorder="1"/>
    <xf numFmtId="0" fontId="4" fillId="0" borderId="10" xfId="0" applyFont="1" applyFill="1" applyBorder="1" applyAlignment="1">
      <alignment horizontal="right"/>
    </xf>
    <xf numFmtId="0" fontId="13" fillId="20" borderId="10" xfId="0" applyFont="1" applyFill="1" applyBorder="1"/>
    <xf numFmtId="0" fontId="0" fillId="0" borderId="10" xfId="0" applyBorder="1" applyAlignment="1">
      <alignment horizontal="left"/>
    </xf>
    <xf numFmtId="0" fontId="4" fillId="0" borderId="13" xfId="0" applyFont="1" applyFill="1" applyBorder="1" applyAlignment="1">
      <alignment horizontal="right" vertical="center"/>
    </xf>
    <xf numFmtId="0" fontId="0" fillId="0" borderId="7" xfId="0" applyBorder="1"/>
    <xf numFmtId="0" fontId="0" fillId="8" borderId="10" xfId="0" applyFill="1" applyBorder="1" applyAlignment="1">
      <alignment horizontal="left"/>
    </xf>
    <xf numFmtId="0" fontId="5" fillId="6" borderId="10" xfId="0" applyFont="1" applyFill="1" applyBorder="1" applyAlignment="1">
      <alignment horizontal="center"/>
    </xf>
    <xf numFmtId="0" fontId="5" fillId="8" borderId="10" xfId="0" applyFont="1" applyFill="1" applyBorder="1"/>
    <xf numFmtId="0" fontId="0" fillId="9" borderId="10" xfId="0" applyFill="1" applyBorder="1"/>
    <xf numFmtId="0" fontId="0" fillId="0" borderId="10" xfId="0" applyBorder="1" applyAlignment="1">
      <alignment horizontal="right"/>
    </xf>
    <xf numFmtId="0" fontId="0" fillId="8" borderId="10" xfId="0" applyFill="1" applyBorder="1"/>
    <xf numFmtId="0" fontId="0" fillId="16" borderId="10" xfId="0" applyFill="1" applyBorder="1"/>
    <xf numFmtId="0" fontId="0" fillId="8" borderId="13" xfId="0" applyFill="1" applyBorder="1"/>
    <xf numFmtId="0" fontId="0" fillId="0" borderId="14" xfId="0" applyBorder="1" applyAlignment="1">
      <alignment horizontal="left"/>
    </xf>
    <xf numFmtId="58" fontId="0" fillId="0" borderId="10" xfId="0" applyNumberFormat="1" applyFont="1" applyBorder="1" applyAlignment="1">
      <alignment horizontal="left" vertical="top"/>
    </xf>
    <xf numFmtId="0" fontId="0" fillId="8" borderId="14" xfId="0" applyFill="1" applyBorder="1" applyAlignment="1">
      <alignment horizontal="left"/>
    </xf>
    <xf numFmtId="0" fontId="13" fillId="0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9" borderId="10" xfId="0" applyFill="1" applyBorder="1" applyAlignment="1">
      <alignment horizontal="left"/>
    </xf>
    <xf numFmtId="0" fontId="0" fillId="6" borderId="10" xfId="0" applyFill="1" applyBorder="1" applyAlignment="1">
      <alignment horizontal="left" wrapText="1"/>
    </xf>
    <xf numFmtId="0" fontId="0" fillId="0" borderId="3" xfId="0" applyFill="1" applyBorder="1" applyAlignment="1">
      <alignment horizontal="center" vertical="center"/>
    </xf>
    <xf numFmtId="0" fontId="0" fillId="9" borderId="14" xfId="0" applyFill="1" applyBorder="1" applyAlignment="1">
      <alignment horizontal="left"/>
    </xf>
    <xf numFmtId="0" fontId="2" fillId="6" borderId="10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17" fillId="0" borderId="10" xfId="0" applyFont="1" applyBorder="1"/>
    <xf numFmtId="0" fontId="24" fillId="0" borderId="0" xfId="49"/>
    <xf numFmtId="0" fontId="24" fillId="0" borderId="0" xfId="49" applyBorder="1" applyAlignment="1"/>
    <xf numFmtId="0" fontId="25" fillId="21" borderId="1" xfId="49" applyFont="1" applyFill="1" applyBorder="1" applyAlignment="1">
      <alignment horizontal="center" vertical="top" wrapText="1"/>
    </xf>
    <xf numFmtId="0" fontId="26" fillId="21" borderId="1" xfId="49" applyFont="1" applyFill="1" applyBorder="1" applyAlignment="1">
      <alignment horizontal="center" vertical="top" wrapText="1"/>
    </xf>
    <xf numFmtId="0" fontId="27" fillId="0" borderId="14" xfId="49" applyFont="1" applyBorder="1" applyAlignment="1">
      <alignment horizontal="center" vertical="top" wrapText="1"/>
    </xf>
    <xf numFmtId="0" fontId="26" fillId="0" borderId="14" xfId="49" applyFont="1" applyBorder="1" applyAlignment="1">
      <alignment horizontal="center" vertical="top" wrapText="1"/>
    </xf>
    <xf numFmtId="0" fontId="24" fillId="0" borderId="1" xfId="49" applyBorder="1" applyAlignment="1"/>
    <xf numFmtId="0" fontId="28" fillId="0" borderId="1" xfId="49" applyFont="1" applyBorder="1" applyAlignment="1">
      <alignment horizontal="left" vertical="top" wrapText="1"/>
    </xf>
    <xf numFmtId="0" fontId="28" fillId="0" borderId="1" xfId="49" applyFont="1" applyBorder="1" applyAlignment="1">
      <alignment horizontal="center" vertical="top" wrapText="1"/>
    </xf>
    <xf numFmtId="1" fontId="28" fillId="0" borderId="1" xfId="49" applyNumberFormat="1" applyFont="1" applyBorder="1" applyAlignment="1">
      <alignment horizontal="center" vertical="top" wrapText="1"/>
    </xf>
    <xf numFmtId="58" fontId="24" fillId="0" borderId="0" xfId="49" applyNumberFormat="1" applyAlignment="1">
      <alignment horizontal="center"/>
    </xf>
    <xf numFmtId="0" fontId="28" fillId="0" borderId="10" xfId="49" applyFont="1" applyBorder="1" applyAlignment="1">
      <alignment vertical="top" wrapText="1"/>
    </xf>
    <xf numFmtId="58" fontId="28" fillId="0" borderId="1" xfId="49" applyNumberFormat="1" applyFont="1" applyBorder="1" applyAlignment="1">
      <alignment horizontal="center" vertical="top" wrapText="1"/>
    </xf>
    <xf numFmtId="0" fontId="26" fillId="21" borderId="7" xfId="49" applyFont="1" applyFill="1" applyBorder="1" applyAlignment="1">
      <alignment horizontal="center" vertical="top" wrapText="1"/>
    </xf>
    <xf numFmtId="0" fontId="24" fillId="0" borderId="0" xfId="49" applyBorder="1"/>
    <xf numFmtId="0" fontId="29" fillId="0" borderId="32" xfId="49" applyFont="1" applyBorder="1" applyAlignment="1">
      <alignment horizontal="center" vertical="top" wrapText="1"/>
    </xf>
    <xf numFmtId="0" fontId="24" fillId="22" borderId="33" xfId="49" applyFill="1" applyBorder="1" applyAlignment="1"/>
    <xf numFmtId="0" fontId="26" fillId="21" borderId="14" xfId="49" applyFont="1" applyFill="1" applyBorder="1" applyAlignment="1">
      <alignment horizontal="center" vertical="top" wrapText="1"/>
    </xf>
    <xf numFmtId="1" fontId="28" fillId="0" borderId="14" xfId="49" applyNumberFormat="1" applyFont="1" applyBorder="1" applyAlignment="1">
      <alignment horizontal="center" vertical="top" wrapText="1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58" fontId="4" fillId="8" borderId="10" xfId="0" applyNumberFormat="1" applyFont="1" applyFill="1" applyBorder="1" applyAlignment="1">
      <alignment horizontal="center" vertical="center"/>
    </xf>
    <xf numFmtId="0" fontId="30" fillId="0" borderId="0" xfId="0" applyFont="1"/>
    <xf numFmtId="0" fontId="1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3" fillId="6" borderId="34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58" fontId="0" fillId="0" borderId="0" xfId="0" applyNumberFormat="1"/>
    <xf numFmtId="0" fontId="4" fillId="23" borderId="10" xfId="0" applyFont="1" applyFill="1" applyBorder="1" applyAlignment="1">
      <alignment horizontal="center" vertical="center"/>
    </xf>
    <xf numFmtId="0" fontId="0" fillId="2" borderId="10" xfId="0" applyFill="1" applyBorder="1"/>
    <xf numFmtId="17" fontId="4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4" fillId="24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center"/>
    </xf>
    <xf numFmtId="0" fontId="0" fillId="2" borderId="9" xfId="0" applyFill="1" applyBorder="1"/>
    <xf numFmtId="0" fontId="0" fillId="0" borderId="8" xfId="0" applyBorder="1"/>
    <xf numFmtId="0" fontId="0" fillId="0" borderId="0" xfId="0" applyAlignment="1">
      <alignment wrapText="1"/>
    </xf>
    <xf numFmtId="0" fontId="16" fillId="2" borderId="10" xfId="0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23" fillId="0" borderId="0" xfId="0" applyFont="1"/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58" fontId="4" fillId="0" borderId="35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58" fontId="4" fillId="0" borderId="14" xfId="0" applyNumberFormat="1" applyFont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center" vertical="center" wrapText="1"/>
    </xf>
    <xf numFmtId="58" fontId="4" fillId="0" borderId="8" xfId="0" applyNumberFormat="1" applyFont="1" applyBorder="1" applyAlignment="1">
      <alignment horizontal="center" vertical="center"/>
    </xf>
    <xf numFmtId="58" fontId="4" fillId="0" borderId="9" xfId="0" applyNumberFormat="1" applyFont="1" applyBorder="1" applyAlignment="1">
      <alignment horizontal="center" vertical="center"/>
    </xf>
    <xf numFmtId="58" fontId="32" fillId="23" borderId="7" xfId="0" applyNumberFormat="1" applyFont="1" applyFill="1" applyBorder="1" applyAlignment="1">
      <alignment horizontal="center" vertical="center"/>
    </xf>
    <xf numFmtId="58" fontId="32" fillId="23" borderId="8" xfId="0" applyNumberFormat="1" applyFont="1" applyFill="1" applyBorder="1" applyAlignment="1">
      <alignment horizontal="center" vertical="center"/>
    </xf>
    <xf numFmtId="58" fontId="32" fillId="23" borderId="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4" fillId="18" borderId="14" xfId="0" applyFont="1" applyFill="1" applyBorder="1" applyAlignment="1">
      <alignment horizontal="center" vertical="center"/>
    </xf>
    <xf numFmtId="0" fontId="14" fillId="18" borderId="11" xfId="0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0" Type="http://schemas.openxmlformats.org/officeDocument/2006/relationships/styles" Target="styles.xml"/><Relationship Id="rId9" Type="http://schemas.openxmlformats.org/officeDocument/2006/relationships/worksheet" Target="worksheets/sheet9.xml"/><Relationship Id="rId89" Type="http://schemas.openxmlformats.org/officeDocument/2006/relationships/sharedStrings" Target="sharedStrings.xml"/><Relationship Id="rId88" Type="http://schemas.openxmlformats.org/officeDocument/2006/relationships/theme" Target="theme/theme1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Receivables list'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0</xdr:row>
      <xdr:rowOff>19051</xdr:rowOff>
    </xdr:from>
    <xdr:to>
      <xdr:col>8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90201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197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15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292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673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054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959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4103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959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572125" y="0"/>
          <a:ext cx="1181100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578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4292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9245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292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5911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721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5530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959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721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626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102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102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912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435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858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858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3722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4292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3530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054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054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96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578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3341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769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1436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816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4864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816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5340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5340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0579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4673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102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578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864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007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102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8293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578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15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150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41020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81977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686425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19051</xdr:rowOff>
    </xdr:from>
    <xdr:to>
      <xdr:col>7</xdr:col>
      <xdr:colOff>581025</xdr:colOff>
      <xdr:row>1</xdr:row>
      <xdr:rowOff>238126</xdr:rowOff>
    </xdr:to>
    <xdr:sp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314950" y="19050"/>
          <a:ext cx="11811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Home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/>
  </sheetPr>
  <dimension ref="A1:J91"/>
  <sheetViews>
    <sheetView zoomScale="118" zoomScaleNormal="118" workbookViewId="0">
      <selection activeCell="A1" sqref="A1:C2"/>
    </sheetView>
  </sheetViews>
  <sheetFormatPr defaultColWidth="9" defaultRowHeight="15"/>
  <cols>
    <col min="2" max="2" width="41.8571428571429" customWidth="1"/>
    <col min="3" max="3" width="20.7142857142857" customWidth="1"/>
    <col min="4" max="4" width="24" customWidth="1"/>
  </cols>
  <sheetData>
    <row r="1" spans="1:3">
      <c r="A1" s="193" t="s">
        <v>0</v>
      </c>
      <c r="B1" s="193"/>
      <c r="C1" s="193"/>
    </row>
    <row r="2" spans="1:3">
      <c r="A2" s="193"/>
      <c r="B2" s="193"/>
      <c r="C2" s="193"/>
    </row>
    <row r="3" ht="18.75" customHeight="1" spans="1:3">
      <c r="A3" s="393" t="s">
        <v>1</v>
      </c>
      <c r="B3" s="393" t="s">
        <v>2</v>
      </c>
      <c r="C3" s="393" t="s">
        <v>3</v>
      </c>
    </row>
    <row r="4" ht="18.75" customHeight="1" spans="1:3">
      <c r="A4" s="394"/>
      <c r="B4" s="394"/>
      <c r="C4" s="394"/>
    </row>
    <row r="5" spans="1:4">
      <c r="A5" s="29">
        <v>1</v>
      </c>
      <c r="B5" s="36" t="s">
        <v>4</v>
      </c>
      <c r="C5" s="46">
        <f>'Al Bayan Water '!F8</f>
        <v>0</v>
      </c>
      <c r="D5" t="s">
        <v>5</v>
      </c>
    </row>
    <row r="6" spans="1:3">
      <c r="A6" s="29">
        <v>2</v>
      </c>
      <c r="B6" s="36" t="s">
        <v>6</v>
      </c>
      <c r="C6" s="46">
        <f>'Ab e Rose Water'!F8</f>
        <v>27468</v>
      </c>
    </row>
    <row r="7" spans="1:3">
      <c r="A7" s="29">
        <v>3</v>
      </c>
      <c r="B7" s="118" t="s">
        <v>7</v>
      </c>
      <c r="C7" s="395">
        <f>'Aqua Musafi'!F25</f>
        <v>30578</v>
      </c>
    </row>
    <row r="8" spans="1:3">
      <c r="A8" s="29">
        <v>4</v>
      </c>
      <c r="B8" s="118" t="s">
        <v>8</v>
      </c>
      <c r="C8" s="29">
        <f>'Al Javed Ice Factory'!F10</f>
        <v>26550</v>
      </c>
    </row>
    <row r="9" spans="1:3">
      <c r="A9" s="29">
        <v>5</v>
      </c>
      <c r="B9" s="118" t="s">
        <v>9</v>
      </c>
      <c r="C9" s="395">
        <f>'Al Maida Water'!F24</f>
        <v>35552</v>
      </c>
    </row>
    <row r="10" spans="1:3">
      <c r="A10" s="29">
        <v>6</v>
      </c>
      <c r="B10" s="118" t="s">
        <v>10</v>
      </c>
      <c r="C10" s="395">
        <f>'Ahmed N One water'!F52</f>
        <v>581570</v>
      </c>
    </row>
    <row r="11" spans="1:10">
      <c r="A11" s="29">
        <v>8</v>
      </c>
      <c r="B11" s="118" t="s">
        <v>11</v>
      </c>
      <c r="C11" s="29">
        <f>'Al Khidmat lodhran '!F10</f>
        <v>51024</v>
      </c>
      <c r="J11" s="396"/>
    </row>
    <row r="12" spans="1:10">
      <c r="A12" s="29">
        <v>9</v>
      </c>
      <c r="B12" s="118" t="s">
        <v>12</v>
      </c>
      <c r="C12" s="395">
        <f>'Al Khidmat Bwp'!F23</f>
        <v>79945</v>
      </c>
      <c r="J12" s="396"/>
    </row>
    <row r="13" spans="1:10">
      <c r="A13" s="29">
        <v>10</v>
      </c>
      <c r="B13" s="118" t="s">
        <v>13</v>
      </c>
      <c r="C13" s="29">
        <f>'Al Shafi Water (Younas sb)'!F20</f>
        <v>2150</v>
      </c>
      <c r="J13" s="396"/>
    </row>
    <row r="14" spans="1:10">
      <c r="A14" s="29">
        <v>11</v>
      </c>
      <c r="B14" s="118" t="s">
        <v>14</v>
      </c>
      <c r="C14" s="29">
        <f>'Aqua Refine '!G142</f>
        <v>350</v>
      </c>
      <c r="J14" s="396"/>
    </row>
    <row r="15" spans="1:10">
      <c r="A15" s="29">
        <v>12</v>
      </c>
      <c r="B15" s="118" t="s">
        <v>15</v>
      </c>
      <c r="C15" s="395">
        <f>'Abshar Water'!F12</f>
        <v>15450</v>
      </c>
      <c r="J15" s="396"/>
    </row>
    <row r="16" spans="1:10">
      <c r="A16" s="29">
        <v>13</v>
      </c>
      <c r="B16" s="118" t="s">
        <v>16</v>
      </c>
      <c r="C16" s="395">
        <f>'Aqua Marine '!F10</f>
        <v>73127</v>
      </c>
      <c r="J16" s="396"/>
    </row>
    <row r="17" spans="1:10">
      <c r="A17" s="29">
        <v>14</v>
      </c>
      <c r="B17" s="118" t="s">
        <v>17</v>
      </c>
      <c r="C17" s="29">
        <f>'Ab e Hayat Plus'!F16</f>
        <v>253</v>
      </c>
      <c r="J17" s="396"/>
    </row>
    <row r="18" spans="1:10">
      <c r="A18" s="29">
        <v>15</v>
      </c>
      <c r="B18" s="118" t="s">
        <v>18</v>
      </c>
      <c r="C18" s="395">
        <f>'Aqsa Water'!F9</f>
        <v>51181</v>
      </c>
      <c r="J18" s="396"/>
    </row>
    <row r="19" spans="1:10">
      <c r="A19" s="29">
        <v>16</v>
      </c>
      <c r="B19" s="118" t="s">
        <v>19</v>
      </c>
      <c r="C19" s="395">
        <f>'Al Azam Water'!F30</f>
        <v>95940</v>
      </c>
      <c r="J19" s="396"/>
    </row>
    <row r="20" spans="1:10">
      <c r="A20" s="29">
        <v>17</v>
      </c>
      <c r="B20" s="118" t="s">
        <v>20</v>
      </c>
      <c r="C20" s="395">
        <f>'Aqua Santa'!F8</f>
        <v>9684</v>
      </c>
      <c r="J20" s="396"/>
    </row>
    <row r="21" spans="1:10">
      <c r="A21" s="29">
        <v>18</v>
      </c>
      <c r="B21" s="118" t="s">
        <v>21</v>
      </c>
      <c r="C21" s="29">
        <f>'Ahmed Ice Factory '!F27</f>
        <v>106514</v>
      </c>
      <c r="J21" s="396"/>
    </row>
    <row r="22" spans="1:10">
      <c r="A22" s="29">
        <v>19</v>
      </c>
      <c r="B22" s="118" t="s">
        <v>22</v>
      </c>
      <c r="C22" s="395">
        <f>'Aqua Shereen '!F8</f>
        <v>54965</v>
      </c>
      <c r="J22" s="396"/>
    </row>
    <row r="23" spans="1:10">
      <c r="A23" s="29">
        <v>20</v>
      </c>
      <c r="B23" s="118" t="s">
        <v>23</v>
      </c>
      <c r="C23" s="395">
        <f>'Alien Water( Lodhran)'!F14</f>
        <v>11800</v>
      </c>
      <c r="J23" s="396"/>
    </row>
    <row r="24" spans="1:10">
      <c r="A24" s="29">
        <v>21</v>
      </c>
      <c r="B24" s="118" t="s">
        <v>24</v>
      </c>
      <c r="C24" s="395">
        <f>'Alien Water( Bwp)'!F10</f>
        <v>0</v>
      </c>
      <c r="J24" s="396"/>
    </row>
    <row r="25" spans="1:10">
      <c r="A25" s="29">
        <v>22</v>
      </c>
      <c r="B25" s="118" t="s">
        <v>25</v>
      </c>
      <c r="C25" s="395">
        <f>'A.F Water'!F10</f>
        <v>10351</v>
      </c>
      <c r="J25" s="396"/>
    </row>
    <row r="26" spans="1:10">
      <c r="A26" s="29">
        <v>23</v>
      </c>
      <c r="B26" s="118" t="s">
        <v>26</v>
      </c>
      <c r="C26" s="395">
        <f>'Aswad Sb'!F34</f>
        <v>1775</v>
      </c>
      <c r="J26" s="396"/>
    </row>
    <row r="27" spans="1:10">
      <c r="A27" s="29">
        <v>24</v>
      </c>
      <c r="B27" s="118" t="s">
        <v>27</v>
      </c>
      <c r="C27" s="395">
        <f>'Asia Homeyo Store'!F10</f>
        <v>11250</v>
      </c>
      <c r="J27" s="396"/>
    </row>
    <row r="28" spans="1:10">
      <c r="A28" s="29">
        <v>25</v>
      </c>
      <c r="B28" s="118" t="s">
        <v>28</v>
      </c>
      <c r="C28" s="395">
        <f>'Ahsas Water '!F8</f>
        <v>0</v>
      </c>
      <c r="J28" s="396"/>
    </row>
    <row r="29" spans="1:10">
      <c r="A29" s="29">
        <v>26</v>
      </c>
      <c r="B29" s="118" t="s">
        <v>29</v>
      </c>
      <c r="C29" s="395">
        <f>'Al Subhan Water'!F12</f>
        <v>0</v>
      </c>
      <c r="J29" s="396"/>
    </row>
    <row r="30" spans="1:10">
      <c r="A30" s="29">
        <v>27</v>
      </c>
      <c r="B30" s="118" t="s">
        <v>30</v>
      </c>
      <c r="C30" s="395">
        <f>'Barcly Water'!F77</f>
        <v>137250</v>
      </c>
      <c r="J30" s="396"/>
    </row>
    <row r="31" spans="1:10">
      <c r="A31" s="29">
        <v>28</v>
      </c>
      <c r="B31" s="118" t="s">
        <v>31</v>
      </c>
      <c r="C31" s="395">
        <f>'Bling Water'!F17</f>
        <v>32830</v>
      </c>
      <c r="J31" s="396"/>
    </row>
    <row r="32" spans="1:10">
      <c r="A32" s="29">
        <v>29</v>
      </c>
      <c r="B32" s="118" t="s">
        <v>32</v>
      </c>
      <c r="C32" s="395">
        <f>'Bissimillah Senitary '!F8</f>
        <v>3624</v>
      </c>
      <c r="J32" s="396"/>
    </row>
    <row r="33" spans="1:10">
      <c r="A33" s="29">
        <v>30</v>
      </c>
      <c r="B33" s="118" t="s">
        <v>33</v>
      </c>
      <c r="C33" s="395">
        <f>'Bwp Water'!F10</f>
        <v>7415</v>
      </c>
      <c r="J33" s="396"/>
    </row>
    <row r="34" spans="1:10">
      <c r="A34" s="29">
        <v>31</v>
      </c>
      <c r="B34" s="118" t="s">
        <v>34</v>
      </c>
      <c r="C34" s="29">
        <f>'Berg Water'!F22</f>
        <v>0</v>
      </c>
      <c r="J34" s="396"/>
    </row>
    <row r="35" spans="1:10">
      <c r="A35" s="29">
        <v>32</v>
      </c>
      <c r="B35" s="118" t="s">
        <v>35</v>
      </c>
      <c r="C35" s="29">
        <f>BWMC!F12</f>
        <v>1000</v>
      </c>
      <c r="J35" s="396"/>
    </row>
    <row r="36" spans="1:10">
      <c r="A36" s="29">
        <v>33</v>
      </c>
      <c r="B36" s="118" t="s">
        <v>36</v>
      </c>
      <c r="C36" s="395">
        <f>'Chand Agro'!F69</f>
        <v>2500</v>
      </c>
      <c r="J36" s="396"/>
    </row>
    <row r="37" spans="1:10">
      <c r="A37" s="29">
        <v>34</v>
      </c>
      <c r="B37" s="118" t="s">
        <v>37</v>
      </c>
      <c r="C37" s="395">
        <f>'Candy Water'!F30</f>
        <v>-2320</v>
      </c>
      <c r="J37" s="396"/>
    </row>
    <row r="38" spans="1:10">
      <c r="A38" s="29">
        <v>35</v>
      </c>
      <c r="B38" s="118" t="s">
        <v>38</v>
      </c>
      <c r="C38" s="395">
        <f>'Clean &amp; Clean'!F13</f>
        <v>37270</v>
      </c>
      <c r="J38" s="396"/>
    </row>
    <row r="39" spans="1:10">
      <c r="A39" s="29">
        <v>36</v>
      </c>
      <c r="B39" s="118" t="s">
        <v>39</v>
      </c>
      <c r="C39" s="395">
        <f>'Dar e Arqam '!F9</f>
        <v>0</v>
      </c>
      <c r="J39" s="396"/>
    </row>
    <row r="40" spans="1:10">
      <c r="A40" s="29">
        <v>37</v>
      </c>
      <c r="B40" s="118" t="s">
        <v>40</v>
      </c>
      <c r="C40" s="395">
        <f>'1'!F17</f>
        <v>-164770</v>
      </c>
      <c r="J40" s="396"/>
    </row>
    <row r="41" spans="1:10">
      <c r="A41" s="29">
        <v>38</v>
      </c>
      <c r="B41" s="118" t="s">
        <v>41</v>
      </c>
      <c r="C41" s="395">
        <f>'Ever Best'!F8</f>
        <v>16664</v>
      </c>
      <c r="J41" s="396"/>
    </row>
    <row r="42" spans="1:10">
      <c r="A42" s="29">
        <v>39</v>
      </c>
      <c r="B42" s="118" t="s">
        <v>42</v>
      </c>
      <c r="C42" s="395">
        <f>'Gysing Pak Water'!F346</f>
        <v>298774</v>
      </c>
      <c r="J42" s="396"/>
    </row>
    <row r="43" spans="1:10">
      <c r="A43" s="29">
        <v>40</v>
      </c>
      <c r="B43" s="118" t="s">
        <v>43</v>
      </c>
      <c r="C43" s="395">
        <f>'2'!F6</f>
        <v>69000</v>
      </c>
      <c r="J43" s="396"/>
    </row>
    <row r="44" spans="1:10">
      <c r="A44" s="29">
        <v>41</v>
      </c>
      <c r="B44" s="118" t="s">
        <v>44</v>
      </c>
      <c r="C44" s="395">
        <f>'Hunza Water '!F12</f>
        <v>8500</v>
      </c>
      <c r="G44" t="s">
        <v>5</v>
      </c>
      <c r="J44" s="396"/>
    </row>
    <row r="45" spans="1:10">
      <c r="A45" s="29">
        <v>42</v>
      </c>
      <c r="B45" s="118" t="s">
        <v>45</v>
      </c>
      <c r="C45" s="395">
        <f>'Haji Yousaf Sb'!F8</f>
        <v>39838</v>
      </c>
      <c r="J45" s="396"/>
    </row>
    <row r="46" spans="1:10">
      <c r="A46" s="29">
        <v>43</v>
      </c>
      <c r="B46" s="118" t="s">
        <v>46</v>
      </c>
      <c r="C46" s="395">
        <f>'Ice Mountain '!F9</f>
        <v>6600</v>
      </c>
      <c r="J46" s="396"/>
    </row>
    <row r="47" spans="1:10">
      <c r="A47" s="29">
        <v>44</v>
      </c>
      <c r="B47" s="118" t="s">
        <v>47</v>
      </c>
      <c r="C47" s="395">
        <f>'Just Pure'!F36</f>
        <v>300050</v>
      </c>
      <c r="J47" s="396"/>
    </row>
    <row r="48" spans="1:10">
      <c r="A48" s="29">
        <v>45</v>
      </c>
      <c r="B48" s="118" t="s">
        <v>48</v>
      </c>
      <c r="C48" s="395">
        <f>'J Smart '!F8</f>
        <v>62799</v>
      </c>
      <c r="J48" s="396"/>
    </row>
    <row r="49" spans="1:10">
      <c r="A49" s="29">
        <v>46</v>
      </c>
      <c r="B49" s="118" t="s">
        <v>49</v>
      </c>
      <c r="C49" s="395" t="e">
        <f>'Usman Zubair.'!#REF!</f>
        <v>#REF!</v>
      </c>
      <c r="J49" s="396"/>
    </row>
    <row r="50" spans="1:10">
      <c r="A50" s="29">
        <v>47</v>
      </c>
      <c r="B50" s="118" t="s">
        <v>50</v>
      </c>
      <c r="C50" s="395">
        <f>'HB Water.'!F103</f>
        <v>90777</v>
      </c>
      <c r="J50" s="396"/>
    </row>
    <row r="51" spans="1:10">
      <c r="A51" s="29">
        <v>48</v>
      </c>
      <c r="B51" s="118" t="s">
        <v>51</v>
      </c>
      <c r="C51" s="395">
        <f>'Hayat Royal Water'!F35</f>
        <v>1000</v>
      </c>
      <c r="J51" s="396"/>
    </row>
    <row r="52" spans="1:10">
      <c r="A52" s="29">
        <v>49</v>
      </c>
      <c r="B52" s="118" t="s">
        <v>52</v>
      </c>
      <c r="C52" s="395">
        <f>'Mateen Sb'!F36</f>
        <v>8677</v>
      </c>
      <c r="J52" s="396"/>
    </row>
    <row r="53" spans="1:10">
      <c r="A53" s="29">
        <v>50</v>
      </c>
      <c r="B53" s="118" t="s">
        <v>53</v>
      </c>
      <c r="C53" s="395">
        <f>'Moen Sb'!F34</f>
        <v>20475</v>
      </c>
      <c r="J53" s="396"/>
    </row>
    <row r="54" spans="1:10">
      <c r="A54" s="29">
        <v>51</v>
      </c>
      <c r="B54" s="118" t="s">
        <v>54</v>
      </c>
      <c r="C54" s="395">
        <f>Nonari!F15</f>
        <v>0</v>
      </c>
      <c r="J54" s="396"/>
    </row>
    <row r="55" spans="1:10">
      <c r="A55" s="29">
        <v>52</v>
      </c>
      <c r="B55" s="118" t="s">
        <v>55</v>
      </c>
      <c r="C55" s="395">
        <f>'Nero Water'!F8</f>
        <v>429389</v>
      </c>
      <c r="J55" s="396"/>
    </row>
    <row r="56" spans="1:10">
      <c r="A56" s="29">
        <v>53</v>
      </c>
      <c r="B56" s="118" t="s">
        <v>56</v>
      </c>
      <c r="C56" s="395">
        <f>'National Water'!F8</f>
        <v>0</v>
      </c>
      <c r="J56" s="396"/>
    </row>
    <row r="57" spans="1:10">
      <c r="A57" s="29">
        <v>54</v>
      </c>
      <c r="B57" s="118" t="s">
        <v>57</v>
      </c>
      <c r="C57" s="395">
        <v>0</v>
      </c>
      <c r="J57" s="396"/>
    </row>
    <row r="58" spans="1:10">
      <c r="A58" s="29">
        <v>55</v>
      </c>
      <c r="B58" s="118" t="s">
        <v>58</v>
      </c>
      <c r="C58" s="395">
        <f>'Crystal Water Bagouchi Pull'!F8</f>
        <v>5570</v>
      </c>
      <c r="J58" s="396"/>
    </row>
    <row r="59" spans="1:10">
      <c r="A59" s="29">
        <v>56</v>
      </c>
      <c r="B59" s="118" t="s">
        <v>59</v>
      </c>
      <c r="C59" s="395">
        <f>'Nayab Water'!F15</f>
        <v>57300</v>
      </c>
      <c r="J59" s="396"/>
    </row>
    <row r="60" spans="1:10">
      <c r="A60" s="29">
        <v>57</v>
      </c>
      <c r="B60" s="118" t="s">
        <v>60</v>
      </c>
      <c r="C60" s="395">
        <f>'Qari ajmal Sb'!F19</f>
        <v>3978</v>
      </c>
      <c r="J60" s="396"/>
    </row>
    <row r="61" spans="1:10">
      <c r="A61" s="29">
        <v>58</v>
      </c>
      <c r="B61" s="118" t="s">
        <v>61</v>
      </c>
      <c r="C61" s="395">
        <f>'Rohi Water'!F17</f>
        <v>1500</v>
      </c>
      <c r="J61" s="396"/>
    </row>
    <row r="62" spans="1:10">
      <c r="A62" s="29">
        <v>59</v>
      </c>
      <c r="B62" s="118" t="s">
        <v>62</v>
      </c>
      <c r="C62" s="395">
        <f>'Sheikh Usman Sb'!F74</f>
        <v>21052</v>
      </c>
      <c r="J62" s="396"/>
    </row>
    <row r="63" spans="1:10">
      <c r="A63" s="29">
        <v>60</v>
      </c>
      <c r="B63" s="118" t="s">
        <v>63</v>
      </c>
      <c r="C63" s="29">
        <f>' Shafi Water (Adnan sb)'!F24</f>
        <v>21515</v>
      </c>
      <c r="J63" s="396"/>
    </row>
    <row r="64" spans="1:10">
      <c r="A64" s="29">
        <v>61</v>
      </c>
      <c r="B64" s="118" t="s">
        <v>64</v>
      </c>
      <c r="C64" s="29" t="e">
        <f>#REF!</f>
        <v>#REF!</v>
      </c>
      <c r="J64" s="396"/>
    </row>
    <row r="65" spans="1:10">
      <c r="A65" s="29">
        <v>62</v>
      </c>
      <c r="B65" s="118" t="s">
        <v>65</v>
      </c>
      <c r="C65" s="29">
        <f>'Dr.Jameel Sab'!F21</f>
        <v>5670</v>
      </c>
      <c r="J65" s="396"/>
    </row>
    <row r="66" spans="1:10">
      <c r="A66" s="29">
        <v>63</v>
      </c>
      <c r="B66" s="118" t="s">
        <v>66</v>
      </c>
      <c r="C66" s="29" t="e">
        <f>#REF!</f>
        <v>#REF!</v>
      </c>
      <c r="J66" s="396"/>
    </row>
    <row r="67" spans="1:10">
      <c r="A67" s="29">
        <v>64</v>
      </c>
      <c r="B67" s="118" t="s">
        <v>67</v>
      </c>
      <c r="C67" s="29">
        <f>'TMA Ali Sb'!F8</f>
        <v>2500</v>
      </c>
      <c r="J67" s="396"/>
    </row>
    <row r="68" spans="1:10">
      <c r="A68" s="29">
        <v>65</v>
      </c>
      <c r="B68" s="118" t="s">
        <v>68</v>
      </c>
      <c r="C68" s="29" t="e">
        <f>#REF!</f>
        <v>#REF!</v>
      </c>
      <c r="J68" s="396"/>
    </row>
    <row r="69" spans="1:3">
      <c r="A69" s="29">
        <v>66</v>
      </c>
      <c r="B69" s="118" t="s">
        <v>69</v>
      </c>
      <c r="C69" s="29">
        <f>'Umer Awan Sb'!F9</f>
        <v>35772</v>
      </c>
    </row>
    <row r="70" spans="1:3">
      <c r="A70" s="29">
        <v>67</v>
      </c>
      <c r="B70" s="118" t="s">
        <v>70</v>
      </c>
      <c r="C70" s="29">
        <f>'Waleed Sb BVH'!F58</f>
        <v>19405</v>
      </c>
    </row>
    <row r="71" spans="1:3">
      <c r="A71" s="29">
        <v>68</v>
      </c>
      <c r="B71" s="118" t="s">
        <v>71</v>
      </c>
      <c r="C71" s="397">
        <f>'Yes Water'!J39</f>
        <v>0</v>
      </c>
    </row>
    <row r="72" spans="1:3">
      <c r="A72" s="29">
        <v>69</v>
      </c>
      <c r="B72" s="118" t="s">
        <v>72</v>
      </c>
      <c r="C72" s="29">
        <f>'Yasir Sb'!F10</f>
        <v>231338</v>
      </c>
    </row>
    <row r="73" spans="1:3">
      <c r="A73" s="29">
        <v>70</v>
      </c>
      <c r="B73" s="118" t="s">
        <v>73</v>
      </c>
      <c r="C73" s="29">
        <f>'ZYNG '!F11</f>
        <v>29000</v>
      </c>
    </row>
    <row r="74" spans="1:3">
      <c r="A74" s="29">
        <v>71</v>
      </c>
      <c r="B74" s="118" t="s">
        <v>74</v>
      </c>
      <c r="C74" s="29">
        <f>'Zain Water'!F8</f>
        <v>0</v>
      </c>
    </row>
    <row r="75" spans="1:3">
      <c r="A75" s="29">
        <v>72</v>
      </c>
      <c r="B75" s="118" t="s">
        <v>75</v>
      </c>
      <c r="C75" s="29">
        <v>2659</v>
      </c>
    </row>
    <row r="76" spans="1:3">
      <c r="A76" s="29">
        <v>73</v>
      </c>
      <c r="B76" s="118" t="s">
        <v>76</v>
      </c>
      <c r="C76" s="29">
        <v>62773</v>
      </c>
    </row>
    <row r="77" spans="1:3">
      <c r="A77" s="29">
        <v>74</v>
      </c>
      <c r="B77" s="118" t="s">
        <v>77</v>
      </c>
      <c r="C77" s="29">
        <v>22765</v>
      </c>
    </row>
    <row r="78" spans="1:3">
      <c r="A78" s="29">
        <v>75</v>
      </c>
      <c r="B78" s="118" t="s">
        <v>78</v>
      </c>
      <c r="C78" s="29">
        <v>66632</v>
      </c>
    </row>
    <row r="79" spans="1:3">
      <c r="A79" s="29">
        <v>76</v>
      </c>
      <c r="B79" s="118" t="s">
        <v>79</v>
      </c>
      <c r="C79" s="29">
        <v>11574</v>
      </c>
    </row>
    <row r="80" spans="1:3">
      <c r="A80" s="29"/>
      <c r="B80" s="118"/>
      <c r="C80" s="29"/>
    </row>
    <row r="81" spans="1:3">
      <c r="A81" s="29"/>
      <c r="B81" s="118"/>
      <c r="C81" s="29"/>
    </row>
    <row r="82" spans="1:3">
      <c r="A82" s="29"/>
      <c r="B82" s="118"/>
      <c r="C82" s="29"/>
    </row>
    <row r="83" spans="1:3">
      <c r="A83" s="29"/>
      <c r="B83" s="118"/>
      <c r="C83" s="29"/>
    </row>
    <row r="84" spans="1:3">
      <c r="A84" s="29"/>
      <c r="B84" s="118"/>
      <c r="C84" s="29"/>
    </row>
    <row r="85" spans="1:3">
      <c r="A85" s="398" t="s">
        <v>80</v>
      </c>
      <c r="B85" s="65"/>
      <c r="C85" s="399" t="e">
        <f>SUM(C5:C84)</f>
        <v>#REF!</v>
      </c>
    </row>
    <row r="91" spans="4:4">
      <c r="D91" t="s">
        <v>5</v>
      </c>
    </row>
  </sheetData>
  <sortState ref="B4:C55">
    <sortCondition ref="B4"/>
  </sortState>
  <mergeCells count="5">
    <mergeCell ref="A85:B85"/>
    <mergeCell ref="A3:A4"/>
    <mergeCell ref="B3:B4"/>
    <mergeCell ref="C3:C4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Y13833"/>
  <sheetViews>
    <sheetView zoomScale="80" zoomScaleNormal="80" topLeftCell="A118" workbookViewId="0">
      <selection activeCell="K132" sqref="K132"/>
    </sheetView>
  </sheetViews>
  <sheetFormatPr defaultColWidth="9" defaultRowHeight="15"/>
  <cols>
    <col min="1" max="1" width="11.7142857142857" customWidth="1"/>
    <col min="2" max="2" width="12.2857142857143" customWidth="1"/>
    <col min="3" max="4" width="30.8571428571429" customWidth="1"/>
    <col min="5" max="5" width="16.5714285714286" style="36" customWidth="1"/>
    <col min="6" max="6" width="18.1428571428571" customWidth="1"/>
    <col min="7" max="7" width="14.8571428571429" customWidth="1"/>
  </cols>
  <sheetData>
    <row r="1" ht="20.25" customHeight="1" spans="1:7">
      <c r="A1" s="1" t="s">
        <v>81</v>
      </c>
      <c r="B1" s="2"/>
      <c r="C1" s="2"/>
      <c r="D1" s="2"/>
      <c r="E1" s="2"/>
      <c r="F1" s="2"/>
      <c r="G1" s="3"/>
    </row>
    <row r="2" ht="20.25" customHeight="1" spans="1:7">
      <c r="A2" s="4"/>
      <c r="B2" s="5"/>
      <c r="C2" s="5"/>
      <c r="D2" s="5"/>
      <c r="E2" s="5"/>
      <c r="F2" s="5"/>
      <c r="G2" s="6"/>
    </row>
    <row r="3" ht="33" customHeight="1" spans="1:7">
      <c r="A3" s="7" t="s">
        <v>82</v>
      </c>
      <c r="B3" s="8"/>
      <c r="C3" s="9"/>
      <c r="D3" s="8"/>
      <c r="E3" s="10" t="s">
        <v>83</v>
      </c>
      <c r="F3" s="11"/>
      <c r="G3" s="12"/>
    </row>
    <row r="4" ht="22.5" customHeight="1" spans="1:7">
      <c r="A4" s="13" t="s">
        <v>84</v>
      </c>
      <c r="B4" s="13"/>
      <c r="C4" s="14" t="s">
        <v>85</v>
      </c>
      <c r="D4" s="15"/>
      <c r="E4" s="15"/>
      <c r="F4" s="15"/>
      <c r="G4" s="16"/>
    </row>
    <row r="5" ht="33" customHeight="1" spans="1:7">
      <c r="A5" s="13" t="s">
        <v>86</v>
      </c>
      <c r="B5" s="13" t="s">
        <v>87</v>
      </c>
      <c r="C5" s="7" t="s">
        <v>88</v>
      </c>
      <c r="D5" s="7" t="s">
        <v>88</v>
      </c>
      <c r="E5" s="13" t="s">
        <v>89</v>
      </c>
      <c r="F5" s="9" t="s">
        <v>90</v>
      </c>
      <c r="G5" s="13" t="s">
        <v>91</v>
      </c>
    </row>
    <row r="6" ht="15.75" spans="1:7">
      <c r="A6" s="18" t="s">
        <v>92</v>
      </c>
      <c r="B6" s="17" t="s">
        <v>93</v>
      </c>
      <c r="C6" s="73" t="s">
        <v>94</v>
      </c>
      <c r="D6" s="73"/>
      <c r="E6" s="17"/>
      <c r="F6" s="19">
        <v>25850</v>
      </c>
      <c r="G6" s="17">
        <f>F6-E6</f>
        <v>25850</v>
      </c>
    </row>
    <row r="7" ht="15.75" spans="1:7">
      <c r="A7" s="17" t="s">
        <v>92</v>
      </c>
      <c r="B7" s="17" t="s">
        <v>95</v>
      </c>
      <c r="C7" s="73" t="s">
        <v>96</v>
      </c>
      <c r="D7" s="73"/>
      <c r="E7" s="17"/>
      <c r="F7" s="19">
        <v>6800</v>
      </c>
      <c r="G7" s="17">
        <f>G6-E7+F7</f>
        <v>32650</v>
      </c>
    </row>
    <row r="8" ht="15.75" spans="1:7">
      <c r="A8" s="73" t="s">
        <v>97</v>
      </c>
      <c r="B8" s="17" t="s">
        <v>98</v>
      </c>
      <c r="C8" s="17" t="s">
        <v>99</v>
      </c>
      <c r="D8" s="72"/>
      <c r="E8" s="17"/>
      <c r="F8" s="19">
        <v>5100</v>
      </c>
      <c r="G8" s="17">
        <f t="shared" ref="G8:G71" si="0">G7-E8+F8</f>
        <v>37750</v>
      </c>
    </row>
    <row r="9" ht="15.75" spans="1:7">
      <c r="A9" s="73" t="s">
        <v>97</v>
      </c>
      <c r="B9" s="17" t="s">
        <v>100</v>
      </c>
      <c r="C9" s="17" t="s">
        <v>94</v>
      </c>
      <c r="D9" s="72"/>
      <c r="E9" s="17"/>
      <c r="F9" s="19">
        <v>56438</v>
      </c>
      <c r="G9" s="17">
        <f t="shared" si="0"/>
        <v>94188</v>
      </c>
    </row>
    <row r="10" ht="15.75" spans="1:7">
      <c r="A10" s="73" t="s">
        <v>92</v>
      </c>
      <c r="B10" s="17"/>
      <c r="C10" s="17" t="s">
        <v>101</v>
      </c>
      <c r="D10" s="72"/>
      <c r="E10" s="17">
        <v>40000</v>
      </c>
      <c r="F10" s="19"/>
      <c r="G10" s="17">
        <f t="shared" si="0"/>
        <v>54188</v>
      </c>
    </row>
    <row r="11" ht="15.75" spans="1:7">
      <c r="A11" s="73" t="s">
        <v>97</v>
      </c>
      <c r="B11" s="17"/>
      <c r="C11" s="17" t="s">
        <v>102</v>
      </c>
      <c r="D11" s="72"/>
      <c r="E11" s="17">
        <v>25000</v>
      </c>
      <c r="F11" s="19"/>
      <c r="G11" s="17">
        <f t="shared" si="0"/>
        <v>29188</v>
      </c>
    </row>
    <row r="12" ht="15.75" spans="1:77">
      <c r="A12" s="75">
        <v>45418</v>
      </c>
      <c r="B12" s="17" t="s">
        <v>103</v>
      </c>
      <c r="C12" s="17" t="s">
        <v>104</v>
      </c>
      <c r="D12" s="72"/>
      <c r="E12" s="17"/>
      <c r="F12" s="19">
        <v>7000</v>
      </c>
      <c r="G12" s="17">
        <f t="shared" si="0"/>
        <v>36188</v>
      </c>
      <c r="BY12">
        <v>8330</v>
      </c>
    </row>
    <row r="13" ht="36" customHeight="1" spans="1:7">
      <c r="A13" s="75">
        <v>45449</v>
      </c>
      <c r="B13" s="17"/>
      <c r="C13" s="71" t="s">
        <v>105</v>
      </c>
      <c r="D13" s="74"/>
      <c r="E13" s="17">
        <v>5292</v>
      </c>
      <c r="F13" s="19"/>
      <c r="G13" s="17">
        <f t="shared" si="0"/>
        <v>30896</v>
      </c>
    </row>
    <row r="14" ht="15.75" spans="1:7">
      <c r="A14" s="75">
        <v>45632</v>
      </c>
      <c r="B14" s="17" t="s">
        <v>106</v>
      </c>
      <c r="C14" s="17" t="s">
        <v>94</v>
      </c>
      <c r="D14" s="72"/>
      <c r="E14" s="17"/>
      <c r="F14" s="19">
        <v>43675</v>
      </c>
      <c r="G14" s="17">
        <f t="shared" si="0"/>
        <v>74571</v>
      </c>
    </row>
    <row r="15" ht="15.75" spans="1:7">
      <c r="A15" s="75" t="s">
        <v>107</v>
      </c>
      <c r="B15" s="17"/>
      <c r="C15" s="17" t="s">
        <v>101</v>
      </c>
      <c r="D15" s="72"/>
      <c r="E15" s="17">
        <v>50000</v>
      </c>
      <c r="F15" s="19"/>
      <c r="G15" s="17">
        <f t="shared" si="0"/>
        <v>24571</v>
      </c>
    </row>
    <row r="16" ht="15.75" spans="1:7">
      <c r="A16" s="75" t="s">
        <v>108</v>
      </c>
      <c r="B16" s="17" t="s">
        <v>109</v>
      </c>
      <c r="C16" s="17" t="s">
        <v>94</v>
      </c>
      <c r="D16" s="72"/>
      <c r="E16" s="17"/>
      <c r="F16" s="19">
        <v>17190</v>
      </c>
      <c r="G16" s="17">
        <f t="shared" si="0"/>
        <v>41761</v>
      </c>
    </row>
    <row r="17" ht="15.75" spans="1:7">
      <c r="A17" s="75" t="s">
        <v>110</v>
      </c>
      <c r="B17" s="17" t="s">
        <v>111</v>
      </c>
      <c r="C17" s="17" t="s">
        <v>112</v>
      </c>
      <c r="D17" s="72"/>
      <c r="E17" s="17"/>
      <c r="F17" s="19">
        <v>9616</v>
      </c>
      <c r="G17" s="17">
        <f t="shared" si="0"/>
        <v>51377</v>
      </c>
    </row>
    <row r="18" ht="15.75" spans="1:7">
      <c r="A18" s="75" t="s">
        <v>110</v>
      </c>
      <c r="B18" s="17" t="s">
        <v>113</v>
      </c>
      <c r="C18" s="17" t="s">
        <v>114</v>
      </c>
      <c r="D18" s="72"/>
      <c r="E18" s="17"/>
      <c r="F18" s="19">
        <v>5500</v>
      </c>
      <c r="G18" s="17">
        <f t="shared" si="0"/>
        <v>56877</v>
      </c>
    </row>
    <row r="19" ht="15.75" spans="1:7">
      <c r="A19" s="75" t="s">
        <v>110</v>
      </c>
      <c r="B19" s="17"/>
      <c r="C19" s="17" t="s">
        <v>101</v>
      </c>
      <c r="D19" s="72"/>
      <c r="E19" s="17">
        <v>50000</v>
      </c>
      <c r="F19" s="19"/>
      <c r="G19" s="17">
        <f t="shared" si="0"/>
        <v>6877</v>
      </c>
    </row>
    <row r="20" ht="31.5" customHeight="1" spans="1:7">
      <c r="A20" s="75" t="s">
        <v>115</v>
      </c>
      <c r="B20" s="17" t="s">
        <v>116</v>
      </c>
      <c r="C20" s="71" t="s">
        <v>117</v>
      </c>
      <c r="D20" s="74"/>
      <c r="E20" s="17"/>
      <c r="F20" s="19">
        <v>13820</v>
      </c>
      <c r="G20" s="17">
        <f t="shared" si="0"/>
        <v>20697</v>
      </c>
    </row>
    <row r="21" ht="38.25" customHeight="1" spans="1:7">
      <c r="A21" s="134" t="s">
        <v>118</v>
      </c>
      <c r="B21" s="35" t="s">
        <v>119</v>
      </c>
      <c r="C21" s="380" t="s">
        <v>120</v>
      </c>
      <c r="D21" s="381"/>
      <c r="E21" s="17"/>
      <c r="F21" s="117">
        <v>9600</v>
      </c>
      <c r="G21" s="17">
        <f t="shared" si="0"/>
        <v>30297</v>
      </c>
    </row>
    <row r="22" ht="15.75" spans="1:7">
      <c r="A22" s="134" t="s">
        <v>121</v>
      </c>
      <c r="B22" s="35"/>
      <c r="C22" s="380" t="s">
        <v>101</v>
      </c>
      <c r="D22" s="381"/>
      <c r="E22" s="17">
        <v>20000</v>
      </c>
      <c r="F22" s="117"/>
      <c r="G22" s="17">
        <f t="shared" si="0"/>
        <v>10297</v>
      </c>
    </row>
    <row r="23" ht="21" customHeight="1" spans="1:7">
      <c r="A23" s="134" t="s">
        <v>122</v>
      </c>
      <c r="B23" s="35" t="s">
        <v>123</v>
      </c>
      <c r="C23" s="380" t="s">
        <v>124</v>
      </c>
      <c r="D23" s="381"/>
      <c r="E23" s="17"/>
      <c r="F23" s="117">
        <v>6200</v>
      </c>
      <c r="G23" s="17">
        <f t="shared" si="0"/>
        <v>16497</v>
      </c>
    </row>
    <row r="24" ht="39.75" customHeight="1" spans="1:7">
      <c r="A24" s="134">
        <v>45298</v>
      </c>
      <c r="B24" s="35" t="s">
        <v>125</v>
      </c>
      <c r="C24" s="380" t="s">
        <v>126</v>
      </c>
      <c r="D24" s="381"/>
      <c r="E24" s="17"/>
      <c r="F24" s="117">
        <v>25477</v>
      </c>
      <c r="G24" s="17">
        <f t="shared" si="0"/>
        <v>41974</v>
      </c>
    </row>
    <row r="25" ht="15.75" spans="1:7">
      <c r="A25" s="134">
        <v>45329</v>
      </c>
      <c r="B25" s="35" t="s">
        <v>127</v>
      </c>
      <c r="C25" s="380" t="s">
        <v>128</v>
      </c>
      <c r="D25" s="381"/>
      <c r="E25" s="17"/>
      <c r="F25" s="117">
        <v>9570</v>
      </c>
      <c r="G25" s="17">
        <f t="shared" si="0"/>
        <v>51544</v>
      </c>
    </row>
    <row r="26" ht="31.5" spans="1:7">
      <c r="A26" s="134">
        <v>45358</v>
      </c>
      <c r="B26" s="35" t="s">
        <v>129</v>
      </c>
      <c r="C26" s="380" t="s">
        <v>130</v>
      </c>
      <c r="D26" s="381"/>
      <c r="E26" s="17"/>
      <c r="F26" s="117">
        <v>7300</v>
      </c>
      <c r="G26" s="17">
        <f t="shared" si="0"/>
        <v>58844</v>
      </c>
    </row>
    <row r="27" ht="15.75" spans="1:7">
      <c r="A27" s="134">
        <v>45419</v>
      </c>
      <c r="B27" s="35"/>
      <c r="C27" s="380" t="s">
        <v>101</v>
      </c>
      <c r="D27" s="381"/>
      <c r="E27" s="17">
        <v>30000</v>
      </c>
      <c r="F27" s="117"/>
      <c r="G27" s="17">
        <f t="shared" si="0"/>
        <v>28844</v>
      </c>
    </row>
    <row r="28" ht="15.75" spans="1:7">
      <c r="A28" s="134">
        <v>45542</v>
      </c>
      <c r="B28" s="35" t="s">
        <v>131</v>
      </c>
      <c r="C28" s="380" t="s">
        <v>132</v>
      </c>
      <c r="D28" s="381"/>
      <c r="E28" s="17"/>
      <c r="F28" s="117">
        <v>1100</v>
      </c>
      <c r="G28" s="17">
        <f t="shared" si="0"/>
        <v>29944</v>
      </c>
    </row>
    <row r="29" ht="31.5" spans="1:7">
      <c r="A29" s="134" t="s">
        <v>133</v>
      </c>
      <c r="B29" s="35" t="s">
        <v>134</v>
      </c>
      <c r="C29" s="380" t="s">
        <v>135</v>
      </c>
      <c r="D29" s="381"/>
      <c r="E29" s="17"/>
      <c r="F29" s="117">
        <v>25900</v>
      </c>
      <c r="G29" s="17">
        <f t="shared" si="0"/>
        <v>55844</v>
      </c>
    </row>
    <row r="30" ht="15.75" spans="1:7">
      <c r="A30" s="134" t="s">
        <v>136</v>
      </c>
      <c r="B30" s="35"/>
      <c r="C30" s="380" t="s">
        <v>101</v>
      </c>
      <c r="D30" s="381"/>
      <c r="E30" s="17">
        <v>29900</v>
      </c>
      <c r="F30" s="117"/>
      <c r="G30" s="17">
        <f t="shared" si="0"/>
        <v>25944</v>
      </c>
    </row>
    <row r="31" ht="15.75" spans="1:7">
      <c r="A31" s="134">
        <v>45391</v>
      </c>
      <c r="B31" s="35" t="s">
        <v>137</v>
      </c>
      <c r="C31" s="380" t="s">
        <v>138</v>
      </c>
      <c r="D31" s="381"/>
      <c r="E31" s="17"/>
      <c r="F31" s="117">
        <v>625</v>
      </c>
      <c r="G31" s="17">
        <f t="shared" si="0"/>
        <v>26569</v>
      </c>
    </row>
    <row r="32" ht="15.75" spans="1:7">
      <c r="A32" s="134">
        <v>45361</v>
      </c>
      <c r="B32" s="35" t="s">
        <v>139</v>
      </c>
      <c r="C32" s="380" t="s">
        <v>140</v>
      </c>
      <c r="D32" s="381"/>
      <c r="E32" s="17"/>
      <c r="F32" s="117">
        <v>590</v>
      </c>
      <c r="G32" s="17">
        <f t="shared" si="0"/>
        <v>27159</v>
      </c>
    </row>
    <row r="33" ht="15.75" spans="1:7">
      <c r="A33" s="134" t="s">
        <v>141</v>
      </c>
      <c r="B33" s="35" t="s">
        <v>142</v>
      </c>
      <c r="C33" s="380" t="s">
        <v>140</v>
      </c>
      <c r="D33" s="381"/>
      <c r="E33" s="17"/>
      <c r="F33" s="117">
        <v>630</v>
      </c>
      <c r="G33" s="17">
        <f t="shared" si="0"/>
        <v>27789</v>
      </c>
    </row>
    <row r="34" ht="31.5" spans="1:7">
      <c r="A34" s="134" t="s">
        <v>143</v>
      </c>
      <c r="B34" s="35" t="s">
        <v>144</v>
      </c>
      <c r="C34" s="380" t="s">
        <v>145</v>
      </c>
      <c r="D34" s="381"/>
      <c r="E34" s="17"/>
      <c r="F34" s="117">
        <v>5230</v>
      </c>
      <c r="G34" s="17">
        <f t="shared" si="0"/>
        <v>33019</v>
      </c>
    </row>
    <row r="35" ht="15.75" spans="1:7">
      <c r="A35" s="134" t="s">
        <v>146</v>
      </c>
      <c r="B35" s="17"/>
      <c r="C35" s="380" t="s">
        <v>147</v>
      </c>
      <c r="D35" s="381"/>
      <c r="E35" s="17"/>
      <c r="F35" s="117">
        <v>7950</v>
      </c>
      <c r="G35" s="17">
        <f t="shared" si="0"/>
        <v>40969</v>
      </c>
    </row>
    <row r="36" ht="15.75" spans="1:7">
      <c r="A36" s="382">
        <v>45362</v>
      </c>
      <c r="B36" s="35" t="s">
        <v>148</v>
      </c>
      <c r="C36" s="380" t="s">
        <v>149</v>
      </c>
      <c r="D36" s="381"/>
      <c r="E36" s="17"/>
      <c r="F36" s="117">
        <v>3225</v>
      </c>
      <c r="G36" s="17">
        <f t="shared" si="0"/>
        <v>44194</v>
      </c>
    </row>
    <row r="37" ht="31.5" spans="1:7">
      <c r="A37" s="382">
        <v>45333</v>
      </c>
      <c r="B37" s="35" t="s">
        <v>150</v>
      </c>
      <c r="C37" s="380" t="s">
        <v>140</v>
      </c>
      <c r="D37" s="381" t="s">
        <v>151</v>
      </c>
      <c r="E37" s="17"/>
      <c r="F37" s="117">
        <v>750</v>
      </c>
      <c r="G37" s="17">
        <f t="shared" si="0"/>
        <v>44944</v>
      </c>
    </row>
    <row r="38" ht="31.5" spans="1:7">
      <c r="A38" s="382">
        <v>45393</v>
      </c>
      <c r="B38" s="35" t="s">
        <v>152</v>
      </c>
      <c r="C38" s="380" t="s">
        <v>140</v>
      </c>
      <c r="D38" s="381" t="s">
        <v>153</v>
      </c>
      <c r="E38" s="17"/>
      <c r="F38" s="117">
        <v>19200</v>
      </c>
      <c r="G38" s="17">
        <f t="shared" si="0"/>
        <v>64144</v>
      </c>
    </row>
    <row r="39" ht="15.75" spans="1:7">
      <c r="A39" s="382">
        <v>45546</v>
      </c>
      <c r="B39" s="35" t="s">
        <v>154</v>
      </c>
      <c r="C39" s="380" t="s">
        <v>155</v>
      </c>
      <c r="D39" s="381"/>
      <c r="E39" s="17"/>
      <c r="F39" s="117">
        <v>5390</v>
      </c>
      <c r="G39" s="17">
        <f t="shared" si="0"/>
        <v>69534</v>
      </c>
    </row>
    <row r="40" ht="15.75" spans="1:7">
      <c r="A40" s="382">
        <v>45423</v>
      </c>
      <c r="B40" s="35" t="s">
        <v>156</v>
      </c>
      <c r="C40" s="380" t="s">
        <v>157</v>
      </c>
      <c r="D40" s="381"/>
      <c r="E40" s="17">
        <v>19500</v>
      </c>
      <c r="F40" s="117"/>
      <c r="G40" s="17">
        <f t="shared" si="0"/>
        <v>50034</v>
      </c>
    </row>
    <row r="41" ht="15.75" spans="1:7">
      <c r="A41" s="382" t="s">
        <v>158</v>
      </c>
      <c r="B41" s="35" t="s">
        <v>156</v>
      </c>
      <c r="C41" s="380" t="s">
        <v>157</v>
      </c>
      <c r="D41" s="381"/>
      <c r="E41" s="17">
        <v>4830</v>
      </c>
      <c r="F41" s="117"/>
      <c r="G41" s="17">
        <f t="shared" si="0"/>
        <v>45204</v>
      </c>
    </row>
    <row r="42" ht="47.25" spans="1:7">
      <c r="A42" s="382">
        <v>45607</v>
      </c>
      <c r="B42" s="35" t="s">
        <v>156</v>
      </c>
      <c r="C42" s="380" t="s">
        <v>157</v>
      </c>
      <c r="D42" s="381" t="s">
        <v>159</v>
      </c>
      <c r="E42" s="17">
        <v>5390</v>
      </c>
      <c r="F42" s="117"/>
      <c r="G42" s="17">
        <f t="shared" si="0"/>
        <v>39814</v>
      </c>
    </row>
    <row r="43" ht="15.75" spans="1:7">
      <c r="A43" s="382"/>
      <c r="B43" s="35"/>
      <c r="C43" s="380" t="s">
        <v>160</v>
      </c>
      <c r="D43" s="381"/>
      <c r="E43" s="17">
        <v>11000</v>
      </c>
      <c r="F43" s="117"/>
      <c r="G43" s="17">
        <f t="shared" si="0"/>
        <v>28814</v>
      </c>
    </row>
    <row r="44" ht="31.5" spans="1:7">
      <c r="A44" s="382" t="s">
        <v>161</v>
      </c>
      <c r="B44" s="35" t="s">
        <v>162</v>
      </c>
      <c r="C44" s="380" t="s">
        <v>163</v>
      </c>
      <c r="D44" s="381" t="s">
        <v>164</v>
      </c>
      <c r="E44" s="17"/>
      <c r="F44" s="117">
        <v>10150</v>
      </c>
      <c r="G44" s="17">
        <f t="shared" si="0"/>
        <v>38964</v>
      </c>
    </row>
    <row r="45" ht="15.75" spans="1:7">
      <c r="A45" s="382" t="s">
        <v>165</v>
      </c>
      <c r="B45" s="35"/>
      <c r="C45" s="380" t="s">
        <v>101</v>
      </c>
      <c r="D45" s="381"/>
      <c r="E45" s="17">
        <v>15000</v>
      </c>
      <c r="F45" s="117"/>
      <c r="G45" s="17">
        <f t="shared" si="0"/>
        <v>23964</v>
      </c>
    </row>
    <row r="46" ht="15.75" spans="1:7">
      <c r="A46" s="382"/>
      <c r="B46" s="35"/>
      <c r="C46" s="380"/>
      <c r="D46" s="381"/>
      <c r="E46" s="17"/>
      <c r="F46" s="117"/>
      <c r="G46" s="17">
        <f t="shared" si="0"/>
        <v>23964</v>
      </c>
    </row>
    <row r="47" ht="15.75" spans="1:7">
      <c r="A47" s="382" t="s">
        <v>166</v>
      </c>
      <c r="B47" s="35" t="s">
        <v>167</v>
      </c>
      <c r="C47" s="380" t="s">
        <v>155</v>
      </c>
      <c r="D47" s="381"/>
      <c r="E47" s="17"/>
      <c r="F47" s="117">
        <v>3390</v>
      </c>
      <c r="G47" s="17">
        <f t="shared" si="0"/>
        <v>27354</v>
      </c>
    </row>
    <row r="48" ht="15.75" spans="1:7">
      <c r="A48" s="382" t="s">
        <v>168</v>
      </c>
      <c r="B48" s="35" t="s">
        <v>169</v>
      </c>
      <c r="C48" s="380" t="s">
        <v>170</v>
      </c>
      <c r="D48" s="381"/>
      <c r="E48" s="17"/>
      <c r="F48" s="117">
        <v>7490</v>
      </c>
      <c r="G48" s="17">
        <f t="shared" si="0"/>
        <v>34844</v>
      </c>
    </row>
    <row r="49" ht="15.75" spans="1:7">
      <c r="A49" s="382" t="s">
        <v>168</v>
      </c>
      <c r="B49" s="35"/>
      <c r="C49" s="380" t="s">
        <v>101</v>
      </c>
      <c r="D49" s="381"/>
      <c r="E49" s="17">
        <v>7490</v>
      </c>
      <c r="F49" s="117"/>
      <c r="G49" s="17">
        <f t="shared" si="0"/>
        <v>27354</v>
      </c>
    </row>
    <row r="50" ht="15.75" spans="1:7">
      <c r="A50" s="18" t="s">
        <v>171</v>
      </c>
      <c r="B50" s="17" t="s">
        <v>172</v>
      </c>
      <c r="C50" s="380" t="s">
        <v>140</v>
      </c>
      <c r="D50" s="381"/>
      <c r="E50" s="17"/>
      <c r="F50" s="117">
        <v>2955</v>
      </c>
      <c r="G50" s="17">
        <f t="shared" si="0"/>
        <v>30309</v>
      </c>
    </row>
    <row r="51" ht="15.75" spans="1:7">
      <c r="A51" s="134" t="s">
        <v>173</v>
      </c>
      <c r="B51" s="17" t="s">
        <v>174</v>
      </c>
      <c r="C51" s="380" t="s">
        <v>140</v>
      </c>
      <c r="D51" s="381"/>
      <c r="E51" s="17"/>
      <c r="F51" s="117">
        <v>1285</v>
      </c>
      <c r="G51" s="17">
        <f t="shared" si="0"/>
        <v>31594</v>
      </c>
    </row>
    <row r="52" ht="15.75" spans="1:7">
      <c r="A52" s="134" t="s">
        <v>173</v>
      </c>
      <c r="B52" s="17" t="s">
        <v>175</v>
      </c>
      <c r="C52" s="380" t="s">
        <v>176</v>
      </c>
      <c r="D52" s="381"/>
      <c r="E52" s="17"/>
      <c r="F52" s="117">
        <v>5810</v>
      </c>
      <c r="G52" s="17">
        <f t="shared" si="0"/>
        <v>37404</v>
      </c>
    </row>
    <row r="53" ht="15.75" spans="1:7">
      <c r="A53" s="134" t="s">
        <v>177</v>
      </c>
      <c r="B53" s="17" t="s">
        <v>178</v>
      </c>
      <c r="C53" s="380" t="s">
        <v>179</v>
      </c>
      <c r="D53" s="381"/>
      <c r="E53" s="17"/>
      <c r="F53" s="117">
        <v>8330</v>
      </c>
      <c r="G53" s="17">
        <f t="shared" si="0"/>
        <v>45734</v>
      </c>
    </row>
    <row r="54" ht="15.75" spans="1:7">
      <c r="A54" s="383" t="s">
        <v>177</v>
      </c>
      <c r="B54" s="17" t="s">
        <v>180</v>
      </c>
      <c r="C54" s="380" t="s">
        <v>157</v>
      </c>
      <c r="D54" s="381"/>
      <c r="E54" s="17">
        <v>3350</v>
      </c>
      <c r="F54" s="117"/>
      <c r="G54" s="17">
        <f t="shared" si="0"/>
        <v>42384</v>
      </c>
    </row>
    <row r="55" ht="15.75" spans="1:7">
      <c r="A55" s="134"/>
      <c r="B55" s="17"/>
      <c r="C55" s="380"/>
      <c r="D55" s="381"/>
      <c r="E55" s="17"/>
      <c r="F55" s="117"/>
      <c r="G55" s="17">
        <f t="shared" si="0"/>
        <v>42384</v>
      </c>
    </row>
    <row r="56" ht="31.5" spans="1:7">
      <c r="A56" s="134">
        <v>45303</v>
      </c>
      <c r="B56" s="17" t="s">
        <v>181</v>
      </c>
      <c r="C56" s="380" t="s">
        <v>182</v>
      </c>
      <c r="D56" s="381"/>
      <c r="E56" s="17"/>
      <c r="F56" s="117">
        <v>28290</v>
      </c>
      <c r="G56" s="17">
        <f t="shared" si="0"/>
        <v>70674</v>
      </c>
    </row>
    <row r="57" ht="15.75" spans="1:7">
      <c r="A57" s="134">
        <v>45303</v>
      </c>
      <c r="B57" s="17" t="s">
        <v>156</v>
      </c>
      <c r="C57" s="380" t="s">
        <v>157</v>
      </c>
      <c r="D57" s="381"/>
      <c r="E57" s="17">
        <v>12075</v>
      </c>
      <c r="F57" s="117"/>
      <c r="G57" s="17">
        <f t="shared" si="0"/>
        <v>58599</v>
      </c>
    </row>
    <row r="58" ht="63" spans="1:7">
      <c r="A58" s="134" t="s">
        <v>173</v>
      </c>
      <c r="B58" s="17" t="s">
        <v>174</v>
      </c>
      <c r="C58" s="380" t="s">
        <v>183</v>
      </c>
      <c r="D58" s="381" t="s">
        <v>184</v>
      </c>
      <c r="E58" s="17"/>
      <c r="F58" s="117">
        <v>1285</v>
      </c>
      <c r="G58" s="17">
        <f t="shared" si="0"/>
        <v>59884</v>
      </c>
    </row>
    <row r="59" ht="15.75" spans="1:7">
      <c r="A59" s="134">
        <v>45363</v>
      </c>
      <c r="B59" s="17"/>
      <c r="C59" s="380" t="s">
        <v>101</v>
      </c>
      <c r="D59" s="381"/>
      <c r="E59" s="17">
        <v>18000</v>
      </c>
      <c r="F59" s="117"/>
      <c r="G59" s="17">
        <f t="shared" si="0"/>
        <v>41884</v>
      </c>
    </row>
    <row r="60" ht="78.75" spans="1:7">
      <c r="A60" s="383">
        <v>45363</v>
      </c>
      <c r="B60" s="17" t="s">
        <v>185</v>
      </c>
      <c r="C60" s="380" t="s">
        <v>186</v>
      </c>
      <c r="D60" s="381" t="s">
        <v>187</v>
      </c>
      <c r="E60" s="17">
        <v>12080</v>
      </c>
      <c r="F60" s="117"/>
      <c r="G60" s="17">
        <f t="shared" si="0"/>
        <v>29804</v>
      </c>
    </row>
    <row r="61" ht="31.5" spans="1:7">
      <c r="A61" s="134">
        <v>45363</v>
      </c>
      <c r="B61" s="17" t="s">
        <v>188</v>
      </c>
      <c r="C61" s="380" t="s">
        <v>189</v>
      </c>
      <c r="D61" s="381"/>
      <c r="E61" s="17"/>
      <c r="F61" s="117">
        <v>18780</v>
      </c>
      <c r="G61" s="17">
        <f t="shared" si="0"/>
        <v>48584</v>
      </c>
    </row>
    <row r="62" ht="15.75" spans="1:7">
      <c r="A62" s="134">
        <v>45394</v>
      </c>
      <c r="B62" s="17" t="s">
        <v>190</v>
      </c>
      <c r="C62" s="380" t="s">
        <v>101</v>
      </c>
      <c r="D62" s="381"/>
      <c r="E62" s="17">
        <v>25000</v>
      </c>
      <c r="F62" s="117"/>
      <c r="G62" s="17">
        <f t="shared" si="0"/>
        <v>23584</v>
      </c>
    </row>
    <row r="63" ht="15.75" spans="1:7">
      <c r="A63" s="134">
        <v>45394</v>
      </c>
      <c r="B63" s="17" t="s">
        <v>191</v>
      </c>
      <c r="C63" s="380" t="s">
        <v>176</v>
      </c>
      <c r="D63" s="381"/>
      <c r="E63" s="17"/>
      <c r="F63" s="117">
        <v>8960</v>
      </c>
      <c r="G63" s="17">
        <f t="shared" si="0"/>
        <v>32544</v>
      </c>
    </row>
    <row r="64" ht="15.75" spans="1:7">
      <c r="A64" s="134">
        <v>45334</v>
      </c>
      <c r="B64" s="17" t="s">
        <v>192</v>
      </c>
      <c r="C64" s="380" t="s">
        <v>157</v>
      </c>
      <c r="D64" s="381"/>
      <c r="E64" s="17">
        <v>1420</v>
      </c>
      <c r="F64" s="117"/>
      <c r="G64" s="17">
        <f t="shared" si="0"/>
        <v>31124</v>
      </c>
    </row>
    <row r="65" ht="15.75" spans="1:7">
      <c r="A65" s="134">
        <v>45424</v>
      </c>
      <c r="B65" s="17" t="s">
        <v>193</v>
      </c>
      <c r="C65" s="380" t="s">
        <v>140</v>
      </c>
      <c r="D65" s="381"/>
      <c r="E65" s="17"/>
      <c r="F65" s="117">
        <v>6780</v>
      </c>
      <c r="G65" s="17">
        <f t="shared" si="0"/>
        <v>37904</v>
      </c>
    </row>
    <row r="66" ht="15.75" spans="1:7">
      <c r="A66" s="134">
        <v>45485</v>
      </c>
      <c r="B66" s="17" t="s">
        <v>194</v>
      </c>
      <c r="C66" s="380" t="s">
        <v>140</v>
      </c>
      <c r="D66" s="381"/>
      <c r="E66" s="17"/>
      <c r="F66" s="117">
        <v>2140</v>
      </c>
      <c r="G66" s="17">
        <f t="shared" si="0"/>
        <v>40044</v>
      </c>
    </row>
    <row r="67" ht="15.75" spans="1:7">
      <c r="A67" s="134">
        <v>45516</v>
      </c>
      <c r="B67" s="17" t="s">
        <v>195</v>
      </c>
      <c r="C67" s="380" t="s">
        <v>140</v>
      </c>
      <c r="D67" s="381"/>
      <c r="E67" s="17"/>
      <c r="F67" s="117">
        <v>8700</v>
      </c>
      <c r="G67" s="17">
        <f t="shared" si="0"/>
        <v>48744</v>
      </c>
    </row>
    <row r="68" ht="15.75" spans="1:7">
      <c r="A68" s="134">
        <v>45516</v>
      </c>
      <c r="B68" s="17" t="s">
        <v>196</v>
      </c>
      <c r="C68" s="380" t="s">
        <v>140</v>
      </c>
      <c r="D68" s="381"/>
      <c r="E68" s="17"/>
      <c r="F68" s="117">
        <v>650</v>
      </c>
      <c r="G68" s="17">
        <f t="shared" si="0"/>
        <v>49394</v>
      </c>
    </row>
    <row r="69" ht="15.75" spans="1:7">
      <c r="A69" s="134">
        <v>45547</v>
      </c>
      <c r="B69" s="17" t="s">
        <v>197</v>
      </c>
      <c r="C69" s="380" t="s">
        <v>198</v>
      </c>
      <c r="D69" s="381"/>
      <c r="E69" s="17"/>
      <c r="F69" s="117">
        <v>5940</v>
      </c>
      <c r="G69" s="17">
        <f t="shared" si="0"/>
        <v>55334</v>
      </c>
    </row>
    <row r="70" ht="15.75" spans="1:7">
      <c r="A70" s="134">
        <v>45547</v>
      </c>
      <c r="B70" s="17" t="s">
        <v>190</v>
      </c>
      <c r="C70" s="380" t="s">
        <v>199</v>
      </c>
      <c r="D70" s="381"/>
      <c r="E70" s="17">
        <v>26450</v>
      </c>
      <c r="F70" s="117"/>
      <c r="G70" s="17">
        <f t="shared" si="0"/>
        <v>28884</v>
      </c>
    </row>
    <row r="71" ht="15.75" spans="1:7">
      <c r="A71" s="134">
        <v>45547</v>
      </c>
      <c r="B71" s="17" t="s">
        <v>197</v>
      </c>
      <c r="C71" s="380" t="s">
        <v>198</v>
      </c>
      <c r="D71" s="381"/>
      <c r="E71" s="17"/>
      <c r="F71" s="117">
        <v>5940</v>
      </c>
      <c r="G71" s="17">
        <f t="shared" si="0"/>
        <v>34824</v>
      </c>
    </row>
    <row r="72" ht="15.75" spans="1:7">
      <c r="A72" s="134">
        <v>45608</v>
      </c>
      <c r="B72" s="17" t="s">
        <v>200</v>
      </c>
      <c r="C72" s="380" t="s">
        <v>155</v>
      </c>
      <c r="D72" s="381"/>
      <c r="E72" s="17"/>
      <c r="F72" s="117">
        <v>1390</v>
      </c>
      <c r="G72" s="17">
        <f t="shared" ref="G72:G135" si="1">G71-E72+F72</f>
        <v>36214</v>
      </c>
    </row>
    <row r="73" ht="15.75" spans="1:7">
      <c r="A73" s="134">
        <v>45638</v>
      </c>
      <c r="B73" s="17" t="s">
        <v>201</v>
      </c>
      <c r="C73" s="380" t="s">
        <v>157</v>
      </c>
      <c r="D73" s="381"/>
      <c r="E73" s="17">
        <v>258</v>
      </c>
      <c r="F73" s="117"/>
      <c r="G73" s="17">
        <f t="shared" si="1"/>
        <v>35956</v>
      </c>
    </row>
    <row r="74" ht="15.75" spans="1:7">
      <c r="A74" s="134">
        <v>45638</v>
      </c>
      <c r="B74" s="17"/>
      <c r="C74" s="380" t="s">
        <v>101</v>
      </c>
      <c r="D74" s="381"/>
      <c r="E74" s="17">
        <v>10000</v>
      </c>
      <c r="F74" s="117"/>
      <c r="G74" s="17">
        <f t="shared" si="1"/>
        <v>25956</v>
      </c>
    </row>
    <row r="75" ht="15.75" spans="1:7">
      <c r="A75" s="134" t="s">
        <v>202</v>
      </c>
      <c r="B75" s="17" t="s">
        <v>203</v>
      </c>
      <c r="C75" s="380" t="s">
        <v>140</v>
      </c>
      <c r="D75" s="381"/>
      <c r="E75" s="17"/>
      <c r="F75" s="117">
        <v>5920</v>
      </c>
      <c r="G75" s="17">
        <f t="shared" si="1"/>
        <v>31876</v>
      </c>
    </row>
    <row r="76" ht="15.75" spans="1:7">
      <c r="A76" s="134" t="s">
        <v>204</v>
      </c>
      <c r="B76" s="17" t="s">
        <v>205</v>
      </c>
      <c r="C76" s="380" t="s">
        <v>163</v>
      </c>
      <c r="D76" s="381"/>
      <c r="E76" s="17"/>
      <c r="F76" s="117">
        <v>8960</v>
      </c>
      <c r="G76" s="17">
        <f t="shared" si="1"/>
        <v>40836</v>
      </c>
    </row>
    <row r="77" ht="15.75" spans="1:7">
      <c r="A77" s="134" t="s">
        <v>206</v>
      </c>
      <c r="B77" s="17"/>
      <c r="C77" s="380" t="s">
        <v>101</v>
      </c>
      <c r="D77" s="381"/>
      <c r="E77" s="17">
        <v>14880</v>
      </c>
      <c r="F77" s="117"/>
      <c r="G77" s="17">
        <f t="shared" si="1"/>
        <v>25956</v>
      </c>
    </row>
    <row r="78" ht="15.75" spans="1:7">
      <c r="A78" s="134" t="s">
        <v>206</v>
      </c>
      <c r="B78" s="17" t="s">
        <v>207</v>
      </c>
      <c r="C78" s="380" t="s">
        <v>208</v>
      </c>
      <c r="D78" s="381"/>
      <c r="E78" s="17"/>
      <c r="F78" s="117">
        <v>6140</v>
      </c>
      <c r="G78" s="17">
        <f t="shared" si="1"/>
        <v>32096</v>
      </c>
    </row>
    <row r="79" ht="15.75" spans="1:7">
      <c r="A79" s="134" t="s">
        <v>209</v>
      </c>
      <c r="B79" s="17" t="s">
        <v>190</v>
      </c>
      <c r="C79" s="380" t="s">
        <v>157</v>
      </c>
      <c r="D79" s="381"/>
      <c r="E79" s="17">
        <v>6140</v>
      </c>
      <c r="F79" s="117"/>
      <c r="G79" s="17">
        <f t="shared" si="1"/>
        <v>25956</v>
      </c>
    </row>
    <row r="80" ht="15.75" spans="1:7">
      <c r="A80" s="134" t="s">
        <v>209</v>
      </c>
      <c r="B80" s="17" t="s">
        <v>210</v>
      </c>
      <c r="C80" s="380" t="s">
        <v>140</v>
      </c>
      <c r="D80" s="381"/>
      <c r="E80" s="17"/>
      <c r="F80" s="117">
        <v>7330</v>
      </c>
      <c r="G80" s="17">
        <f t="shared" si="1"/>
        <v>33286</v>
      </c>
    </row>
    <row r="81" ht="15.75" spans="1:7">
      <c r="A81" s="134" t="s">
        <v>209</v>
      </c>
      <c r="B81" s="17" t="s">
        <v>211</v>
      </c>
      <c r="C81" s="380" t="s">
        <v>140</v>
      </c>
      <c r="D81" s="381"/>
      <c r="E81" s="17"/>
      <c r="F81" s="117">
        <v>6460</v>
      </c>
      <c r="G81" s="17">
        <f t="shared" si="1"/>
        <v>39746</v>
      </c>
    </row>
    <row r="82" ht="63" spans="1:7">
      <c r="A82" s="134" t="s">
        <v>212</v>
      </c>
      <c r="B82" s="17" t="s">
        <v>213</v>
      </c>
      <c r="C82" s="380" t="s">
        <v>214</v>
      </c>
      <c r="D82" s="381" t="s">
        <v>215</v>
      </c>
      <c r="E82" s="17">
        <v>3585</v>
      </c>
      <c r="F82" s="117"/>
      <c r="G82" s="17">
        <f t="shared" si="1"/>
        <v>36161</v>
      </c>
    </row>
    <row r="83" ht="15.75" spans="1:7">
      <c r="A83" s="134" t="s">
        <v>212</v>
      </c>
      <c r="B83" s="17" t="s">
        <v>216</v>
      </c>
      <c r="C83" s="380" t="s">
        <v>140</v>
      </c>
      <c r="D83" s="381"/>
      <c r="E83" s="17"/>
      <c r="F83" s="117">
        <v>6380</v>
      </c>
      <c r="G83" s="17">
        <f t="shared" si="1"/>
        <v>42541</v>
      </c>
    </row>
    <row r="84" ht="31.5" spans="1:7">
      <c r="A84" s="134" t="s">
        <v>217</v>
      </c>
      <c r="B84" s="17" t="s">
        <v>218</v>
      </c>
      <c r="C84" s="380" t="s">
        <v>219</v>
      </c>
      <c r="D84" s="381"/>
      <c r="E84" s="17"/>
      <c r="F84" s="117">
        <v>11710</v>
      </c>
      <c r="G84" s="17">
        <f t="shared" si="1"/>
        <v>54251</v>
      </c>
    </row>
    <row r="85" ht="63" spans="1:7">
      <c r="A85" s="134" t="s">
        <v>217</v>
      </c>
      <c r="B85" s="17" t="s">
        <v>220</v>
      </c>
      <c r="C85" s="380" t="s">
        <v>157</v>
      </c>
      <c r="D85" s="381" t="s">
        <v>221</v>
      </c>
      <c r="E85" s="17">
        <v>6060</v>
      </c>
      <c r="F85" s="117"/>
      <c r="G85" s="17">
        <f t="shared" si="1"/>
        <v>48191</v>
      </c>
    </row>
    <row r="86" ht="31.5" spans="1:7">
      <c r="A86" s="134" t="s">
        <v>222</v>
      </c>
      <c r="B86" s="17" t="s">
        <v>223</v>
      </c>
      <c r="C86" s="380" t="s">
        <v>224</v>
      </c>
      <c r="D86" s="381"/>
      <c r="E86" s="17"/>
      <c r="F86" s="117">
        <v>11840</v>
      </c>
      <c r="G86" s="17">
        <f t="shared" si="1"/>
        <v>60031</v>
      </c>
    </row>
    <row r="87" ht="15.75" spans="1:7">
      <c r="A87" s="134" t="s">
        <v>225</v>
      </c>
      <c r="B87" s="17"/>
      <c r="C87" s="380" t="s">
        <v>101</v>
      </c>
      <c r="D87" s="381"/>
      <c r="E87" s="17">
        <v>15000</v>
      </c>
      <c r="F87" s="117"/>
      <c r="G87" s="17">
        <f t="shared" si="1"/>
        <v>45031</v>
      </c>
    </row>
    <row r="88" ht="63" spans="1:7">
      <c r="A88" s="134" t="s">
        <v>226</v>
      </c>
      <c r="B88" s="17" t="s">
        <v>227</v>
      </c>
      <c r="C88" s="380" t="s">
        <v>157</v>
      </c>
      <c r="D88" s="381" t="s">
        <v>228</v>
      </c>
      <c r="E88" s="17">
        <v>3830</v>
      </c>
      <c r="F88" s="117"/>
      <c r="G88" s="17">
        <f t="shared" si="1"/>
        <v>41201</v>
      </c>
    </row>
    <row r="89" ht="15.75" spans="1:7">
      <c r="A89" s="134" t="s">
        <v>225</v>
      </c>
      <c r="B89" s="17" t="s">
        <v>229</v>
      </c>
      <c r="C89" s="380" t="s">
        <v>230</v>
      </c>
      <c r="D89" s="381"/>
      <c r="E89" s="17"/>
      <c r="F89" s="117">
        <v>900</v>
      </c>
      <c r="G89" s="17">
        <f t="shared" si="1"/>
        <v>42101</v>
      </c>
    </row>
    <row r="90" ht="15.75" spans="1:7">
      <c r="A90" s="134" t="s">
        <v>225</v>
      </c>
      <c r="B90" s="17" t="s">
        <v>231</v>
      </c>
      <c r="C90" s="380" t="s">
        <v>232</v>
      </c>
      <c r="D90" s="381"/>
      <c r="E90" s="17"/>
      <c r="F90" s="117">
        <v>1440</v>
      </c>
      <c r="G90" s="17">
        <f t="shared" si="1"/>
        <v>43541</v>
      </c>
    </row>
    <row r="91" ht="15.75" spans="1:7">
      <c r="A91" s="134" t="s">
        <v>233</v>
      </c>
      <c r="B91" s="17" t="s">
        <v>234</v>
      </c>
      <c r="C91" s="380" t="s">
        <v>140</v>
      </c>
      <c r="D91" s="381"/>
      <c r="E91" s="17"/>
      <c r="F91" s="117">
        <v>180</v>
      </c>
      <c r="G91" s="17">
        <f t="shared" si="1"/>
        <v>43721</v>
      </c>
    </row>
    <row r="92" ht="15.75" spans="1:7">
      <c r="A92" s="134" t="s">
        <v>235</v>
      </c>
      <c r="B92" s="17" t="s">
        <v>236</v>
      </c>
      <c r="C92" s="380" t="s">
        <v>140</v>
      </c>
      <c r="D92" s="381"/>
      <c r="E92" s="17"/>
      <c r="F92" s="117">
        <v>4590</v>
      </c>
      <c r="G92" s="17">
        <f t="shared" si="1"/>
        <v>48311</v>
      </c>
    </row>
    <row r="93" ht="15.75" spans="1:7">
      <c r="A93" s="134" t="s">
        <v>237</v>
      </c>
      <c r="B93" s="17"/>
      <c r="C93" s="380" t="s">
        <v>101</v>
      </c>
      <c r="D93" s="381"/>
      <c r="E93" s="17">
        <v>4950</v>
      </c>
      <c r="F93" s="117"/>
      <c r="G93" s="17">
        <f t="shared" si="1"/>
        <v>43361</v>
      </c>
    </row>
    <row r="94" ht="31.5" spans="1:7">
      <c r="A94" s="134" t="s">
        <v>238</v>
      </c>
      <c r="B94" s="17" t="s">
        <v>239</v>
      </c>
      <c r="C94" s="380" t="s">
        <v>240</v>
      </c>
      <c r="D94" s="381"/>
      <c r="E94" s="17"/>
      <c r="F94" s="117">
        <v>19270</v>
      </c>
      <c r="G94" s="17">
        <f t="shared" si="1"/>
        <v>62631</v>
      </c>
    </row>
    <row r="95" ht="15.75" spans="1:7">
      <c r="A95" s="134" t="s">
        <v>237</v>
      </c>
      <c r="B95" s="17" t="s">
        <v>241</v>
      </c>
      <c r="C95" s="380" t="s">
        <v>242</v>
      </c>
      <c r="D95" s="381"/>
      <c r="E95" s="17"/>
      <c r="F95" s="117">
        <v>8804</v>
      </c>
      <c r="G95" s="17">
        <f t="shared" si="1"/>
        <v>71435</v>
      </c>
    </row>
    <row r="96" ht="68.25" customHeight="1" spans="1:7">
      <c r="A96" s="134" t="s">
        <v>238</v>
      </c>
      <c r="B96" s="17" t="s">
        <v>243</v>
      </c>
      <c r="C96" s="380" t="s">
        <v>157</v>
      </c>
      <c r="D96" s="381" t="s">
        <v>244</v>
      </c>
      <c r="E96" s="17">
        <v>6840</v>
      </c>
      <c r="F96" s="117"/>
      <c r="G96" s="17">
        <f t="shared" si="1"/>
        <v>64595</v>
      </c>
    </row>
    <row r="97" ht="31.5" spans="1:7">
      <c r="A97" s="134" t="s">
        <v>245</v>
      </c>
      <c r="B97" s="17" t="s">
        <v>246</v>
      </c>
      <c r="C97" s="380" t="s">
        <v>247</v>
      </c>
      <c r="D97" s="381"/>
      <c r="E97" s="17"/>
      <c r="F97" s="117">
        <v>9240</v>
      </c>
      <c r="G97" s="17">
        <f t="shared" si="1"/>
        <v>73835</v>
      </c>
    </row>
    <row r="98" ht="78.75" customHeight="1" spans="1:7">
      <c r="A98" s="134" t="s">
        <v>245</v>
      </c>
      <c r="B98" s="17" t="s">
        <v>248</v>
      </c>
      <c r="C98" s="380" t="s">
        <v>101</v>
      </c>
      <c r="D98" s="381" t="s">
        <v>249</v>
      </c>
      <c r="E98" s="17">
        <v>5020</v>
      </c>
      <c r="F98" s="117"/>
      <c r="G98" s="17">
        <f t="shared" si="1"/>
        <v>68815</v>
      </c>
    </row>
    <row r="99" ht="31.5" spans="1:7">
      <c r="A99" s="134" t="s">
        <v>250</v>
      </c>
      <c r="B99" s="17" t="s">
        <v>251</v>
      </c>
      <c r="C99" s="380" t="s">
        <v>247</v>
      </c>
      <c r="D99" s="381"/>
      <c r="E99" s="17"/>
      <c r="F99" s="117">
        <v>7880</v>
      </c>
      <c r="G99" s="17">
        <f t="shared" si="1"/>
        <v>76695</v>
      </c>
    </row>
    <row r="100" ht="15.75" spans="1:7">
      <c r="A100" s="134" t="s">
        <v>250</v>
      </c>
      <c r="B100" s="17" t="s">
        <v>252</v>
      </c>
      <c r="C100" s="380" t="s">
        <v>140</v>
      </c>
      <c r="D100" s="381"/>
      <c r="E100" s="17"/>
      <c r="F100" s="117">
        <v>4580</v>
      </c>
      <c r="G100" s="17">
        <f t="shared" si="1"/>
        <v>81275</v>
      </c>
    </row>
    <row r="101" ht="15.75" spans="1:7">
      <c r="A101" s="134" t="s">
        <v>250</v>
      </c>
      <c r="B101" s="17" t="s">
        <v>253</v>
      </c>
      <c r="C101" s="380" t="s">
        <v>101</v>
      </c>
      <c r="D101" s="381"/>
      <c r="E101" s="17">
        <v>7400</v>
      </c>
      <c r="F101" s="117"/>
      <c r="G101" s="17">
        <f t="shared" si="1"/>
        <v>73875</v>
      </c>
    </row>
    <row r="102" ht="31.5" spans="1:7">
      <c r="A102" s="134">
        <v>45658</v>
      </c>
      <c r="B102" s="17" t="s">
        <v>254</v>
      </c>
      <c r="C102" s="380" t="s">
        <v>255</v>
      </c>
      <c r="D102" s="381"/>
      <c r="E102" s="17"/>
      <c r="F102" s="117">
        <v>7330</v>
      </c>
      <c r="G102" s="17">
        <f t="shared" si="1"/>
        <v>81205</v>
      </c>
    </row>
    <row r="103" ht="15.75" spans="1:7">
      <c r="A103" s="134">
        <v>45658</v>
      </c>
      <c r="B103" s="17" t="s">
        <v>190</v>
      </c>
      <c r="C103" s="380" t="s">
        <v>157</v>
      </c>
      <c r="D103" s="381"/>
      <c r="E103" s="17">
        <v>7880</v>
      </c>
      <c r="F103" s="117"/>
      <c r="G103" s="17">
        <f t="shared" si="1"/>
        <v>73325</v>
      </c>
    </row>
    <row r="104" ht="31.5" spans="1:7">
      <c r="A104" s="134">
        <v>45748</v>
      </c>
      <c r="B104" s="17" t="s">
        <v>256</v>
      </c>
      <c r="C104" s="380" t="s">
        <v>257</v>
      </c>
      <c r="D104" s="381"/>
      <c r="E104" s="17"/>
      <c r="F104" s="117">
        <v>14970</v>
      </c>
      <c r="G104" s="17">
        <f t="shared" si="1"/>
        <v>88295</v>
      </c>
    </row>
    <row r="105" ht="15.75" spans="1:7">
      <c r="A105" s="134" t="s">
        <v>258</v>
      </c>
      <c r="B105" s="17" t="s">
        <v>259</v>
      </c>
      <c r="C105" s="380" t="s">
        <v>140</v>
      </c>
      <c r="D105" s="381"/>
      <c r="E105" s="17"/>
      <c r="F105" s="117">
        <v>5140</v>
      </c>
      <c r="G105" s="17">
        <f t="shared" si="1"/>
        <v>93435</v>
      </c>
    </row>
    <row r="106" ht="15.75" spans="1:7">
      <c r="A106" s="134" t="s">
        <v>238</v>
      </c>
      <c r="B106" s="17"/>
      <c r="C106" s="380" t="s">
        <v>101</v>
      </c>
      <c r="D106" s="381"/>
      <c r="E106" s="17">
        <v>15000</v>
      </c>
      <c r="F106" s="117"/>
      <c r="G106" s="17">
        <f t="shared" si="1"/>
        <v>78435</v>
      </c>
    </row>
    <row r="107" ht="31.5" spans="1:7">
      <c r="A107" s="134">
        <v>45778</v>
      </c>
      <c r="B107" s="17" t="s">
        <v>260</v>
      </c>
      <c r="C107" s="380" t="s">
        <v>247</v>
      </c>
      <c r="D107" s="381"/>
      <c r="E107" s="17"/>
      <c r="F107" s="117">
        <v>7390</v>
      </c>
      <c r="G107" s="17">
        <f t="shared" si="1"/>
        <v>85825</v>
      </c>
    </row>
    <row r="108" ht="15.75" spans="1:7">
      <c r="A108" s="134">
        <v>45809</v>
      </c>
      <c r="B108" s="17"/>
      <c r="C108" s="380" t="s">
        <v>101</v>
      </c>
      <c r="D108" s="381"/>
      <c r="E108" s="17">
        <v>40000</v>
      </c>
      <c r="F108" s="117"/>
      <c r="G108" s="17">
        <f t="shared" si="1"/>
        <v>45825</v>
      </c>
    </row>
    <row r="109" ht="47.25" spans="1:7">
      <c r="A109" s="134">
        <v>45778</v>
      </c>
      <c r="B109" s="17" t="s">
        <v>261</v>
      </c>
      <c r="C109" s="380" t="s">
        <v>157</v>
      </c>
      <c r="D109" s="381" t="s">
        <v>262</v>
      </c>
      <c r="E109" s="17">
        <v>420</v>
      </c>
      <c r="F109" s="117"/>
      <c r="G109" s="17">
        <f t="shared" si="1"/>
        <v>45405</v>
      </c>
    </row>
    <row r="110" ht="31.5" spans="1:7">
      <c r="A110" s="134">
        <v>45809</v>
      </c>
      <c r="B110" s="17" t="s">
        <v>263</v>
      </c>
      <c r="C110" s="380" t="s">
        <v>264</v>
      </c>
      <c r="D110" s="381"/>
      <c r="E110" s="17"/>
      <c r="F110" s="117">
        <v>7240</v>
      </c>
      <c r="G110" s="17">
        <f t="shared" si="1"/>
        <v>52645</v>
      </c>
    </row>
    <row r="111" ht="31.5" spans="1:7">
      <c r="A111" s="134">
        <v>45839</v>
      </c>
      <c r="B111" s="17" t="s">
        <v>265</v>
      </c>
      <c r="C111" s="380" t="s">
        <v>266</v>
      </c>
      <c r="D111" s="381"/>
      <c r="E111" s="17"/>
      <c r="F111" s="117">
        <v>20150</v>
      </c>
      <c r="G111" s="17">
        <f t="shared" si="1"/>
        <v>72795</v>
      </c>
    </row>
    <row r="112" ht="15.75" spans="1:7">
      <c r="A112" s="134">
        <v>45839</v>
      </c>
      <c r="B112" s="17" t="s">
        <v>190</v>
      </c>
      <c r="C112" s="380" t="s">
        <v>157</v>
      </c>
      <c r="D112" s="381"/>
      <c r="E112" s="17">
        <v>35000</v>
      </c>
      <c r="F112" s="117"/>
      <c r="G112" s="17">
        <f t="shared" si="1"/>
        <v>37795</v>
      </c>
    </row>
    <row r="113" ht="15.75" spans="1:7">
      <c r="A113" s="134"/>
      <c r="B113" s="17"/>
      <c r="C113" s="380"/>
      <c r="D113" s="381"/>
      <c r="E113" s="17"/>
      <c r="F113" s="117">
        <v>570</v>
      </c>
      <c r="G113" s="17">
        <f t="shared" si="1"/>
        <v>38365</v>
      </c>
    </row>
    <row r="114" ht="36.75" customHeight="1" spans="1:7">
      <c r="A114" s="134" t="s">
        <v>267</v>
      </c>
      <c r="B114" s="17"/>
      <c r="C114" s="380" t="s">
        <v>268</v>
      </c>
      <c r="D114" s="381"/>
      <c r="E114" s="17"/>
      <c r="F114" s="117">
        <v>35000</v>
      </c>
      <c r="G114" s="17">
        <f t="shared" si="1"/>
        <v>73365</v>
      </c>
    </row>
    <row r="115" ht="36.75" customHeight="1" spans="1:7">
      <c r="A115" s="134" t="s">
        <v>269</v>
      </c>
      <c r="B115" s="17"/>
      <c r="C115" s="380" t="s">
        <v>270</v>
      </c>
      <c r="D115" s="381"/>
      <c r="E115" s="17">
        <v>73365</v>
      </c>
      <c r="F115" s="117"/>
      <c r="G115" s="17">
        <f t="shared" si="1"/>
        <v>0</v>
      </c>
    </row>
    <row r="116" ht="25.5" spans="1:7">
      <c r="A116" s="134"/>
      <c r="B116" s="17"/>
      <c r="C116" s="380"/>
      <c r="D116" s="384" t="s">
        <v>271</v>
      </c>
      <c r="E116" s="17"/>
      <c r="F116" s="117"/>
      <c r="G116" s="17"/>
    </row>
    <row r="117" ht="15.75" spans="1:7">
      <c r="A117" s="75"/>
      <c r="B117" s="385"/>
      <c r="C117" s="385"/>
      <c r="D117" s="385"/>
      <c r="E117" s="385"/>
      <c r="F117" s="385"/>
      <c r="G117" s="386"/>
    </row>
    <row r="118" ht="22.5" spans="1:7">
      <c r="A118" s="387" t="s">
        <v>272</v>
      </c>
      <c r="B118" s="388"/>
      <c r="C118" s="388"/>
      <c r="D118" s="388"/>
      <c r="E118" s="388"/>
      <c r="F118" s="389"/>
      <c r="G118" s="17">
        <f>F118-E118</f>
        <v>0</v>
      </c>
    </row>
    <row r="119" ht="15.75" spans="1:7">
      <c r="A119" s="134" t="s">
        <v>273</v>
      </c>
      <c r="B119" s="17" t="s">
        <v>274</v>
      </c>
      <c r="C119" s="71" t="s">
        <v>275</v>
      </c>
      <c r="D119" s="381" t="s">
        <v>276</v>
      </c>
      <c r="E119" s="17"/>
      <c r="F119" s="117">
        <v>5120</v>
      </c>
      <c r="G119" s="17">
        <f t="shared" si="1"/>
        <v>5120</v>
      </c>
    </row>
    <row r="120" ht="15.75" spans="1:7">
      <c r="A120" s="134" t="s">
        <v>277</v>
      </c>
      <c r="B120" s="17" t="s">
        <v>278</v>
      </c>
      <c r="C120" s="71" t="s">
        <v>275</v>
      </c>
      <c r="D120" s="381" t="s">
        <v>279</v>
      </c>
      <c r="E120" s="17"/>
      <c r="F120" s="117">
        <v>14060</v>
      </c>
      <c r="G120" s="17">
        <f t="shared" si="1"/>
        <v>19180</v>
      </c>
    </row>
    <row r="121" ht="15.75" spans="1:7">
      <c r="A121" s="134" t="s">
        <v>277</v>
      </c>
      <c r="B121" s="17" t="s">
        <v>253</v>
      </c>
      <c r="C121" s="71" t="s">
        <v>280</v>
      </c>
      <c r="D121" s="381"/>
      <c r="E121" s="17">
        <v>19100</v>
      </c>
      <c r="F121" s="117"/>
      <c r="G121" s="17">
        <f t="shared" si="1"/>
        <v>80</v>
      </c>
    </row>
    <row r="122" ht="15.75" spans="1:7">
      <c r="A122" s="134" t="s">
        <v>281</v>
      </c>
      <c r="B122" s="17" t="s">
        <v>282</v>
      </c>
      <c r="C122" s="71" t="s">
        <v>275</v>
      </c>
      <c r="D122" s="381" t="s">
        <v>283</v>
      </c>
      <c r="E122" s="17"/>
      <c r="F122" s="117">
        <v>2130</v>
      </c>
      <c r="G122" s="17">
        <f t="shared" si="1"/>
        <v>2210</v>
      </c>
    </row>
    <row r="123" ht="15.75" spans="1:7">
      <c r="A123" s="134" t="s">
        <v>284</v>
      </c>
      <c r="B123" s="17" t="s">
        <v>253</v>
      </c>
      <c r="C123" s="71" t="s">
        <v>280</v>
      </c>
      <c r="D123" s="381"/>
      <c r="E123" s="17">
        <v>2130</v>
      </c>
      <c r="F123" s="117"/>
      <c r="G123" s="17">
        <f t="shared" si="1"/>
        <v>80</v>
      </c>
    </row>
    <row r="124" ht="31.5" spans="1:7">
      <c r="A124" s="134" t="s">
        <v>285</v>
      </c>
      <c r="B124" s="17" t="s">
        <v>286</v>
      </c>
      <c r="C124" s="71" t="s">
        <v>287</v>
      </c>
      <c r="D124" s="381"/>
      <c r="E124" s="17"/>
      <c r="F124" s="117">
        <v>8170</v>
      </c>
      <c r="G124" s="17">
        <f t="shared" si="1"/>
        <v>8250</v>
      </c>
    </row>
    <row r="125" ht="15.75" spans="1:7">
      <c r="A125" s="134"/>
      <c r="B125" s="17"/>
      <c r="C125" s="71" t="s">
        <v>280</v>
      </c>
      <c r="D125" s="381"/>
      <c r="E125" s="17">
        <v>8170</v>
      </c>
      <c r="F125" s="117"/>
      <c r="G125" s="17">
        <f t="shared" si="1"/>
        <v>80</v>
      </c>
    </row>
    <row r="126" ht="15.75" spans="1:7">
      <c r="A126" s="134">
        <v>45871</v>
      </c>
      <c r="B126" s="17" t="s">
        <v>288</v>
      </c>
      <c r="C126" s="71" t="s">
        <v>289</v>
      </c>
      <c r="D126" s="381"/>
      <c r="E126" s="17"/>
      <c r="F126" s="117">
        <v>3300</v>
      </c>
      <c r="G126" s="17">
        <f t="shared" si="1"/>
        <v>3380</v>
      </c>
    </row>
    <row r="127" ht="31.5" spans="1:7">
      <c r="A127" s="134">
        <v>45932</v>
      </c>
      <c r="B127" s="17" t="s">
        <v>290</v>
      </c>
      <c r="C127" s="71" t="s">
        <v>291</v>
      </c>
      <c r="D127" s="381"/>
      <c r="E127" s="17"/>
      <c r="F127" s="117">
        <v>11506</v>
      </c>
      <c r="G127" s="17">
        <f t="shared" si="1"/>
        <v>14886</v>
      </c>
    </row>
    <row r="128" ht="15.75" spans="1:7">
      <c r="A128" s="134">
        <v>45932</v>
      </c>
      <c r="B128" s="17" t="s">
        <v>253</v>
      </c>
      <c r="C128" s="71" t="s">
        <v>280</v>
      </c>
      <c r="D128" s="381"/>
      <c r="E128" s="17">
        <v>15000</v>
      </c>
      <c r="F128" s="117"/>
      <c r="G128" s="17">
        <f t="shared" si="1"/>
        <v>-114</v>
      </c>
    </row>
    <row r="129" ht="15.75" spans="1:7">
      <c r="A129" s="134" t="s">
        <v>292</v>
      </c>
      <c r="B129" s="17" t="s">
        <v>293</v>
      </c>
      <c r="C129" s="71" t="s">
        <v>275</v>
      </c>
      <c r="D129" s="381"/>
      <c r="E129" s="17"/>
      <c r="F129" s="117">
        <v>11049</v>
      </c>
      <c r="G129" s="17">
        <f t="shared" si="1"/>
        <v>10935</v>
      </c>
    </row>
    <row r="130" ht="15.75" spans="1:7">
      <c r="A130" s="134" t="s">
        <v>294</v>
      </c>
      <c r="B130" s="17" t="s">
        <v>253</v>
      </c>
      <c r="C130" s="71" t="s">
        <v>280</v>
      </c>
      <c r="D130" s="381"/>
      <c r="E130" s="17">
        <v>10580</v>
      </c>
      <c r="F130" s="117"/>
      <c r="G130" s="17">
        <f t="shared" si="1"/>
        <v>355</v>
      </c>
    </row>
    <row r="131" ht="15.75" spans="1:7">
      <c r="A131" s="134" t="s">
        <v>295</v>
      </c>
      <c r="B131" s="17" t="s">
        <v>296</v>
      </c>
      <c r="C131" s="71" t="s">
        <v>297</v>
      </c>
      <c r="D131" s="381"/>
      <c r="E131" s="17"/>
      <c r="F131" s="117">
        <v>9600</v>
      </c>
      <c r="G131" s="17">
        <f t="shared" si="1"/>
        <v>9955</v>
      </c>
    </row>
    <row r="132" ht="15.75" spans="1:7">
      <c r="A132" s="134" t="s">
        <v>295</v>
      </c>
      <c r="B132" s="17" t="s">
        <v>298</v>
      </c>
      <c r="C132" s="71" t="s">
        <v>299</v>
      </c>
      <c r="D132" s="381"/>
      <c r="E132" s="17"/>
      <c r="F132" s="117">
        <v>4000</v>
      </c>
      <c r="G132" s="17">
        <f t="shared" si="1"/>
        <v>13955</v>
      </c>
    </row>
    <row r="133" ht="15.75" spans="1:7">
      <c r="A133" s="134" t="s">
        <v>300</v>
      </c>
      <c r="B133" s="17" t="s">
        <v>253</v>
      </c>
      <c r="C133" s="71" t="s">
        <v>280</v>
      </c>
      <c r="D133" s="381"/>
      <c r="E133" s="17">
        <v>13600</v>
      </c>
      <c r="F133" s="117"/>
      <c r="G133" s="17">
        <f t="shared" si="1"/>
        <v>355</v>
      </c>
    </row>
    <row r="134" ht="15.75" spans="1:7">
      <c r="A134" s="134" t="s">
        <v>300</v>
      </c>
      <c r="B134" s="17" t="s">
        <v>301</v>
      </c>
      <c r="C134" s="71" t="s">
        <v>275</v>
      </c>
      <c r="D134" s="381"/>
      <c r="E134" s="17"/>
      <c r="F134" s="117">
        <v>4135</v>
      </c>
      <c r="G134" s="17">
        <f t="shared" si="1"/>
        <v>4490</v>
      </c>
    </row>
    <row r="135" ht="15.75" spans="1:7">
      <c r="A135" s="134" t="s">
        <v>302</v>
      </c>
      <c r="B135" s="17" t="s">
        <v>253</v>
      </c>
      <c r="C135" s="71" t="s">
        <v>280</v>
      </c>
      <c r="D135" s="381"/>
      <c r="E135" s="17">
        <v>4140</v>
      </c>
      <c r="F135" s="117"/>
      <c r="G135" s="17">
        <f t="shared" si="1"/>
        <v>350</v>
      </c>
    </row>
    <row r="136" ht="15.75" spans="4:7">
      <c r="D136" s="71"/>
      <c r="E136" s="17"/>
      <c r="F136" s="17"/>
      <c r="G136" s="17">
        <f t="shared" ref="G136:G141" si="2">G135-E136+F136</f>
        <v>350</v>
      </c>
    </row>
    <row r="137" ht="15.75" spans="1:7">
      <c r="A137" s="134"/>
      <c r="B137" s="17"/>
      <c r="C137" s="71"/>
      <c r="D137" s="71"/>
      <c r="E137" s="17"/>
      <c r="F137" s="17"/>
      <c r="G137" s="17">
        <f t="shared" si="2"/>
        <v>350</v>
      </c>
    </row>
    <row r="138" ht="15.75" spans="1:7">
      <c r="A138" s="134"/>
      <c r="B138" s="17"/>
      <c r="C138" s="71"/>
      <c r="D138" s="71"/>
      <c r="E138" s="17"/>
      <c r="F138" s="17"/>
      <c r="G138" s="17">
        <f t="shared" si="2"/>
        <v>350</v>
      </c>
    </row>
    <row r="139" ht="15.75" spans="1:7">
      <c r="A139" s="134"/>
      <c r="B139" s="17"/>
      <c r="C139" s="71"/>
      <c r="D139" s="71"/>
      <c r="E139" s="17"/>
      <c r="F139" s="17"/>
      <c r="G139" s="17">
        <f t="shared" si="2"/>
        <v>350</v>
      </c>
    </row>
    <row r="140" ht="15.75" spans="1:7">
      <c r="A140" s="134"/>
      <c r="B140" s="17"/>
      <c r="C140" s="71"/>
      <c r="D140" s="71"/>
      <c r="E140" s="17"/>
      <c r="F140" s="17"/>
      <c r="G140" s="17">
        <f t="shared" si="2"/>
        <v>350</v>
      </c>
    </row>
    <row r="141" ht="15.75" spans="1:7">
      <c r="A141" s="134"/>
      <c r="B141" s="17"/>
      <c r="C141" s="71"/>
      <c r="D141" s="71"/>
      <c r="E141" s="17"/>
      <c r="F141" s="17"/>
      <c r="G141" s="17">
        <f t="shared" si="2"/>
        <v>350</v>
      </c>
    </row>
    <row r="142" ht="18.75" spans="1:7">
      <c r="A142" s="390" t="s">
        <v>303</v>
      </c>
      <c r="B142" s="391"/>
      <c r="C142" s="391"/>
      <c r="D142" s="391"/>
      <c r="E142" s="391"/>
      <c r="F142" s="392"/>
      <c r="G142" s="17">
        <f>G135-E142+F142</f>
        <v>350</v>
      </c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  <row r="773" spans="5:5">
      <c r="E773"/>
    </row>
    <row r="774" spans="5:5">
      <c r="E774"/>
    </row>
    <row r="775" spans="5:5">
      <c r="E775"/>
    </row>
    <row r="776" spans="5:5">
      <c r="E776"/>
    </row>
    <row r="777" spans="5:5">
      <c r="E777"/>
    </row>
    <row r="778" spans="5:5">
      <c r="E778"/>
    </row>
    <row r="779" spans="5:5">
      <c r="E779"/>
    </row>
    <row r="780" spans="5:5">
      <c r="E780"/>
    </row>
    <row r="781" spans="5:5">
      <c r="E781"/>
    </row>
    <row r="782" spans="5:5">
      <c r="E782"/>
    </row>
    <row r="783" spans="5:5">
      <c r="E783"/>
    </row>
    <row r="784" spans="5:5">
      <c r="E784"/>
    </row>
    <row r="785" spans="5:5">
      <c r="E785"/>
    </row>
    <row r="786" spans="5:5">
      <c r="E786"/>
    </row>
    <row r="787" spans="5:5">
      <c r="E787"/>
    </row>
    <row r="788" spans="5:5">
      <c r="E788"/>
    </row>
    <row r="789" spans="5:5">
      <c r="E789"/>
    </row>
    <row r="790" spans="5:5">
      <c r="E790"/>
    </row>
    <row r="791" spans="5:5">
      <c r="E791"/>
    </row>
    <row r="792" spans="5:5">
      <c r="E792"/>
    </row>
    <row r="793" spans="5:5">
      <c r="E793"/>
    </row>
    <row r="794" spans="5:5">
      <c r="E794"/>
    </row>
    <row r="795" spans="5:5">
      <c r="E795"/>
    </row>
    <row r="796" spans="5:5">
      <c r="E796"/>
    </row>
    <row r="797" spans="5:5">
      <c r="E797"/>
    </row>
    <row r="798" spans="5:5">
      <c r="E798"/>
    </row>
    <row r="799" spans="5:5">
      <c r="E799"/>
    </row>
    <row r="800" spans="5:5">
      <c r="E800"/>
    </row>
    <row r="801" spans="5:5">
      <c r="E801"/>
    </row>
    <row r="802" spans="5:5">
      <c r="E802"/>
    </row>
    <row r="803" spans="5:5">
      <c r="E803"/>
    </row>
    <row r="804" spans="5:5">
      <c r="E804"/>
    </row>
    <row r="805" spans="5:5">
      <c r="E805"/>
    </row>
    <row r="806" spans="5:5">
      <c r="E806"/>
    </row>
    <row r="807" spans="5:5">
      <c r="E807"/>
    </row>
    <row r="808" spans="5:5">
      <c r="E808"/>
    </row>
    <row r="809" spans="5:5">
      <c r="E809"/>
    </row>
    <row r="810" spans="5:5">
      <c r="E810"/>
    </row>
    <row r="811" spans="5:5">
      <c r="E811"/>
    </row>
    <row r="812" spans="5:5">
      <c r="E812"/>
    </row>
    <row r="813" spans="5:5">
      <c r="E813"/>
    </row>
    <row r="814" spans="5:5">
      <c r="E814"/>
    </row>
    <row r="815" spans="5:5">
      <c r="E815"/>
    </row>
    <row r="816" spans="5:5">
      <c r="E816"/>
    </row>
    <row r="817" spans="5:5">
      <c r="E817"/>
    </row>
    <row r="818" spans="5:5">
      <c r="E818"/>
    </row>
    <row r="819" spans="5:5">
      <c r="E819"/>
    </row>
    <row r="820" spans="5:5">
      <c r="E820"/>
    </row>
    <row r="821" spans="5:5">
      <c r="E821"/>
    </row>
    <row r="822" spans="5:5">
      <c r="E822"/>
    </row>
    <row r="823" spans="5:5">
      <c r="E823"/>
    </row>
    <row r="824" spans="5:5">
      <c r="E824"/>
    </row>
    <row r="825" spans="5:5">
      <c r="E825"/>
    </row>
    <row r="826" spans="5:5">
      <c r="E826"/>
    </row>
    <row r="827" spans="5:5">
      <c r="E827"/>
    </row>
    <row r="828" spans="5:5">
      <c r="E828"/>
    </row>
    <row r="829" spans="5:5">
      <c r="E829"/>
    </row>
    <row r="830" spans="5:5">
      <c r="E830"/>
    </row>
    <row r="831" spans="5:5">
      <c r="E831"/>
    </row>
    <row r="832" spans="5:5">
      <c r="E832"/>
    </row>
    <row r="833" spans="5:5">
      <c r="E833"/>
    </row>
    <row r="834" spans="5:5">
      <c r="E834"/>
    </row>
    <row r="835" spans="5:5">
      <c r="E835"/>
    </row>
    <row r="836" spans="5:5">
      <c r="E836"/>
    </row>
    <row r="837" spans="5:5">
      <c r="E837"/>
    </row>
    <row r="838" spans="5:5">
      <c r="E838"/>
    </row>
    <row r="839" spans="5:5">
      <c r="E839"/>
    </row>
    <row r="840" spans="5:5">
      <c r="E840"/>
    </row>
    <row r="841" spans="5:5">
      <c r="E841"/>
    </row>
    <row r="842" spans="5:5">
      <c r="E842"/>
    </row>
    <row r="843" spans="5:5">
      <c r="E843"/>
    </row>
    <row r="844" spans="5:5">
      <c r="E844"/>
    </row>
    <row r="845" spans="5:5">
      <c r="E845"/>
    </row>
    <row r="846" spans="5:5">
      <c r="E846"/>
    </row>
    <row r="847" spans="5:5">
      <c r="E847"/>
    </row>
    <row r="848" spans="5:5">
      <c r="E848"/>
    </row>
    <row r="849" spans="5:5">
      <c r="E849"/>
    </row>
    <row r="850" spans="5:5">
      <c r="E850"/>
    </row>
    <row r="851" spans="5:5">
      <c r="E851"/>
    </row>
    <row r="852" spans="5:5">
      <c r="E852"/>
    </row>
    <row r="853" spans="5:5">
      <c r="E853"/>
    </row>
    <row r="854" spans="5:5">
      <c r="E854"/>
    </row>
    <row r="855" spans="5:5">
      <c r="E855"/>
    </row>
    <row r="856" spans="5:5">
      <c r="E856"/>
    </row>
    <row r="857" spans="5:5">
      <c r="E857"/>
    </row>
    <row r="858" spans="5:5">
      <c r="E858"/>
    </row>
    <row r="859" spans="5:5">
      <c r="E859"/>
    </row>
    <row r="860" spans="5:5">
      <c r="E860"/>
    </row>
    <row r="861" spans="5:5">
      <c r="E861"/>
    </row>
    <row r="862" spans="5:5">
      <c r="E862"/>
    </row>
    <row r="863" spans="5:5">
      <c r="E863"/>
    </row>
    <row r="864" spans="5:5">
      <c r="E864"/>
    </row>
    <row r="865" spans="5:5">
      <c r="E865"/>
    </row>
    <row r="866" spans="5:5">
      <c r="E866"/>
    </row>
    <row r="867" spans="5:5">
      <c r="E867"/>
    </row>
    <row r="868" spans="5:5">
      <c r="E868"/>
    </row>
    <row r="869" spans="5:5">
      <c r="E869"/>
    </row>
    <row r="870" spans="5:5">
      <c r="E870"/>
    </row>
    <row r="871" spans="5:5">
      <c r="E871"/>
    </row>
    <row r="872" spans="5:5">
      <c r="E872"/>
    </row>
    <row r="873" spans="5:5">
      <c r="E873"/>
    </row>
    <row r="874" spans="5:5">
      <c r="E874"/>
    </row>
    <row r="875" spans="5:5">
      <c r="E875"/>
    </row>
    <row r="876" spans="5:5">
      <c r="E876"/>
    </row>
    <row r="877" spans="5:5">
      <c r="E877"/>
    </row>
    <row r="878" spans="5:5">
      <c r="E878"/>
    </row>
    <row r="879" spans="5:5">
      <c r="E879"/>
    </row>
    <row r="880" spans="5:5">
      <c r="E880"/>
    </row>
    <row r="881" spans="5:5">
      <c r="E881"/>
    </row>
    <row r="882" spans="5:5">
      <c r="E882"/>
    </row>
    <row r="883" spans="5:5">
      <c r="E883"/>
    </row>
    <row r="884" spans="5:5">
      <c r="E884"/>
    </row>
    <row r="885" spans="5:5">
      <c r="E885"/>
    </row>
    <row r="886" spans="5:5">
      <c r="E886"/>
    </row>
    <row r="887" spans="5:5">
      <c r="E887"/>
    </row>
    <row r="888" spans="5:5">
      <c r="E888"/>
    </row>
    <row r="889" spans="5:5">
      <c r="E889"/>
    </row>
    <row r="890" spans="5:5">
      <c r="E890"/>
    </row>
    <row r="891" spans="5:5">
      <c r="E891"/>
    </row>
    <row r="892" spans="5:5">
      <c r="E892"/>
    </row>
    <row r="893" spans="5:5">
      <c r="E893"/>
    </row>
    <row r="894" spans="5:5">
      <c r="E894"/>
    </row>
    <row r="895" spans="5:5">
      <c r="E895"/>
    </row>
    <row r="896" spans="5:5">
      <c r="E896"/>
    </row>
    <row r="897" spans="5:5">
      <c r="E897"/>
    </row>
    <row r="898" spans="5:5">
      <c r="E898"/>
    </row>
    <row r="899" spans="5:5">
      <c r="E899"/>
    </row>
    <row r="900" spans="5:5">
      <c r="E900"/>
    </row>
    <row r="901" spans="5:5">
      <c r="E901"/>
    </row>
    <row r="902" spans="5:5">
      <c r="E902"/>
    </row>
    <row r="903" spans="5:5">
      <c r="E903"/>
    </row>
    <row r="904" spans="5:5">
      <c r="E904"/>
    </row>
    <row r="905" spans="5:5">
      <c r="E905"/>
    </row>
    <row r="906" spans="5:5">
      <c r="E906"/>
    </row>
    <row r="907" spans="5:5">
      <c r="E907"/>
    </row>
    <row r="908" spans="5:5">
      <c r="E908"/>
    </row>
    <row r="909" spans="5:5">
      <c r="E909"/>
    </row>
    <row r="910" spans="5:5">
      <c r="E910"/>
    </row>
    <row r="911" spans="5:5">
      <c r="E911"/>
    </row>
    <row r="912" spans="5:5">
      <c r="E912"/>
    </row>
    <row r="913" spans="5:5">
      <c r="E913"/>
    </row>
    <row r="914" spans="5:5">
      <c r="E914"/>
    </row>
    <row r="915" spans="5:5">
      <c r="E915"/>
    </row>
    <row r="916" spans="5:5">
      <c r="E916"/>
    </row>
    <row r="917" spans="5:5">
      <c r="E917"/>
    </row>
    <row r="918" spans="5:5">
      <c r="E918"/>
    </row>
    <row r="919" spans="5:5">
      <c r="E919"/>
    </row>
    <row r="920" spans="5:5">
      <c r="E920"/>
    </row>
    <row r="921" spans="5:5">
      <c r="E921"/>
    </row>
    <row r="922" spans="5:5">
      <c r="E922"/>
    </row>
    <row r="923" spans="5:5">
      <c r="E923"/>
    </row>
    <row r="924" spans="5:5">
      <c r="E924"/>
    </row>
    <row r="925" spans="5:5">
      <c r="E925"/>
    </row>
    <row r="926" spans="5:5">
      <c r="E926"/>
    </row>
    <row r="927" spans="5:5">
      <c r="E927"/>
    </row>
    <row r="928" spans="5:5">
      <c r="E928"/>
    </row>
    <row r="929" spans="5:5">
      <c r="E929"/>
    </row>
    <row r="930" spans="5:5">
      <c r="E930"/>
    </row>
    <row r="931" spans="5:5">
      <c r="E931"/>
    </row>
    <row r="932" spans="5:5">
      <c r="E932"/>
    </row>
    <row r="933" spans="5:5">
      <c r="E933"/>
    </row>
    <row r="934" spans="5:5">
      <c r="E934"/>
    </row>
    <row r="935" spans="5:5">
      <c r="E935"/>
    </row>
    <row r="936" spans="5:5">
      <c r="E936"/>
    </row>
    <row r="937" spans="5:5">
      <c r="E937"/>
    </row>
    <row r="938" spans="5:5">
      <c r="E938"/>
    </row>
    <row r="939" spans="5:5">
      <c r="E939"/>
    </row>
    <row r="940" spans="5:5">
      <c r="E940"/>
    </row>
    <row r="941" spans="5:5">
      <c r="E941"/>
    </row>
    <row r="942" spans="5:5">
      <c r="E942"/>
    </row>
    <row r="943" spans="5:5">
      <c r="E943"/>
    </row>
    <row r="944" spans="5:5">
      <c r="E944"/>
    </row>
    <row r="945" spans="5:5">
      <c r="E945"/>
    </row>
    <row r="946" spans="5:5">
      <c r="E946"/>
    </row>
    <row r="947" spans="5:5">
      <c r="E947"/>
    </row>
    <row r="948" spans="5:5">
      <c r="E948"/>
    </row>
    <row r="949" spans="5:5">
      <c r="E949"/>
    </row>
    <row r="950" spans="5:5">
      <c r="E950"/>
    </row>
    <row r="951" spans="5:5">
      <c r="E951"/>
    </row>
    <row r="952" spans="5:5">
      <c r="E952"/>
    </row>
    <row r="953" spans="5:5">
      <c r="E953"/>
    </row>
    <row r="954" spans="5:5">
      <c r="E954"/>
    </row>
    <row r="955" spans="5:5">
      <c r="E955"/>
    </row>
    <row r="956" spans="5:5">
      <c r="E956"/>
    </row>
    <row r="957" spans="5:5">
      <c r="E957"/>
    </row>
    <row r="958" spans="5:5">
      <c r="E958"/>
    </row>
    <row r="959" spans="5:5">
      <c r="E959"/>
    </row>
    <row r="960" spans="5:5">
      <c r="E960"/>
    </row>
    <row r="961" spans="5:5">
      <c r="E961"/>
    </row>
    <row r="962" spans="5:5">
      <c r="E962"/>
    </row>
    <row r="963" spans="5:5">
      <c r="E963"/>
    </row>
    <row r="964" spans="5:5">
      <c r="E964"/>
    </row>
    <row r="965" spans="5:5">
      <c r="E965"/>
    </row>
    <row r="966" spans="5:5">
      <c r="E966"/>
    </row>
    <row r="967" spans="5:5">
      <c r="E967"/>
    </row>
    <row r="968" spans="5:5">
      <c r="E968"/>
    </row>
    <row r="969" spans="5:5">
      <c r="E969"/>
    </row>
    <row r="970" spans="5:5">
      <c r="E970"/>
    </row>
    <row r="971" spans="5:5">
      <c r="E971"/>
    </row>
    <row r="972" spans="5:5">
      <c r="E972"/>
    </row>
    <row r="973" spans="5:5">
      <c r="E973"/>
    </row>
    <row r="974" spans="5:5">
      <c r="E974"/>
    </row>
    <row r="975" spans="5:5">
      <c r="E975"/>
    </row>
    <row r="976" spans="5:5">
      <c r="E976"/>
    </row>
    <row r="977" spans="5:5">
      <c r="E977"/>
    </row>
    <row r="978" spans="5:5">
      <c r="E978"/>
    </row>
    <row r="979" spans="5:5">
      <c r="E979"/>
    </row>
    <row r="980" spans="5:5">
      <c r="E980"/>
    </row>
    <row r="981" spans="5:5">
      <c r="E981"/>
    </row>
    <row r="982" spans="5:5">
      <c r="E982"/>
    </row>
    <row r="983" spans="5:5">
      <c r="E983"/>
    </row>
    <row r="984" spans="5:5">
      <c r="E984"/>
    </row>
    <row r="985" spans="5:5">
      <c r="E985"/>
    </row>
    <row r="986" spans="5:5">
      <c r="E986"/>
    </row>
    <row r="987" spans="5:5">
      <c r="E987"/>
    </row>
    <row r="988" spans="5:5">
      <c r="E988"/>
    </row>
    <row r="989" spans="5:5">
      <c r="E989"/>
    </row>
    <row r="990" spans="5:5">
      <c r="E990"/>
    </row>
    <row r="991" spans="5:5">
      <c r="E991"/>
    </row>
    <row r="992" spans="5:5">
      <c r="E992"/>
    </row>
    <row r="993" spans="5:5">
      <c r="E993"/>
    </row>
    <row r="994" spans="5:5">
      <c r="E994"/>
    </row>
    <row r="995" spans="5:5">
      <c r="E995"/>
    </row>
    <row r="996" spans="5:5">
      <c r="E996"/>
    </row>
    <row r="997" spans="5:5">
      <c r="E997"/>
    </row>
    <row r="998" spans="5:5">
      <c r="E998"/>
    </row>
    <row r="999" spans="5:5">
      <c r="E999"/>
    </row>
    <row r="1000" spans="5:5">
      <c r="E1000"/>
    </row>
    <row r="1001" spans="5:5">
      <c r="E1001"/>
    </row>
    <row r="1002" spans="5:5">
      <c r="E1002"/>
    </row>
    <row r="1003" spans="5:5">
      <c r="E1003"/>
    </row>
    <row r="1004" spans="5:5">
      <c r="E1004"/>
    </row>
    <row r="1005" spans="5:5">
      <c r="E1005"/>
    </row>
    <row r="1006" spans="5:5">
      <c r="E1006"/>
    </row>
    <row r="1007" spans="5:5">
      <c r="E1007"/>
    </row>
    <row r="1008" spans="5:5">
      <c r="E1008"/>
    </row>
    <row r="1009" spans="5:5">
      <c r="E1009"/>
    </row>
    <row r="1010" spans="5:5">
      <c r="E1010"/>
    </row>
    <row r="1011" spans="5:5">
      <c r="E1011"/>
    </row>
    <row r="1012" spans="5:5">
      <c r="E1012"/>
    </row>
    <row r="1013" spans="5:5">
      <c r="E1013"/>
    </row>
    <row r="1014" spans="5:5">
      <c r="E1014"/>
    </row>
    <row r="1015" spans="5:5">
      <c r="E1015"/>
    </row>
    <row r="1016" spans="5:5">
      <c r="E1016"/>
    </row>
    <row r="1017" spans="5:5">
      <c r="E1017"/>
    </row>
    <row r="1018" spans="5:5">
      <c r="E1018"/>
    </row>
    <row r="1019" spans="5:5">
      <c r="E1019"/>
    </row>
    <row r="1020" spans="5:5">
      <c r="E1020"/>
    </row>
    <row r="1021" spans="5:5">
      <c r="E1021"/>
    </row>
    <row r="1022" spans="5:5">
      <c r="E1022"/>
    </row>
    <row r="1023" spans="5:5">
      <c r="E1023"/>
    </row>
    <row r="1024" spans="5:5">
      <c r="E1024"/>
    </row>
    <row r="1025" spans="5:5">
      <c r="E1025"/>
    </row>
    <row r="1026" spans="5:5">
      <c r="E1026"/>
    </row>
    <row r="1027" spans="5:5">
      <c r="E1027"/>
    </row>
    <row r="1028" spans="5:5">
      <c r="E1028"/>
    </row>
    <row r="1029" spans="5:5">
      <c r="E1029"/>
    </row>
    <row r="1030" spans="5:5">
      <c r="E1030"/>
    </row>
    <row r="1031" spans="5:5">
      <c r="E1031"/>
    </row>
    <row r="1032" spans="5:5">
      <c r="E1032"/>
    </row>
    <row r="1033" spans="5:5">
      <c r="E1033"/>
    </row>
    <row r="1034" spans="5:5">
      <c r="E1034"/>
    </row>
    <row r="1035" spans="5:5">
      <c r="E1035"/>
    </row>
    <row r="1036" spans="5:5">
      <c r="E1036"/>
    </row>
    <row r="1037" spans="5:5">
      <c r="E1037"/>
    </row>
    <row r="1038" spans="5:5">
      <c r="E1038"/>
    </row>
    <row r="1039" spans="5:5">
      <c r="E1039"/>
    </row>
    <row r="1040" spans="5:5">
      <c r="E1040"/>
    </row>
    <row r="1041" spans="5:5">
      <c r="E1041"/>
    </row>
    <row r="1042" spans="5:5">
      <c r="E1042"/>
    </row>
    <row r="1043" spans="5:5">
      <c r="E1043"/>
    </row>
    <row r="1044" spans="5:5">
      <c r="E1044"/>
    </row>
    <row r="1045" spans="5:5">
      <c r="E1045"/>
    </row>
    <row r="1046" spans="5:5">
      <c r="E1046"/>
    </row>
    <row r="1047" spans="5:5">
      <c r="E1047"/>
    </row>
    <row r="1048" spans="5:5">
      <c r="E1048"/>
    </row>
    <row r="1049" spans="5:5">
      <c r="E1049"/>
    </row>
    <row r="1050" spans="5:5">
      <c r="E1050"/>
    </row>
    <row r="1051" spans="5:5">
      <c r="E1051"/>
    </row>
    <row r="1052" spans="5:5">
      <c r="E1052"/>
    </row>
    <row r="1053" spans="5:5">
      <c r="E1053"/>
    </row>
    <row r="1054" spans="5:5">
      <c r="E1054"/>
    </row>
    <row r="1055" spans="5:5">
      <c r="E1055"/>
    </row>
    <row r="1056" spans="5:5">
      <c r="E1056"/>
    </row>
    <row r="1057" spans="5:5">
      <c r="E1057"/>
    </row>
    <row r="1058" spans="5:5">
      <c r="E1058"/>
    </row>
    <row r="1059" spans="5:5">
      <c r="E1059"/>
    </row>
    <row r="1060" spans="5:5">
      <c r="E1060"/>
    </row>
    <row r="1061" spans="5:5">
      <c r="E1061"/>
    </row>
    <row r="1062" spans="5:5">
      <c r="E1062"/>
    </row>
    <row r="1063" spans="5:5">
      <c r="E1063"/>
    </row>
    <row r="1064" spans="5:5">
      <c r="E1064"/>
    </row>
    <row r="1065" spans="5:5">
      <c r="E1065"/>
    </row>
    <row r="1066" spans="5:5">
      <c r="E1066"/>
    </row>
    <row r="1067" spans="5:5">
      <c r="E1067"/>
    </row>
    <row r="1068" spans="5:5">
      <c r="E1068"/>
    </row>
    <row r="1069" spans="5:5">
      <c r="E1069"/>
    </row>
    <row r="1070" spans="5:5">
      <c r="E1070"/>
    </row>
    <row r="1071" spans="5:5">
      <c r="E1071"/>
    </row>
    <row r="1072" spans="5:5">
      <c r="E1072"/>
    </row>
    <row r="1073" spans="5:5">
      <c r="E1073"/>
    </row>
    <row r="1074" spans="5:5">
      <c r="E1074"/>
    </row>
    <row r="1075" spans="5:5">
      <c r="E1075"/>
    </row>
    <row r="1076" spans="5:5">
      <c r="E1076"/>
    </row>
    <row r="1077" spans="5:5">
      <c r="E1077"/>
    </row>
    <row r="1078" spans="5:5">
      <c r="E1078"/>
    </row>
    <row r="1079" spans="5:5">
      <c r="E1079"/>
    </row>
    <row r="1080" spans="5:5">
      <c r="E1080"/>
    </row>
    <row r="1081" spans="5:5">
      <c r="E1081"/>
    </row>
    <row r="1082" spans="5:5">
      <c r="E1082"/>
    </row>
    <row r="1083" spans="5:5">
      <c r="E1083"/>
    </row>
    <row r="1084" spans="5:5">
      <c r="E1084"/>
    </row>
    <row r="1085" spans="5:5">
      <c r="E1085"/>
    </row>
    <row r="1086" spans="5:5">
      <c r="E1086"/>
    </row>
    <row r="1087" spans="5:5">
      <c r="E1087"/>
    </row>
    <row r="1088" spans="5:5">
      <c r="E1088"/>
    </row>
    <row r="1089" spans="5:5">
      <c r="E1089"/>
    </row>
    <row r="1090" spans="5:5">
      <c r="E1090"/>
    </row>
    <row r="1091" spans="5:5">
      <c r="E1091"/>
    </row>
    <row r="1092" spans="5:5">
      <c r="E1092"/>
    </row>
    <row r="1093" spans="5:5">
      <c r="E1093"/>
    </row>
    <row r="1094" spans="5:5">
      <c r="E1094"/>
    </row>
    <row r="1095" spans="5:5">
      <c r="E1095"/>
    </row>
    <row r="1096" spans="5:5">
      <c r="E1096"/>
    </row>
    <row r="1097" spans="5:5">
      <c r="E1097"/>
    </row>
    <row r="1098" spans="5:5">
      <c r="E1098"/>
    </row>
    <row r="1099" spans="5:5">
      <c r="E1099"/>
    </row>
    <row r="1100" spans="5:5">
      <c r="E1100"/>
    </row>
    <row r="1101" spans="5:5">
      <c r="E1101"/>
    </row>
    <row r="1102" spans="5:5">
      <c r="E1102"/>
    </row>
    <row r="1103" spans="5:5">
      <c r="E1103"/>
    </row>
    <row r="1104" spans="5:5">
      <c r="E1104"/>
    </row>
    <row r="1105" spans="5:5">
      <c r="E1105"/>
    </row>
    <row r="1106" spans="5:5">
      <c r="E1106"/>
    </row>
    <row r="1107" spans="5:5">
      <c r="E1107"/>
    </row>
    <row r="1108" spans="5:5">
      <c r="E1108"/>
    </row>
    <row r="1109" spans="5:5">
      <c r="E1109"/>
    </row>
    <row r="1110" spans="5:5">
      <c r="E1110"/>
    </row>
    <row r="1111" spans="5:5">
      <c r="E1111"/>
    </row>
    <row r="1112" spans="5:5">
      <c r="E1112"/>
    </row>
    <row r="1113" spans="5:5">
      <c r="E1113"/>
    </row>
    <row r="1114" spans="5:5">
      <c r="E1114"/>
    </row>
    <row r="1115" spans="5:5">
      <c r="E1115"/>
    </row>
    <row r="1116" spans="5:5">
      <c r="E1116"/>
    </row>
    <row r="1117" spans="5:5">
      <c r="E1117"/>
    </row>
    <row r="1118" spans="5:5">
      <c r="E1118"/>
    </row>
    <row r="1119" spans="5:5">
      <c r="E1119"/>
    </row>
    <row r="1120" spans="5:5">
      <c r="E1120"/>
    </row>
    <row r="1121" spans="5:5">
      <c r="E1121"/>
    </row>
    <row r="1122" spans="5:5">
      <c r="E1122"/>
    </row>
    <row r="1123" spans="5:5">
      <c r="E1123"/>
    </row>
    <row r="1124" spans="5:5">
      <c r="E1124"/>
    </row>
    <row r="1125" spans="5:5">
      <c r="E1125"/>
    </row>
    <row r="1126" spans="5:5">
      <c r="E1126"/>
    </row>
    <row r="1127" spans="5:5">
      <c r="E1127"/>
    </row>
    <row r="1128" spans="5:5">
      <c r="E1128"/>
    </row>
    <row r="1129" spans="5:5">
      <c r="E1129"/>
    </row>
    <row r="1130" spans="5:5">
      <c r="E1130"/>
    </row>
    <row r="1131" spans="5:5">
      <c r="E1131"/>
    </row>
    <row r="1132" spans="5:5">
      <c r="E1132"/>
    </row>
    <row r="1133" spans="5:5">
      <c r="E1133"/>
    </row>
    <row r="1134" spans="5:5">
      <c r="E1134"/>
    </row>
    <row r="1135" spans="5:5">
      <c r="E1135"/>
    </row>
    <row r="1136" spans="5:5">
      <c r="E1136"/>
    </row>
    <row r="1137" spans="5:5">
      <c r="E1137"/>
    </row>
    <row r="1138" spans="5:5">
      <c r="E1138"/>
    </row>
    <row r="1139" spans="5:5">
      <c r="E1139"/>
    </row>
    <row r="1140" spans="5:5">
      <c r="E1140"/>
    </row>
    <row r="1141" spans="5:5">
      <c r="E1141"/>
    </row>
    <row r="1142" spans="5:5">
      <c r="E1142"/>
    </row>
    <row r="1143" spans="5:5">
      <c r="E1143"/>
    </row>
    <row r="1144" spans="5:5">
      <c r="E1144"/>
    </row>
    <row r="1145" spans="5:5">
      <c r="E1145"/>
    </row>
    <row r="1146" spans="5:5">
      <c r="E1146"/>
    </row>
    <row r="1147" spans="5:5">
      <c r="E1147"/>
    </row>
    <row r="1148" spans="5:5">
      <c r="E1148"/>
    </row>
    <row r="1149" spans="5:5">
      <c r="E1149"/>
    </row>
    <row r="1150" spans="5:5">
      <c r="E1150"/>
    </row>
    <row r="1151" spans="5:5">
      <c r="E1151"/>
    </row>
    <row r="1152" spans="5:5">
      <c r="E1152"/>
    </row>
    <row r="1153" spans="5:5">
      <c r="E1153"/>
    </row>
    <row r="1154" spans="5:5">
      <c r="E1154"/>
    </row>
    <row r="1155" spans="5:5">
      <c r="E1155"/>
    </row>
    <row r="1156" spans="5:5">
      <c r="E1156"/>
    </row>
    <row r="1157" spans="5:5">
      <c r="E1157"/>
    </row>
    <row r="1158" spans="5:5">
      <c r="E1158"/>
    </row>
    <row r="1159" spans="5:5">
      <c r="E1159"/>
    </row>
    <row r="1160" spans="5:5">
      <c r="E1160"/>
    </row>
    <row r="1161" spans="5:5">
      <c r="E1161"/>
    </row>
    <row r="1162" spans="5:5">
      <c r="E1162"/>
    </row>
    <row r="1163" spans="5:5">
      <c r="E1163"/>
    </row>
    <row r="1164" spans="5:5">
      <c r="E1164"/>
    </row>
    <row r="1165" spans="5:5">
      <c r="E1165"/>
    </row>
    <row r="1166" spans="5:5">
      <c r="E1166"/>
    </row>
    <row r="1167" spans="5:5">
      <c r="E1167"/>
    </row>
    <row r="1168" spans="5:5">
      <c r="E1168"/>
    </row>
    <row r="1169" spans="5:5">
      <c r="E1169"/>
    </row>
    <row r="1170" spans="5:5">
      <c r="E1170"/>
    </row>
    <row r="1171" spans="5:5">
      <c r="E1171"/>
    </row>
    <row r="1172" spans="5:5">
      <c r="E1172"/>
    </row>
    <row r="1173" spans="5:5">
      <c r="E1173"/>
    </row>
    <row r="1174" spans="5:5">
      <c r="E1174"/>
    </row>
    <row r="1175" spans="5:5">
      <c r="E1175"/>
    </row>
    <row r="1176" spans="5:5">
      <c r="E1176"/>
    </row>
    <row r="1177" spans="5:5">
      <c r="E1177"/>
    </row>
    <row r="1178" spans="5:5">
      <c r="E1178"/>
    </row>
    <row r="1179" spans="5:5">
      <c r="E1179"/>
    </row>
    <row r="1180" spans="5:5">
      <c r="E1180"/>
    </row>
    <row r="1181" spans="5:5">
      <c r="E1181"/>
    </row>
    <row r="1182" spans="5:5">
      <c r="E1182"/>
    </row>
    <row r="1183" spans="5:5">
      <c r="E1183"/>
    </row>
    <row r="1184" spans="5:5">
      <c r="E1184"/>
    </row>
    <row r="1185" spans="5:5">
      <c r="E1185"/>
    </row>
    <row r="1186" spans="5:5">
      <c r="E1186"/>
    </row>
    <row r="1187" spans="5:5">
      <c r="E1187"/>
    </row>
    <row r="1188" spans="5:5">
      <c r="E1188"/>
    </row>
    <row r="1189" spans="5:5">
      <c r="E1189"/>
    </row>
    <row r="1190" spans="5:5">
      <c r="E1190"/>
    </row>
    <row r="1191" spans="5:5">
      <c r="E1191"/>
    </row>
    <row r="1192" spans="5:5">
      <c r="E1192"/>
    </row>
    <row r="1193" spans="5:5">
      <c r="E1193"/>
    </row>
    <row r="1194" spans="5:5">
      <c r="E1194"/>
    </row>
    <row r="1195" spans="5:5">
      <c r="E1195"/>
    </row>
    <row r="1196" spans="5:5">
      <c r="E1196"/>
    </row>
    <row r="1197" spans="5:5">
      <c r="E1197"/>
    </row>
    <row r="1198" spans="5:5">
      <c r="E1198"/>
    </row>
    <row r="1199" spans="5:5">
      <c r="E1199"/>
    </row>
    <row r="1200" spans="5:5">
      <c r="E1200"/>
    </row>
    <row r="1201" spans="5:5">
      <c r="E1201"/>
    </row>
    <row r="1202" spans="5:5">
      <c r="E1202"/>
    </row>
    <row r="1203" spans="5:5">
      <c r="E1203"/>
    </row>
    <row r="1204" spans="5:5">
      <c r="E1204"/>
    </row>
    <row r="1205" spans="5:5">
      <c r="E1205"/>
    </row>
    <row r="1206" spans="5:5">
      <c r="E1206"/>
    </row>
    <row r="1207" spans="5:5">
      <c r="E1207"/>
    </row>
    <row r="1208" spans="5:5">
      <c r="E1208"/>
    </row>
    <row r="1209" spans="5:5">
      <c r="E1209"/>
    </row>
    <row r="1210" spans="5:5">
      <c r="E1210"/>
    </row>
    <row r="1211" spans="5:5">
      <c r="E1211"/>
    </row>
    <row r="1212" spans="5:5">
      <c r="E1212"/>
    </row>
    <row r="1213" spans="5:5">
      <c r="E1213"/>
    </row>
    <row r="1214" spans="5:5">
      <c r="E1214"/>
    </row>
    <row r="1215" spans="5:5">
      <c r="E1215"/>
    </row>
    <row r="1216" spans="5:5">
      <c r="E1216"/>
    </row>
    <row r="1217" spans="5:5">
      <c r="E1217"/>
    </row>
    <row r="1218" spans="5:5">
      <c r="E1218"/>
    </row>
    <row r="1219" spans="5:5">
      <c r="E1219"/>
    </row>
    <row r="1220" spans="5:5">
      <c r="E1220"/>
    </row>
    <row r="1221" spans="5:5">
      <c r="E1221"/>
    </row>
    <row r="1222" spans="5:5">
      <c r="E1222"/>
    </row>
    <row r="1223" spans="5:5">
      <c r="E1223"/>
    </row>
    <row r="1224" spans="5:5">
      <c r="E1224"/>
    </row>
    <row r="1225" spans="5:5">
      <c r="E1225"/>
    </row>
    <row r="1226" spans="5:5">
      <c r="E1226"/>
    </row>
    <row r="1227" spans="5:5">
      <c r="E1227"/>
    </row>
    <row r="1228" spans="5:5">
      <c r="E1228"/>
    </row>
    <row r="1229" spans="5:5">
      <c r="E1229"/>
    </row>
    <row r="1230" spans="5:5">
      <c r="E1230"/>
    </row>
    <row r="1231" spans="5:5">
      <c r="E1231"/>
    </row>
    <row r="1232" spans="5:5">
      <c r="E1232"/>
    </row>
    <row r="1233" spans="5:5">
      <c r="E1233"/>
    </row>
    <row r="1234" spans="5:5">
      <c r="E1234"/>
    </row>
    <row r="1235" spans="5:5">
      <c r="E1235"/>
    </row>
    <row r="1236" spans="5:5">
      <c r="E1236"/>
    </row>
    <row r="1237" spans="5:5">
      <c r="E1237"/>
    </row>
    <row r="1238" spans="5:5">
      <c r="E1238"/>
    </row>
    <row r="1239" spans="5:5">
      <c r="E1239"/>
    </row>
    <row r="1240" spans="5:5">
      <c r="E1240"/>
    </row>
    <row r="1241" spans="5:5">
      <c r="E1241"/>
    </row>
    <row r="1242" spans="5:5">
      <c r="E1242"/>
    </row>
    <row r="1243" spans="5:5">
      <c r="E1243"/>
    </row>
    <row r="1244" spans="5:5">
      <c r="E1244"/>
    </row>
    <row r="1245" spans="5:5">
      <c r="E1245"/>
    </row>
    <row r="1246" spans="5:5">
      <c r="E1246"/>
    </row>
    <row r="1247" spans="5:5">
      <c r="E1247"/>
    </row>
    <row r="1248" spans="5:5">
      <c r="E1248"/>
    </row>
    <row r="1249" spans="5:5">
      <c r="E1249"/>
    </row>
    <row r="1250" spans="5:5">
      <c r="E1250"/>
    </row>
    <row r="1251" spans="5:5">
      <c r="E1251"/>
    </row>
    <row r="1252" spans="5:5">
      <c r="E1252"/>
    </row>
    <row r="1253" spans="5:5">
      <c r="E1253"/>
    </row>
    <row r="1254" spans="5:5">
      <c r="E1254"/>
    </row>
    <row r="1255" spans="5:5">
      <c r="E1255"/>
    </row>
    <row r="1256" spans="5:5">
      <c r="E1256"/>
    </row>
    <row r="1257" spans="5:5">
      <c r="E1257"/>
    </row>
    <row r="1258" spans="5:5">
      <c r="E1258"/>
    </row>
    <row r="1259" spans="5:5">
      <c r="E1259"/>
    </row>
    <row r="1260" spans="5:5">
      <c r="E1260"/>
    </row>
    <row r="1261" spans="5:5">
      <c r="E1261"/>
    </row>
    <row r="1262" spans="5:5">
      <c r="E1262"/>
    </row>
    <row r="1263" spans="5:5">
      <c r="E1263"/>
    </row>
    <row r="1264" spans="5:5">
      <c r="E1264"/>
    </row>
    <row r="1265" spans="5:5">
      <c r="E1265"/>
    </row>
    <row r="1266" spans="5:5">
      <c r="E1266"/>
    </row>
    <row r="1267" spans="5:5">
      <c r="E1267"/>
    </row>
    <row r="1268" spans="5:5">
      <c r="E1268"/>
    </row>
    <row r="1269" spans="5:5">
      <c r="E1269"/>
    </row>
    <row r="1270" spans="5:5">
      <c r="E1270"/>
    </row>
    <row r="1271" spans="5:5">
      <c r="E1271"/>
    </row>
    <row r="1272" spans="5:5">
      <c r="E1272"/>
    </row>
    <row r="1273" spans="5:5">
      <c r="E1273"/>
    </row>
    <row r="1274" spans="5:5">
      <c r="E1274"/>
    </row>
    <row r="1275" spans="5:5">
      <c r="E1275"/>
    </row>
    <row r="1276" spans="5:5">
      <c r="E1276"/>
    </row>
    <row r="1277" spans="5:5">
      <c r="E1277"/>
    </row>
    <row r="1278" spans="5:5">
      <c r="E1278"/>
    </row>
    <row r="1279" spans="5:5">
      <c r="E1279"/>
    </row>
    <row r="1280" spans="5:5">
      <c r="E1280"/>
    </row>
    <row r="1281" spans="5:5">
      <c r="E1281"/>
    </row>
    <row r="1282" spans="5:5">
      <c r="E1282"/>
    </row>
    <row r="1283" spans="5:5">
      <c r="E1283"/>
    </row>
    <row r="1284" spans="5:5">
      <c r="E1284"/>
    </row>
    <row r="1285" spans="5:5">
      <c r="E1285"/>
    </row>
    <row r="1286" spans="5:5">
      <c r="E1286"/>
    </row>
    <row r="1287" spans="5:5">
      <c r="E1287"/>
    </row>
    <row r="1288" spans="5:5">
      <c r="E1288"/>
    </row>
    <row r="1289" spans="5:5">
      <c r="E1289"/>
    </row>
    <row r="1290" spans="5:5">
      <c r="E1290"/>
    </row>
    <row r="1291" spans="5:5">
      <c r="E1291"/>
    </row>
    <row r="1292" spans="5:5">
      <c r="E1292"/>
    </row>
    <row r="1293" spans="5:5">
      <c r="E1293"/>
    </row>
    <row r="1294" spans="5:5">
      <c r="E1294"/>
    </row>
    <row r="1295" spans="5:5">
      <c r="E1295"/>
    </row>
    <row r="1296" spans="5:5">
      <c r="E1296"/>
    </row>
    <row r="1297" spans="5:5">
      <c r="E1297"/>
    </row>
    <row r="1298" spans="5:5">
      <c r="E1298"/>
    </row>
    <row r="1299" spans="5:5">
      <c r="E1299"/>
    </row>
    <row r="1300" spans="5:5">
      <c r="E1300"/>
    </row>
    <row r="1301" spans="5:5">
      <c r="E1301"/>
    </row>
    <row r="1302" spans="5:5">
      <c r="E1302"/>
    </row>
    <row r="1303" spans="5:5">
      <c r="E1303"/>
    </row>
    <row r="1304" spans="5:5">
      <c r="E1304"/>
    </row>
    <row r="1305" spans="5:5">
      <c r="E1305"/>
    </row>
    <row r="1306" spans="5:5">
      <c r="E1306"/>
    </row>
    <row r="1307" spans="5:5">
      <c r="E1307"/>
    </row>
    <row r="1308" spans="5:5">
      <c r="E1308"/>
    </row>
    <row r="1309" spans="5:5">
      <c r="E1309"/>
    </row>
    <row r="1310" spans="5:5">
      <c r="E1310"/>
    </row>
    <row r="1311" spans="5:5">
      <c r="E1311"/>
    </row>
    <row r="1312" spans="5:5">
      <c r="E1312"/>
    </row>
    <row r="1313" spans="5:5">
      <c r="E1313"/>
    </row>
    <row r="1314" spans="5:5">
      <c r="E1314"/>
    </row>
    <row r="1315" spans="5:5">
      <c r="E1315"/>
    </row>
    <row r="1316" spans="5:5">
      <c r="E1316"/>
    </row>
    <row r="1317" spans="5:5">
      <c r="E1317"/>
    </row>
    <row r="1318" spans="5:5">
      <c r="E1318"/>
    </row>
    <row r="1319" spans="5:5">
      <c r="E1319"/>
    </row>
    <row r="1320" spans="5:5">
      <c r="E1320"/>
    </row>
    <row r="1321" spans="5:5">
      <c r="E1321"/>
    </row>
    <row r="1322" spans="5:5">
      <c r="E1322"/>
    </row>
    <row r="1323" spans="5:5">
      <c r="E1323"/>
    </row>
    <row r="1324" spans="5:5">
      <c r="E1324"/>
    </row>
    <row r="1325" spans="5:5">
      <c r="E1325"/>
    </row>
    <row r="1326" spans="5:5">
      <c r="E1326"/>
    </row>
    <row r="1327" spans="5:5">
      <c r="E1327"/>
    </row>
    <row r="1328" spans="5:5">
      <c r="E1328"/>
    </row>
    <row r="1329" spans="5:5">
      <c r="E1329"/>
    </row>
    <row r="1330" spans="5:5">
      <c r="E1330"/>
    </row>
    <row r="1331" spans="5:5">
      <c r="E1331"/>
    </row>
    <row r="1332" spans="5:5">
      <c r="E1332"/>
    </row>
    <row r="1333" spans="5:5">
      <c r="E1333"/>
    </row>
    <row r="1334" spans="5:5">
      <c r="E1334"/>
    </row>
    <row r="1335" spans="5:5">
      <c r="E1335"/>
    </row>
    <row r="1336" spans="5:5">
      <c r="E1336"/>
    </row>
    <row r="1337" spans="5:5">
      <c r="E1337"/>
    </row>
    <row r="1338" spans="5:5">
      <c r="E1338"/>
    </row>
    <row r="1339" spans="5:5">
      <c r="E1339"/>
    </row>
    <row r="1340" spans="5:5">
      <c r="E1340"/>
    </row>
    <row r="1341" spans="5:5">
      <c r="E1341"/>
    </row>
    <row r="1342" spans="5:5">
      <c r="E1342"/>
    </row>
    <row r="1343" spans="5:5">
      <c r="E1343"/>
    </row>
    <row r="1344" spans="5:5">
      <c r="E1344"/>
    </row>
    <row r="1345" spans="5:5">
      <c r="E1345"/>
    </row>
    <row r="1346" spans="5:5">
      <c r="E1346"/>
    </row>
    <row r="1347" spans="5:5">
      <c r="E1347"/>
    </row>
    <row r="1348" spans="5:5">
      <c r="E1348"/>
    </row>
    <row r="1349" spans="5:5">
      <c r="E1349"/>
    </row>
    <row r="1350" spans="5:5">
      <c r="E1350"/>
    </row>
    <row r="1351" spans="5:5">
      <c r="E1351"/>
    </row>
    <row r="1352" spans="5:5">
      <c r="E1352"/>
    </row>
    <row r="1353" spans="5:5">
      <c r="E1353"/>
    </row>
    <row r="1354" spans="5:5">
      <c r="E1354"/>
    </row>
    <row r="1355" spans="5:5">
      <c r="E1355"/>
    </row>
    <row r="1356" spans="5:5">
      <c r="E1356"/>
    </row>
    <row r="1357" spans="5:5">
      <c r="E1357"/>
    </row>
    <row r="1358" spans="5:5">
      <c r="E1358"/>
    </row>
    <row r="1359" spans="5:5">
      <c r="E1359"/>
    </row>
    <row r="1360" spans="5:5">
      <c r="E1360"/>
    </row>
    <row r="1361" spans="5:5">
      <c r="E1361"/>
    </row>
    <row r="1362" spans="5:5">
      <c r="E1362"/>
    </row>
    <row r="1363" spans="5:5">
      <c r="E1363"/>
    </row>
    <row r="1364" spans="5:5">
      <c r="E1364"/>
    </row>
    <row r="1365" spans="5:5">
      <c r="E1365"/>
    </row>
    <row r="1366" spans="5:5">
      <c r="E1366"/>
    </row>
    <row r="1367" spans="5:5">
      <c r="E1367"/>
    </row>
    <row r="1368" spans="5:5">
      <c r="E1368"/>
    </row>
    <row r="1369" spans="5:5">
      <c r="E1369"/>
    </row>
    <row r="1370" spans="5:5">
      <c r="E1370"/>
    </row>
    <row r="1371" spans="5:5">
      <c r="E1371"/>
    </row>
    <row r="1372" spans="5:5">
      <c r="E1372"/>
    </row>
    <row r="1373" spans="5:5">
      <c r="E1373"/>
    </row>
    <row r="1374" spans="5:5">
      <c r="E1374"/>
    </row>
    <row r="1375" spans="5:5">
      <c r="E1375"/>
    </row>
    <row r="1376" spans="5:5">
      <c r="E1376"/>
    </row>
    <row r="1377" spans="5:5">
      <c r="E1377"/>
    </row>
    <row r="1378" spans="5:5">
      <c r="E1378"/>
    </row>
    <row r="1379" spans="5:5">
      <c r="E1379"/>
    </row>
    <row r="1380" spans="5:5">
      <c r="E1380"/>
    </row>
    <row r="1381" spans="5:5">
      <c r="E1381"/>
    </row>
    <row r="1382" spans="5:5">
      <c r="E1382"/>
    </row>
    <row r="1383" spans="5:5">
      <c r="E1383"/>
    </row>
    <row r="1384" spans="5:5">
      <c r="E1384"/>
    </row>
    <row r="1385" spans="5:5">
      <c r="E1385"/>
    </row>
    <row r="1386" spans="5:5">
      <c r="E1386"/>
    </row>
    <row r="1387" spans="5:5">
      <c r="E1387"/>
    </row>
    <row r="1388" spans="5:5">
      <c r="E1388"/>
    </row>
    <row r="1389" spans="5:5">
      <c r="E1389"/>
    </row>
    <row r="1390" spans="5:5">
      <c r="E1390"/>
    </row>
    <row r="1391" spans="5:5">
      <c r="E1391"/>
    </row>
    <row r="1392" spans="5:5">
      <c r="E1392"/>
    </row>
    <row r="1393" spans="5:5">
      <c r="E1393"/>
    </row>
    <row r="1394" spans="5:5">
      <c r="E1394"/>
    </row>
    <row r="1395" spans="5:5">
      <c r="E1395"/>
    </row>
    <row r="1396" spans="5:5">
      <c r="E1396"/>
    </row>
    <row r="1397" spans="5:5">
      <c r="E1397"/>
    </row>
    <row r="1398" spans="5:5">
      <c r="E1398"/>
    </row>
    <row r="1399" spans="5:5">
      <c r="E1399"/>
    </row>
    <row r="1400" spans="5:5">
      <c r="E1400"/>
    </row>
    <row r="1401" spans="5:5">
      <c r="E1401"/>
    </row>
    <row r="1402" spans="5:5">
      <c r="E1402"/>
    </row>
    <row r="1403" spans="5:5">
      <c r="E1403"/>
    </row>
    <row r="1404" spans="5:5">
      <c r="E1404"/>
    </row>
    <row r="1405" spans="5:5">
      <c r="E1405"/>
    </row>
    <row r="1406" spans="5:5">
      <c r="E1406"/>
    </row>
    <row r="1407" spans="5:5">
      <c r="E1407"/>
    </row>
    <row r="1408" spans="5:5">
      <c r="E1408"/>
    </row>
    <row r="1409" spans="5:5">
      <c r="E1409"/>
    </row>
    <row r="1410" spans="5:5">
      <c r="E1410"/>
    </row>
    <row r="1411" spans="5:5">
      <c r="E1411"/>
    </row>
    <row r="1412" spans="5:5">
      <c r="E1412"/>
    </row>
    <row r="1413" spans="5:5">
      <c r="E1413"/>
    </row>
    <row r="1414" spans="5:5">
      <c r="E1414"/>
    </row>
    <row r="1415" spans="5:5">
      <c r="E1415"/>
    </row>
    <row r="1416" spans="5:5">
      <c r="E1416"/>
    </row>
    <row r="1417" spans="5:5">
      <c r="E1417"/>
    </row>
    <row r="1418" spans="5:5">
      <c r="E1418"/>
    </row>
    <row r="1419" spans="5:5">
      <c r="E1419"/>
    </row>
    <row r="1420" spans="5:5">
      <c r="E1420"/>
    </row>
    <row r="1421" spans="5:5">
      <c r="E1421"/>
    </row>
    <row r="1422" spans="5:5">
      <c r="E1422"/>
    </row>
    <row r="1423" spans="5:5">
      <c r="E1423"/>
    </row>
    <row r="1424" spans="5:5">
      <c r="E1424"/>
    </row>
    <row r="1425" spans="5:5">
      <c r="E1425"/>
    </row>
    <row r="1426" spans="5:5">
      <c r="E1426"/>
    </row>
    <row r="1427" spans="5:5">
      <c r="E1427"/>
    </row>
    <row r="1428" spans="5:5">
      <c r="E1428"/>
    </row>
    <row r="1429" spans="5:5">
      <c r="E1429"/>
    </row>
    <row r="1430" spans="5:5">
      <c r="E1430"/>
    </row>
    <row r="1431" spans="5:5">
      <c r="E1431"/>
    </row>
    <row r="1432" spans="5:5">
      <c r="E1432"/>
    </row>
    <row r="1433" spans="5:5">
      <c r="E1433"/>
    </row>
    <row r="1434" spans="5:5">
      <c r="E1434"/>
    </row>
    <row r="1435" spans="5:5">
      <c r="E1435"/>
    </row>
    <row r="1436" spans="5:5">
      <c r="E1436"/>
    </row>
    <row r="1437" spans="5:5">
      <c r="E1437"/>
    </row>
    <row r="1438" spans="5:5">
      <c r="E1438"/>
    </row>
    <row r="1439" spans="5:5">
      <c r="E1439"/>
    </row>
    <row r="1440" spans="5:5">
      <c r="E1440"/>
    </row>
    <row r="1441" spans="5:5">
      <c r="E1441"/>
    </row>
    <row r="1442" spans="5:5">
      <c r="E1442"/>
    </row>
    <row r="1443" spans="5:5">
      <c r="E1443"/>
    </row>
    <row r="1444" spans="5:5">
      <c r="E1444"/>
    </row>
    <row r="1445" spans="5:5">
      <c r="E1445"/>
    </row>
    <row r="1446" spans="5:5">
      <c r="E1446"/>
    </row>
    <row r="1447" spans="5:5">
      <c r="E1447"/>
    </row>
    <row r="1448" spans="5:5">
      <c r="E1448"/>
    </row>
    <row r="1449" spans="5:5">
      <c r="E1449"/>
    </row>
    <row r="1450" spans="5:5">
      <c r="E1450"/>
    </row>
    <row r="1451" spans="5:5">
      <c r="E1451"/>
    </row>
    <row r="1452" spans="5:5">
      <c r="E1452"/>
    </row>
    <row r="1453" spans="5:5">
      <c r="E1453"/>
    </row>
    <row r="1454" spans="5:5">
      <c r="E1454"/>
    </row>
    <row r="1455" spans="5:5">
      <c r="E1455"/>
    </row>
    <row r="1456" spans="5:5">
      <c r="E1456"/>
    </row>
    <row r="1457" spans="5:5">
      <c r="E1457"/>
    </row>
    <row r="1458" spans="5:5">
      <c r="E1458"/>
    </row>
    <row r="1459" spans="5:5">
      <c r="E1459"/>
    </row>
    <row r="1460" spans="5:5">
      <c r="E1460"/>
    </row>
    <row r="1461" spans="5:5">
      <c r="E1461"/>
    </row>
    <row r="1462" spans="5:5">
      <c r="E1462"/>
    </row>
    <row r="1463" spans="5:5">
      <c r="E1463"/>
    </row>
    <row r="1464" spans="5:5">
      <c r="E1464"/>
    </row>
    <row r="1465" spans="5:5">
      <c r="E1465"/>
    </row>
    <row r="1466" spans="5:5">
      <c r="E1466"/>
    </row>
    <row r="1467" spans="5:5">
      <c r="E1467"/>
    </row>
    <row r="1468" spans="5:5">
      <c r="E1468"/>
    </row>
    <row r="1469" spans="5:5">
      <c r="E1469"/>
    </row>
    <row r="1470" spans="5:5">
      <c r="E1470"/>
    </row>
    <row r="1471" spans="5:5">
      <c r="E1471"/>
    </row>
    <row r="1472" spans="5:5">
      <c r="E1472"/>
    </row>
    <row r="1473" spans="5:5">
      <c r="E1473"/>
    </row>
    <row r="1474" spans="5:5">
      <c r="E1474"/>
    </row>
    <row r="1475" spans="5:5">
      <c r="E1475"/>
    </row>
    <row r="1476" spans="5:5">
      <c r="E1476"/>
    </row>
    <row r="1477" spans="5:5">
      <c r="E1477"/>
    </row>
    <row r="1478" spans="5:5">
      <c r="E1478"/>
    </row>
    <row r="1479" spans="5:5">
      <c r="E1479"/>
    </row>
    <row r="1480" spans="5:5">
      <c r="E1480"/>
    </row>
    <row r="1481" spans="5:5">
      <c r="E1481"/>
    </row>
    <row r="1482" spans="5:5">
      <c r="E1482"/>
    </row>
    <row r="1483" spans="5:5">
      <c r="E1483"/>
    </row>
    <row r="1484" spans="5:5">
      <c r="E1484"/>
    </row>
    <row r="1485" spans="5:5">
      <c r="E1485"/>
    </row>
    <row r="1486" spans="5:5">
      <c r="E1486"/>
    </row>
    <row r="1487" spans="5:5">
      <c r="E1487"/>
    </row>
    <row r="1488" spans="5:5">
      <c r="E1488"/>
    </row>
    <row r="1489" spans="5:5">
      <c r="E1489"/>
    </row>
    <row r="1490" spans="5:5">
      <c r="E1490"/>
    </row>
    <row r="1491" spans="5:5">
      <c r="E1491"/>
    </row>
    <row r="1492" spans="5:5">
      <c r="E1492"/>
    </row>
    <row r="1493" spans="5:5">
      <c r="E1493"/>
    </row>
    <row r="1494" spans="5:5">
      <c r="E1494"/>
    </row>
    <row r="1495" spans="5:5">
      <c r="E1495"/>
    </row>
    <row r="1496" spans="5:5">
      <c r="E1496"/>
    </row>
    <row r="1497" spans="5:5">
      <c r="E1497"/>
    </row>
    <row r="1498" spans="5:5">
      <c r="E1498"/>
    </row>
    <row r="1499" spans="5:5">
      <c r="E1499"/>
    </row>
    <row r="1500" spans="5:5">
      <c r="E1500"/>
    </row>
    <row r="1501" spans="5:5">
      <c r="E1501"/>
    </row>
    <row r="1502" spans="5:5">
      <c r="E1502"/>
    </row>
    <row r="1503" spans="5:5">
      <c r="E1503"/>
    </row>
    <row r="1504" spans="5:5">
      <c r="E1504"/>
    </row>
    <row r="1505" spans="5:5">
      <c r="E1505"/>
    </row>
    <row r="1506" spans="5:5">
      <c r="E1506"/>
    </row>
    <row r="1507" spans="5:5">
      <c r="E1507"/>
    </row>
    <row r="1508" spans="5:5">
      <c r="E1508"/>
    </row>
    <row r="1509" spans="5:5">
      <c r="E1509"/>
    </row>
    <row r="1510" spans="5:5">
      <c r="E1510"/>
    </row>
    <row r="1511" spans="5:5">
      <c r="E1511"/>
    </row>
    <row r="1512" spans="5:5">
      <c r="E1512"/>
    </row>
    <row r="1513" spans="5:5">
      <c r="E1513"/>
    </row>
    <row r="1514" spans="5:5">
      <c r="E1514"/>
    </row>
    <row r="1515" spans="5:5">
      <c r="E1515"/>
    </row>
    <row r="1516" spans="5:5">
      <c r="E1516"/>
    </row>
    <row r="1517" spans="5:5">
      <c r="E1517"/>
    </row>
    <row r="1518" spans="5:5">
      <c r="E1518"/>
    </row>
    <row r="1519" spans="5:5">
      <c r="E1519"/>
    </row>
    <row r="1520" spans="5:5">
      <c r="E1520"/>
    </row>
    <row r="1521" spans="5:5">
      <c r="E1521"/>
    </row>
    <row r="1522" spans="5:5">
      <c r="E1522"/>
    </row>
    <row r="1523" spans="5:5">
      <c r="E1523"/>
    </row>
    <row r="1524" spans="5:5">
      <c r="E1524"/>
    </row>
    <row r="1525" spans="5:5">
      <c r="E1525"/>
    </row>
    <row r="1526" spans="5:5">
      <c r="E1526"/>
    </row>
    <row r="1527" spans="5:5">
      <c r="E1527"/>
    </row>
    <row r="1528" spans="5:5">
      <c r="E1528"/>
    </row>
    <row r="1529" spans="5:5">
      <c r="E1529"/>
    </row>
    <row r="1530" spans="5:5">
      <c r="E1530"/>
    </row>
    <row r="1531" spans="5:5">
      <c r="E1531"/>
    </row>
    <row r="1532" spans="5:5">
      <c r="E1532"/>
    </row>
    <row r="1533" spans="5:5">
      <c r="E1533"/>
    </row>
    <row r="1534" spans="5:5">
      <c r="E1534"/>
    </row>
    <row r="1535" spans="5:5">
      <c r="E1535"/>
    </row>
    <row r="1536" spans="5:5">
      <c r="E1536"/>
    </row>
    <row r="1537" spans="5:5">
      <c r="E1537"/>
    </row>
    <row r="1538" spans="5:5">
      <c r="E1538"/>
    </row>
    <row r="1539" spans="5:5">
      <c r="E1539"/>
    </row>
    <row r="1540" spans="5:5">
      <c r="E1540"/>
    </row>
    <row r="1541" spans="5:5">
      <c r="E1541"/>
    </row>
    <row r="1542" spans="5:5">
      <c r="E1542"/>
    </row>
    <row r="1543" spans="5:5">
      <c r="E1543"/>
    </row>
    <row r="1544" spans="5:5">
      <c r="E1544"/>
    </row>
    <row r="1545" spans="5:5">
      <c r="E1545"/>
    </row>
    <row r="1546" spans="5:5">
      <c r="E1546"/>
    </row>
    <row r="1547" spans="5:5">
      <c r="E1547"/>
    </row>
    <row r="1548" spans="5:5">
      <c r="E1548"/>
    </row>
    <row r="1549" spans="5:5">
      <c r="E1549"/>
    </row>
    <row r="1550" spans="5:5">
      <c r="E1550"/>
    </row>
    <row r="1551" spans="5:5">
      <c r="E1551"/>
    </row>
    <row r="1552" spans="5:5">
      <c r="E1552"/>
    </row>
    <row r="1553" spans="5:5">
      <c r="E1553"/>
    </row>
    <row r="1554" spans="5:5">
      <c r="E1554"/>
    </row>
    <row r="1555" spans="5:5">
      <c r="E1555"/>
    </row>
    <row r="1556" spans="5:5">
      <c r="E1556"/>
    </row>
    <row r="1557" spans="5:5">
      <c r="E1557"/>
    </row>
    <row r="1558" spans="5:5">
      <c r="E1558"/>
    </row>
    <row r="1559" spans="5:5">
      <c r="E1559"/>
    </row>
    <row r="1560" spans="5:5">
      <c r="E1560"/>
    </row>
    <row r="1561" spans="5:5">
      <c r="E1561"/>
    </row>
    <row r="1562" spans="5:5">
      <c r="E1562"/>
    </row>
    <row r="1563" spans="5:5">
      <c r="E1563"/>
    </row>
    <row r="1564" spans="5:5">
      <c r="E1564"/>
    </row>
    <row r="1565" spans="5:5">
      <c r="E1565"/>
    </row>
    <row r="1566" spans="5:5">
      <c r="E1566"/>
    </row>
    <row r="1567" spans="5:5">
      <c r="E1567"/>
    </row>
    <row r="1568" spans="5:5">
      <c r="E1568"/>
    </row>
    <row r="1569" spans="5:5">
      <c r="E1569"/>
    </row>
    <row r="1570" spans="5:5">
      <c r="E1570"/>
    </row>
    <row r="1571" spans="5:5">
      <c r="E1571"/>
    </row>
    <row r="1572" spans="5:5">
      <c r="E1572"/>
    </row>
    <row r="1573" spans="5:5">
      <c r="E1573"/>
    </row>
    <row r="1574" spans="5:5">
      <c r="E1574"/>
    </row>
    <row r="1575" spans="5:5">
      <c r="E1575"/>
    </row>
    <row r="1576" spans="5:5">
      <c r="E1576"/>
    </row>
    <row r="1577" spans="5:5">
      <c r="E1577"/>
    </row>
    <row r="1578" spans="5:5">
      <c r="E1578"/>
    </row>
    <row r="1579" spans="5:5">
      <c r="E1579"/>
    </row>
    <row r="1580" spans="5:5">
      <c r="E1580"/>
    </row>
    <row r="1581" spans="5:5">
      <c r="E1581"/>
    </row>
    <row r="1582" spans="5:5">
      <c r="E1582"/>
    </row>
    <row r="1583" spans="5:5">
      <c r="E1583"/>
    </row>
    <row r="1584" spans="5:5">
      <c r="E1584"/>
    </row>
    <row r="1585" spans="5:5">
      <c r="E1585"/>
    </row>
    <row r="1586" spans="5:5">
      <c r="E1586"/>
    </row>
    <row r="1587" spans="5:5">
      <c r="E1587"/>
    </row>
    <row r="1588" spans="5:5">
      <c r="E1588"/>
    </row>
    <row r="1589" spans="5:5">
      <c r="E1589"/>
    </row>
    <row r="1590" spans="5:5">
      <c r="E1590"/>
    </row>
    <row r="1591" spans="5:5">
      <c r="E1591"/>
    </row>
    <row r="1592" spans="5:5">
      <c r="E1592"/>
    </row>
    <row r="1593" spans="5:5">
      <c r="E1593"/>
    </row>
    <row r="1594" spans="5:5">
      <c r="E1594"/>
    </row>
    <row r="1595" spans="5:5">
      <c r="E1595"/>
    </row>
    <row r="1596" spans="5:5">
      <c r="E1596"/>
    </row>
    <row r="1597" spans="5:5">
      <c r="E1597"/>
    </row>
    <row r="1598" spans="5:5">
      <c r="E1598"/>
    </row>
    <row r="1599" spans="5:5">
      <c r="E1599"/>
    </row>
    <row r="1600" spans="5:5">
      <c r="E1600"/>
    </row>
    <row r="1601" spans="5:5">
      <c r="E1601"/>
    </row>
    <row r="1602" spans="5:5">
      <c r="E1602"/>
    </row>
    <row r="1603" spans="5:5">
      <c r="E1603"/>
    </row>
    <row r="1604" spans="5:5">
      <c r="E1604"/>
    </row>
    <row r="1605" spans="5:5">
      <c r="E1605"/>
    </row>
    <row r="1606" spans="5:5">
      <c r="E1606"/>
    </row>
    <row r="1607" spans="5:5">
      <c r="E1607"/>
    </row>
    <row r="1608" spans="5:5">
      <c r="E1608"/>
    </row>
    <row r="1609" spans="5:5">
      <c r="E1609"/>
    </row>
    <row r="1610" spans="5:5">
      <c r="E1610"/>
    </row>
    <row r="1611" spans="5:5">
      <c r="E1611"/>
    </row>
    <row r="1612" spans="5:5">
      <c r="E1612"/>
    </row>
    <row r="1613" spans="5:5">
      <c r="E1613"/>
    </row>
    <row r="1614" spans="5:5">
      <c r="E1614"/>
    </row>
    <row r="1615" spans="5:5">
      <c r="E1615"/>
    </row>
    <row r="1616" spans="5:5">
      <c r="E1616"/>
    </row>
    <row r="1617" spans="5:5">
      <c r="E1617"/>
    </row>
    <row r="1618" spans="5:5">
      <c r="E1618"/>
    </row>
    <row r="1619" spans="5:5">
      <c r="E1619"/>
    </row>
    <row r="1620" spans="5:5">
      <c r="E1620"/>
    </row>
    <row r="1621" spans="5:5">
      <c r="E1621"/>
    </row>
    <row r="1622" spans="5:5">
      <c r="E1622"/>
    </row>
    <row r="1623" spans="5:5">
      <c r="E1623"/>
    </row>
    <row r="1624" spans="5:5">
      <c r="E1624"/>
    </row>
    <row r="1625" spans="5:5">
      <c r="E1625"/>
    </row>
    <row r="1626" spans="5:5">
      <c r="E1626"/>
    </row>
    <row r="1627" spans="5:5">
      <c r="E1627"/>
    </row>
    <row r="1628" spans="5:5">
      <c r="E1628"/>
    </row>
    <row r="1629" spans="5:5">
      <c r="E1629"/>
    </row>
    <row r="1630" spans="5:5">
      <c r="E1630"/>
    </row>
    <row r="1631" spans="5:5">
      <c r="E1631"/>
    </row>
    <row r="1632" spans="5:5">
      <c r="E1632"/>
    </row>
    <row r="1633" spans="5:5">
      <c r="E1633"/>
    </row>
    <row r="1634" spans="5:5">
      <c r="E1634"/>
    </row>
    <row r="1635" spans="5:5">
      <c r="E1635"/>
    </row>
    <row r="1636" spans="5:5">
      <c r="E1636"/>
    </row>
    <row r="1637" spans="5:5">
      <c r="E1637"/>
    </row>
    <row r="1638" spans="5:5">
      <c r="E1638"/>
    </row>
    <row r="1639" spans="5:5">
      <c r="E1639"/>
    </row>
    <row r="1640" spans="5:5">
      <c r="E1640"/>
    </row>
    <row r="1641" spans="5:5">
      <c r="E1641"/>
    </row>
    <row r="1642" spans="5:5">
      <c r="E1642"/>
    </row>
    <row r="1643" spans="5:5">
      <c r="E1643"/>
    </row>
    <row r="1644" spans="5:5">
      <c r="E1644"/>
    </row>
    <row r="1645" spans="5:5">
      <c r="E1645"/>
    </row>
    <row r="1646" spans="5:5">
      <c r="E1646"/>
    </row>
    <row r="1647" spans="5:5">
      <c r="E1647"/>
    </row>
    <row r="1648" spans="5:5">
      <c r="E1648"/>
    </row>
    <row r="1649" spans="5:5">
      <c r="E1649"/>
    </row>
    <row r="1650" spans="5:5">
      <c r="E1650"/>
    </row>
    <row r="1651" spans="5:5">
      <c r="E1651"/>
    </row>
    <row r="1652" spans="5:5">
      <c r="E1652"/>
    </row>
    <row r="1653" spans="5:5">
      <c r="E1653"/>
    </row>
    <row r="1654" spans="5:5">
      <c r="E1654"/>
    </row>
    <row r="1655" spans="5:5">
      <c r="E1655"/>
    </row>
    <row r="1656" spans="5:5">
      <c r="E1656"/>
    </row>
    <row r="1657" spans="5:5">
      <c r="E1657"/>
    </row>
    <row r="1658" spans="5:5">
      <c r="E1658"/>
    </row>
    <row r="1659" spans="5:5">
      <c r="E1659"/>
    </row>
    <row r="1660" spans="5:5">
      <c r="E1660"/>
    </row>
    <row r="1661" spans="5:5">
      <c r="E1661"/>
    </row>
    <row r="1662" spans="5:5">
      <c r="E1662"/>
    </row>
    <row r="1663" spans="5:5">
      <c r="E1663"/>
    </row>
    <row r="1664" spans="5:5">
      <c r="E1664"/>
    </row>
    <row r="1665" spans="5:5">
      <c r="E1665"/>
    </row>
    <row r="1666" spans="5:5">
      <c r="E1666"/>
    </row>
    <row r="1667" spans="5:5">
      <c r="E1667"/>
    </row>
    <row r="1668" spans="5:5">
      <c r="E1668"/>
    </row>
    <row r="1669" spans="5:5">
      <c r="E1669"/>
    </row>
    <row r="1670" spans="5:5">
      <c r="E1670"/>
    </row>
    <row r="1671" spans="5:5">
      <c r="E1671"/>
    </row>
    <row r="1672" spans="5:5">
      <c r="E1672"/>
    </row>
    <row r="1673" spans="5:5">
      <c r="E1673"/>
    </row>
    <row r="1674" spans="5:5">
      <c r="E1674"/>
    </row>
    <row r="1675" spans="5:5">
      <c r="E1675"/>
    </row>
    <row r="1676" spans="5:5">
      <c r="E1676"/>
    </row>
    <row r="1677" spans="5:5">
      <c r="E1677"/>
    </row>
    <row r="1678" spans="5:5">
      <c r="E1678"/>
    </row>
    <row r="1679" spans="5:5">
      <c r="E1679"/>
    </row>
    <row r="1680" spans="5:5">
      <c r="E1680"/>
    </row>
    <row r="1681" spans="5:5">
      <c r="E1681"/>
    </row>
    <row r="1682" spans="5:5">
      <c r="E1682"/>
    </row>
    <row r="1683" spans="5:5">
      <c r="E1683"/>
    </row>
    <row r="1684" spans="5:5">
      <c r="E1684"/>
    </row>
    <row r="1685" spans="5:5">
      <c r="E1685"/>
    </row>
    <row r="1686" spans="5:5">
      <c r="E1686"/>
    </row>
    <row r="1687" spans="5:5">
      <c r="E1687"/>
    </row>
    <row r="1688" spans="5:5">
      <c r="E1688"/>
    </row>
    <row r="1689" spans="5:5">
      <c r="E1689"/>
    </row>
    <row r="1690" spans="5:5">
      <c r="E1690"/>
    </row>
    <row r="1691" spans="5:5">
      <c r="E1691"/>
    </row>
    <row r="1692" spans="5:5">
      <c r="E1692"/>
    </row>
    <row r="1693" spans="5:5">
      <c r="E1693"/>
    </row>
    <row r="1694" spans="5:5">
      <c r="E1694"/>
    </row>
    <row r="1695" spans="5:5">
      <c r="E1695"/>
    </row>
    <row r="1696" spans="5:5">
      <c r="E1696"/>
    </row>
    <row r="1697" spans="5:5">
      <c r="E1697"/>
    </row>
    <row r="1698" spans="5:5">
      <c r="E1698"/>
    </row>
    <row r="1699" spans="5:5">
      <c r="E1699"/>
    </row>
    <row r="1700" spans="5:5">
      <c r="E1700"/>
    </row>
    <row r="1701" spans="5:5">
      <c r="E1701"/>
    </row>
    <row r="1702" spans="5:5">
      <c r="E1702"/>
    </row>
    <row r="1703" spans="5:5">
      <c r="E1703"/>
    </row>
    <row r="1704" spans="5:5">
      <c r="E1704"/>
    </row>
    <row r="1705" spans="5:5">
      <c r="E1705"/>
    </row>
    <row r="1706" spans="5:5">
      <c r="E1706"/>
    </row>
    <row r="1707" spans="5:5">
      <c r="E1707"/>
    </row>
    <row r="1708" spans="5:5">
      <c r="E1708"/>
    </row>
    <row r="1709" spans="5:5">
      <c r="E1709"/>
    </row>
    <row r="1710" spans="5:5">
      <c r="E1710"/>
    </row>
    <row r="1711" spans="5:5">
      <c r="E1711"/>
    </row>
    <row r="1712" spans="5:5">
      <c r="E1712"/>
    </row>
    <row r="1713" spans="5:5">
      <c r="E1713"/>
    </row>
    <row r="1714" spans="5:5">
      <c r="E1714"/>
    </row>
    <row r="1715" spans="5:5">
      <c r="E1715"/>
    </row>
    <row r="1716" spans="5:5">
      <c r="E1716"/>
    </row>
    <row r="1717" spans="5:5">
      <c r="E1717"/>
    </row>
    <row r="1718" spans="5:5">
      <c r="E1718"/>
    </row>
    <row r="1719" spans="5:5">
      <c r="E1719"/>
    </row>
    <row r="1720" spans="5:5">
      <c r="E1720"/>
    </row>
    <row r="1721" spans="5:5">
      <c r="E1721"/>
    </row>
    <row r="1722" spans="5:5">
      <c r="E1722"/>
    </row>
    <row r="1723" spans="5:5">
      <c r="E1723"/>
    </row>
    <row r="1724" spans="5:5">
      <c r="E1724"/>
    </row>
    <row r="1725" spans="5:5">
      <c r="E1725"/>
    </row>
    <row r="1726" spans="5:5">
      <c r="E1726"/>
    </row>
    <row r="1727" spans="5:5">
      <c r="E1727"/>
    </row>
    <row r="1728" spans="5:5">
      <c r="E1728"/>
    </row>
    <row r="1729" spans="5:5">
      <c r="E1729"/>
    </row>
    <row r="1730" spans="5:5">
      <c r="E1730"/>
    </row>
    <row r="1731" spans="5:5">
      <c r="E1731"/>
    </row>
    <row r="1732" spans="5:5">
      <c r="E1732"/>
    </row>
    <row r="1733" spans="5:5">
      <c r="E1733"/>
    </row>
    <row r="1734" spans="5:5">
      <c r="E1734"/>
    </row>
    <row r="1735" spans="5:5">
      <c r="E1735"/>
    </row>
    <row r="1736" spans="5:5">
      <c r="E1736"/>
    </row>
    <row r="1737" spans="5:5">
      <c r="E1737"/>
    </row>
    <row r="1738" spans="5:5">
      <c r="E1738"/>
    </row>
    <row r="1739" spans="5:5">
      <c r="E1739"/>
    </row>
    <row r="1740" spans="5:5">
      <c r="E1740"/>
    </row>
    <row r="1741" spans="5:5">
      <c r="E1741"/>
    </row>
    <row r="1742" spans="5:5">
      <c r="E1742"/>
    </row>
    <row r="1743" spans="5:5">
      <c r="E1743"/>
    </row>
    <row r="1744" spans="5:5">
      <c r="E1744"/>
    </row>
    <row r="1745" spans="5:5">
      <c r="E1745"/>
    </row>
    <row r="1746" spans="5:5">
      <c r="E1746"/>
    </row>
    <row r="1747" spans="5:5">
      <c r="E1747"/>
    </row>
    <row r="1748" spans="5:5">
      <c r="E1748"/>
    </row>
    <row r="1749" spans="5:5">
      <c r="E1749"/>
    </row>
    <row r="1750" spans="5:5">
      <c r="E1750"/>
    </row>
    <row r="1751" spans="5:5">
      <c r="E1751"/>
    </row>
    <row r="1752" spans="5:5">
      <c r="E1752"/>
    </row>
    <row r="1753" spans="5:5">
      <c r="E1753"/>
    </row>
    <row r="1754" spans="5:5">
      <c r="E1754"/>
    </row>
    <row r="1755" spans="5:5">
      <c r="E1755"/>
    </row>
    <row r="1756" spans="5:5">
      <c r="E1756"/>
    </row>
    <row r="1757" spans="5:5">
      <c r="E1757"/>
    </row>
    <row r="1758" spans="5:5">
      <c r="E1758"/>
    </row>
    <row r="1759" spans="5:5">
      <c r="E1759"/>
    </row>
    <row r="1760" spans="5:5">
      <c r="E1760"/>
    </row>
    <row r="1761" spans="5:5">
      <c r="E1761"/>
    </row>
    <row r="1762" spans="5:5">
      <c r="E1762"/>
    </row>
    <row r="1763" spans="5:5">
      <c r="E1763"/>
    </row>
    <row r="1764" spans="5:5">
      <c r="E1764"/>
    </row>
    <row r="1765" spans="5:5">
      <c r="E1765"/>
    </row>
    <row r="1766" spans="5:5">
      <c r="E1766"/>
    </row>
    <row r="1767" spans="5:5">
      <c r="E1767"/>
    </row>
    <row r="1768" spans="5:5">
      <c r="E1768"/>
    </row>
    <row r="1769" spans="5:5">
      <c r="E1769"/>
    </row>
    <row r="1770" spans="5:5">
      <c r="E1770"/>
    </row>
    <row r="1771" spans="5:5">
      <c r="E1771"/>
    </row>
    <row r="1772" spans="5:5">
      <c r="E1772"/>
    </row>
    <row r="1773" spans="5:5">
      <c r="E1773"/>
    </row>
    <row r="1774" spans="5:5">
      <c r="E1774"/>
    </row>
    <row r="1775" spans="5:5">
      <c r="E1775"/>
    </row>
    <row r="1776" spans="5:5">
      <c r="E1776"/>
    </row>
    <row r="1777" spans="5:5">
      <c r="E1777"/>
    </row>
    <row r="1778" spans="5:5">
      <c r="E1778"/>
    </row>
    <row r="1779" spans="5:5">
      <c r="E1779"/>
    </row>
    <row r="1780" spans="5:5">
      <c r="E1780"/>
    </row>
    <row r="1781" spans="5:5">
      <c r="E1781"/>
    </row>
    <row r="1782" spans="5:5">
      <c r="E1782"/>
    </row>
    <row r="1783" spans="5:5">
      <c r="E1783"/>
    </row>
    <row r="1784" spans="5:5">
      <c r="E1784"/>
    </row>
    <row r="1785" spans="5:5">
      <c r="E1785"/>
    </row>
    <row r="1786" spans="5:5">
      <c r="E1786"/>
    </row>
    <row r="1787" spans="5:5">
      <c r="E1787"/>
    </row>
    <row r="1788" spans="5:5">
      <c r="E1788"/>
    </row>
    <row r="1789" spans="5:5">
      <c r="E1789"/>
    </row>
    <row r="1790" spans="5:5">
      <c r="E1790"/>
    </row>
    <row r="1791" spans="5:5">
      <c r="E1791"/>
    </row>
    <row r="1792" spans="5:5">
      <c r="E1792"/>
    </row>
    <row r="1793" spans="5:5">
      <c r="E1793"/>
    </row>
    <row r="1794" spans="5:5">
      <c r="E1794"/>
    </row>
    <row r="1795" spans="5:5">
      <c r="E1795"/>
    </row>
    <row r="1796" spans="5:5">
      <c r="E1796"/>
    </row>
    <row r="1797" spans="5:5">
      <c r="E1797"/>
    </row>
    <row r="1798" spans="5:5">
      <c r="E1798"/>
    </row>
    <row r="1799" spans="5:5">
      <c r="E1799"/>
    </row>
    <row r="1800" spans="5:5">
      <c r="E1800"/>
    </row>
    <row r="1801" spans="5:5">
      <c r="E1801"/>
    </row>
    <row r="1802" spans="5:5">
      <c r="E1802"/>
    </row>
    <row r="1803" spans="5:5">
      <c r="E1803"/>
    </row>
    <row r="1804" spans="5:5">
      <c r="E1804"/>
    </row>
    <row r="1805" spans="5:5">
      <c r="E1805"/>
    </row>
    <row r="1806" spans="5:5">
      <c r="E1806"/>
    </row>
    <row r="1807" spans="5:5">
      <c r="E1807"/>
    </row>
    <row r="1808" spans="5:5">
      <c r="E1808"/>
    </row>
    <row r="1809" spans="5:5">
      <c r="E1809"/>
    </row>
    <row r="1810" spans="5:5">
      <c r="E1810"/>
    </row>
    <row r="1811" spans="5:5">
      <c r="E1811"/>
    </row>
    <row r="1812" spans="5:5">
      <c r="E1812"/>
    </row>
    <row r="1813" spans="5:5">
      <c r="E1813"/>
    </row>
    <row r="1814" spans="5:5">
      <c r="E1814"/>
    </row>
    <row r="1815" spans="5:5">
      <c r="E1815"/>
    </row>
    <row r="1816" spans="5:5">
      <c r="E1816"/>
    </row>
    <row r="1817" spans="5:5">
      <c r="E1817"/>
    </row>
    <row r="1818" spans="5:5">
      <c r="E1818"/>
    </row>
    <row r="1819" spans="5:5">
      <c r="E1819"/>
    </row>
    <row r="1820" spans="5:5">
      <c r="E1820"/>
    </row>
    <row r="1821" spans="5:5">
      <c r="E1821"/>
    </row>
    <row r="1822" spans="5:5">
      <c r="E1822"/>
    </row>
    <row r="1823" spans="5:5">
      <c r="E1823"/>
    </row>
    <row r="1824" spans="5:5">
      <c r="E1824"/>
    </row>
    <row r="1825" spans="5:5">
      <c r="E1825"/>
    </row>
    <row r="1826" spans="5:5">
      <c r="E1826"/>
    </row>
    <row r="1827" spans="5:5">
      <c r="E1827"/>
    </row>
    <row r="1828" spans="5:5">
      <c r="E1828"/>
    </row>
    <row r="1829" spans="5:5">
      <c r="E1829"/>
    </row>
    <row r="1830" spans="5:5">
      <c r="E1830"/>
    </row>
    <row r="1831" spans="5:5">
      <c r="E1831"/>
    </row>
    <row r="1832" spans="5:5">
      <c r="E1832"/>
    </row>
    <row r="1833" spans="5:5">
      <c r="E1833"/>
    </row>
    <row r="1834" spans="5:5">
      <c r="E1834"/>
    </row>
    <row r="1835" spans="5:5">
      <c r="E1835"/>
    </row>
    <row r="1836" spans="5:5">
      <c r="E1836"/>
    </row>
    <row r="1837" spans="5:5">
      <c r="E1837"/>
    </row>
    <row r="1838" spans="5:5">
      <c r="E1838"/>
    </row>
    <row r="1839" spans="5:5">
      <c r="E1839"/>
    </row>
    <row r="1840" spans="5:5">
      <c r="E1840"/>
    </row>
    <row r="1841" spans="5:5">
      <c r="E1841"/>
    </row>
    <row r="1842" spans="5:5">
      <c r="E1842"/>
    </row>
    <row r="1843" spans="5:5">
      <c r="E1843"/>
    </row>
    <row r="1844" spans="5:5">
      <c r="E1844"/>
    </row>
    <row r="1845" spans="5:5">
      <c r="E1845"/>
    </row>
    <row r="1846" spans="5:5">
      <c r="E1846"/>
    </row>
    <row r="1847" spans="5:5">
      <c r="E1847"/>
    </row>
    <row r="1848" spans="5:5">
      <c r="E1848"/>
    </row>
    <row r="1849" spans="5:5">
      <c r="E1849"/>
    </row>
    <row r="1850" spans="5:5">
      <c r="E1850"/>
    </row>
    <row r="1851" spans="5:5">
      <c r="E1851"/>
    </row>
    <row r="1852" spans="5:5">
      <c r="E1852"/>
    </row>
    <row r="1853" spans="5:5">
      <c r="E1853"/>
    </row>
    <row r="1854" spans="5:5">
      <c r="E1854"/>
    </row>
    <row r="1855" spans="5:5">
      <c r="E1855"/>
    </row>
    <row r="1856" spans="5:5">
      <c r="E1856"/>
    </row>
    <row r="1857" spans="5:5">
      <c r="E1857"/>
    </row>
    <row r="1858" spans="5:5">
      <c r="E1858"/>
    </row>
    <row r="1859" spans="5:5">
      <c r="E1859"/>
    </row>
    <row r="1860" spans="5:5">
      <c r="E1860"/>
    </row>
    <row r="1861" spans="5:5">
      <c r="E1861"/>
    </row>
    <row r="1862" spans="5:5">
      <c r="E1862"/>
    </row>
    <row r="1863" spans="5:5">
      <c r="E1863"/>
    </row>
    <row r="1864" spans="5:5">
      <c r="E1864"/>
    </row>
    <row r="1865" spans="5:5">
      <c r="E1865"/>
    </row>
    <row r="1866" spans="5:5">
      <c r="E1866"/>
    </row>
    <row r="1867" spans="5:5">
      <c r="E1867"/>
    </row>
    <row r="1868" spans="5:5">
      <c r="E1868"/>
    </row>
    <row r="1869" spans="5:5">
      <c r="E1869"/>
    </row>
    <row r="1870" spans="5:5">
      <c r="E1870"/>
    </row>
    <row r="1871" spans="5:5">
      <c r="E1871"/>
    </row>
    <row r="1872" spans="5:5">
      <c r="E1872"/>
    </row>
    <row r="1873" spans="5:5">
      <c r="E1873"/>
    </row>
    <row r="1874" spans="5:5">
      <c r="E1874"/>
    </row>
    <row r="1875" spans="5:5">
      <c r="E1875"/>
    </row>
    <row r="1876" spans="5:5">
      <c r="E1876"/>
    </row>
    <row r="1877" spans="5:5">
      <c r="E1877"/>
    </row>
    <row r="1878" spans="5:5">
      <c r="E1878"/>
    </row>
    <row r="1879" spans="5:5">
      <c r="E1879"/>
    </row>
    <row r="1880" spans="5:5">
      <c r="E1880"/>
    </row>
    <row r="1881" spans="5:5">
      <c r="E1881"/>
    </row>
    <row r="1882" spans="5:5">
      <c r="E1882"/>
    </row>
    <row r="1883" spans="5:5">
      <c r="E1883"/>
    </row>
    <row r="1884" spans="5:5">
      <c r="E1884"/>
    </row>
    <row r="1885" spans="5:5">
      <c r="E1885"/>
    </row>
    <row r="1886" spans="5:5">
      <c r="E1886"/>
    </row>
    <row r="1887" spans="5:5">
      <c r="E1887"/>
    </row>
    <row r="1888" spans="5:5">
      <c r="E1888"/>
    </row>
    <row r="1889" spans="5:5">
      <c r="E1889"/>
    </row>
    <row r="1890" spans="5:5">
      <c r="E1890"/>
    </row>
    <row r="1891" spans="5:5">
      <c r="E1891"/>
    </row>
    <row r="1892" spans="5:5">
      <c r="E1892"/>
    </row>
    <row r="1893" spans="5:5">
      <c r="E1893"/>
    </row>
    <row r="1894" spans="5:5">
      <c r="E1894"/>
    </row>
    <row r="1895" spans="5:5">
      <c r="E1895"/>
    </row>
    <row r="1896" spans="5:5">
      <c r="E1896"/>
    </row>
    <row r="1897" spans="5:5">
      <c r="E1897"/>
    </row>
    <row r="1898" spans="5:5">
      <c r="E1898"/>
    </row>
    <row r="1899" spans="5:5">
      <c r="E1899"/>
    </row>
    <row r="1900" spans="5:5">
      <c r="E1900"/>
    </row>
    <row r="1901" spans="5:5">
      <c r="E1901"/>
    </row>
    <row r="1902" spans="5:5">
      <c r="E1902"/>
    </row>
    <row r="1903" spans="5:5">
      <c r="E1903"/>
    </row>
    <row r="1904" spans="5:5">
      <c r="E1904"/>
    </row>
    <row r="1905" spans="5:5">
      <c r="E1905"/>
    </row>
    <row r="1906" spans="5:5">
      <c r="E1906"/>
    </row>
    <row r="1907" spans="5:5">
      <c r="E1907"/>
    </row>
    <row r="1908" spans="5:5">
      <c r="E1908"/>
    </row>
    <row r="1909" spans="5:5">
      <c r="E1909"/>
    </row>
    <row r="1910" spans="5:5">
      <c r="E1910"/>
    </row>
    <row r="1911" spans="5:5">
      <c r="E1911"/>
    </row>
    <row r="1912" spans="5:5">
      <c r="E1912"/>
    </row>
    <row r="1913" spans="5:5">
      <c r="E1913"/>
    </row>
    <row r="1914" spans="5:5">
      <c r="E1914"/>
    </row>
    <row r="1915" spans="5:5">
      <c r="E1915"/>
    </row>
    <row r="1916" spans="5:5">
      <c r="E1916"/>
    </row>
    <row r="1917" spans="5:5">
      <c r="E1917"/>
    </row>
    <row r="1918" spans="5:5">
      <c r="E1918"/>
    </row>
    <row r="1919" spans="5:5">
      <c r="E1919"/>
    </row>
    <row r="1920" spans="5:5">
      <c r="E1920"/>
    </row>
    <row r="1921" spans="5:5">
      <c r="E1921"/>
    </row>
    <row r="1922" spans="5:5">
      <c r="E1922"/>
    </row>
    <row r="1923" spans="5:5">
      <c r="E1923"/>
    </row>
    <row r="1924" spans="5:5">
      <c r="E1924"/>
    </row>
    <row r="1925" spans="5:5">
      <c r="E1925"/>
    </row>
    <row r="1926" spans="5:5">
      <c r="E1926"/>
    </row>
    <row r="1927" spans="5:5">
      <c r="E1927"/>
    </row>
    <row r="1928" spans="5:5">
      <c r="E1928"/>
    </row>
    <row r="1929" spans="5:5">
      <c r="E1929"/>
    </row>
    <row r="1930" spans="5:5">
      <c r="E1930"/>
    </row>
    <row r="1931" spans="5:5">
      <c r="E1931"/>
    </row>
    <row r="1932" spans="5:5">
      <c r="E1932"/>
    </row>
    <row r="1933" spans="5:5">
      <c r="E1933"/>
    </row>
    <row r="1934" spans="5:5">
      <c r="E1934"/>
    </row>
    <row r="1935" spans="5:5">
      <c r="E1935"/>
    </row>
    <row r="1936" spans="5:5">
      <c r="E1936"/>
    </row>
    <row r="1937" spans="5:5">
      <c r="E1937"/>
    </row>
    <row r="1938" spans="5:5">
      <c r="E1938"/>
    </row>
    <row r="1939" spans="5:5">
      <c r="E1939"/>
    </row>
    <row r="1940" spans="5:5">
      <c r="E1940"/>
    </row>
    <row r="1941" spans="5:5">
      <c r="E1941"/>
    </row>
    <row r="1942" spans="5:5">
      <c r="E1942"/>
    </row>
    <row r="1943" spans="5:5">
      <c r="E1943"/>
    </row>
    <row r="1944" spans="5:5">
      <c r="E1944"/>
    </row>
    <row r="1945" spans="5:5">
      <c r="E1945"/>
    </row>
    <row r="1946" spans="5:5">
      <c r="E1946"/>
    </row>
    <row r="1947" spans="5:5">
      <c r="E1947"/>
    </row>
    <row r="1948" spans="5:5">
      <c r="E1948"/>
    </row>
    <row r="1949" spans="5:5">
      <c r="E1949"/>
    </row>
    <row r="1950" spans="5:5">
      <c r="E1950"/>
    </row>
    <row r="1951" spans="5:5">
      <c r="E1951"/>
    </row>
    <row r="1952" spans="5:5">
      <c r="E1952"/>
    </row>
    <row r="1953" spans="5:5">
      <c r="E1953"/>
    </row>
    <row r="1954" spans="5:5">
      <c r="E1954"/>
    </row>
    <row r="1955" spans="5:5">
      <c r="E1955"/>
    </row>
    <row r="1956" spans="5:5">
      <c r="E1956"/>
    </row>
    <row r="1957" spans="5:5">
      <c r="E1957"/>
    </row>
    <row r="1958" spans="5:5">
      <c r="E1958"/>
    </row>
    <row r="1959" spans="5:5">
      <c r="E1959"/>
    </row>
    <row r="1960" spans="5:5">
      <c r="E1960"/>
    </row>
    <row r="1961" spans="5:5">
      <c r="E1961"/>
    </row>
    <row r="1962" spans="5:5">
      <c r="E1962"/>
    </row>
    <row r="1963" spans="5:5">
      <c r="E1963"/>
    </row>
    <row r="1964" spans="5:5">
      <c r="E1964"/>
    </row>
    <row r="1965" spans="5:5">
      <c r="E1965"/>
    </row>
    <row r="1966" spans="5:5">
      <c r="E1966"/>
    </row>
    <row r="1967" spans="5:5">
      <c r="E1967"/>
    </row>
    <row r="1968" spans="5:5">
      <c r="E1968"/>
    </row>
    <row r="1969" spans="5:5">
      <c r="E1969"/>
    </row>
    <row r="1970" spans="5:5">
      <c r="E1970"/>
    </row>
    <row r="1971" spans="5:5">
      <c r="E1971"/>
    </row>
    <row r="1972" spans="5:5">
      <c r="E1972"/>
    </row>
    <row r="1973" spans="5:5">
      <c r="E1973"/>
    </row>
    <row r="1974" spans="5:5">
      <c r="E1974"/>
    </row>
    <row r="1975" spans="5:5">
      <c r="E1975"/>
    </row>
    <row r="1976" spans="5:5">
      <c r="E1976"/>
    </row>
    <row r="1977" spans="5:5">
      <c r="E1977"/>
    </row>
    <row r="1978" spans="5:5">
      <c r="E1978"/>
    </row>
    <row r="1979" spans="5:5">
      <c r="E1979"/>
    </row>
    <row r="1980" spans="5:5">
      <c r="E1980"/>
    </row>
    <row r="1981" spans="5:5">
      <c r="E1981"/>
    </row>
    <row r="1982" spans="5:5">
      <c r="E1982"/>
    </row>
    <row r="1983" spans="5:5">
      <c r="E1983"/>
    </row>
    <row r="1984" spans="5:5">
      <c r="E1984"/>
    </row>
    <row r="1985" spans="5:5">
      <c r="E1985"/>
    </row>
    <row r="1986" spans="5:5">
      <c r="E1986"/>
    </row>
    <row r="1987" spans="5:5">
      <c r="E1987"/>
    </row>
    <row r="1988" spans="5:5">
      <c r="E1988"/>
    </row>
    <row r="1989" spans="5:5">
      <c r="E1989"/>
    </row>
    <row r="1990" spans="5:5">
      <c r="E1990"/>
    </row>
    <row r="1991" spans="5:5">
      <c r="E1991"/>
    </row>
    <row r="1992" spans="5:5">
      <c r="E1992"/>
    </row>
    <row r="1993" spans="5:5">
      <c r="E1993"/>
    </row>
    <row r="1994" spans="5:5">
      <c r="E1994"/>
    </row>
    <row r="1995" spans="5:5">
      <c r="E1995"/>
    </row>
    <row r="1996" spans="5:5">
      <c r="E1996"/>
    </row>
    <row r="1997" spans="5:5">
      <c r="E1997"/>
    </row>
    <row r="1998" spans="5:5">
      <c r="E1998"/>
    </row>
    <row r="1999" spans="5:5">
      <c r="E1999"/>
    </row>
    <row r="2000" spans="5:5">
      <c r="E2000"/>
    </row>
    <row r="2001" spans="5:5">
      <c r="E2001"/>
    </row>
    <row r="2002" spans="5:5">
      <c r="E2002"/>
    </row>
    <row r="2003" spans="5:5">
      <c r="E2003"/>
    </row>
    <row r="2004" spans="5:5">
      <c r="E2004"/>
    </row>
    <row r="2005" spans="5:5">
      <c r="E2005"/>
    </row>
    <row r="2006" spans="5:5">
      <c r="E2006"/>
    </row>
    <row r="2007" spans="5:5">
      <c r="E2007"/>
    </row>
    <row r="2008" spans="5:5">
      <c r="E2008"/>
    </row>
    <row r="2009" spans="5:5">
      <c r="E2009"/>
    </row>
    <row r="2010" spans="5:5">
      <c r="E2010"/>
    </row>
    <row r="2011" spans="5:5">
      <c r="E2011"/>
    </row>
    <row r="2012" spans="5:5">
      <c r="E2012"/>
    </row>
    <row r="2013" spans="5:5">
      <c r="E2013"/>
    </row>
    <row r="2014" spans="5:5">
      <c r="E2014"/>
    </row>
    <row r="2015" spans="5:5">
      <c r="E2015"/>
    </row>
    <row r="2016" spans="5:5">
      <c r="E2016"/>
    </row>
    <row r="2017" spans="5:5">
      <c r="E2017"/>
    </row>
    <row r="2018" spans="5:5">
      <c r="E2018"/>
    </row>
    <row r="2019" spans="5:5">
      <c r="E2019"/>
    </row>
    <row r="2020" spans="5:5">
      <c r="E2020"/>
    </row>
    <row r="2021" spans="5:5">
      <c r="E2021"/>
    </row>
    <row r="2022" spans="5:5">
      <c r="E2022"/>
    </row>
    <row r="2023" spans="5:5">
      <c r="E2023"/>
    </row>
    <row r="2024" spans="5:5">
      <c r="E2024"/>
    </row>
    <row r="2025" spans="5:5">
      <c r="E2025"/>
    </row>
    <row r="2026" spans="5:5">
      <c r="E2026"/>
    </row>
    <row r="2027" spans="5:5">
      <c r="E2027"/>
    </row>
    <row r="2028" spans="5:5">
      <c r="E2028"/>
    </row>
    <row r="2029" spans="5:5">
      <c r="E2029"/>
    </row>
    <row r="2030" spans="5:5">
      <c r="E2030"/>
    </row>
    <row r="2031" spans="5:5">
      <c r="E2031"/>
    </row>
    <row r="2032" spans="5:5">
      <c r="E2032"/>
    </row>
    <row r="2033" spans="5:5">
      <c r="E2033"/>
    </row>
    <row r="2034" spans="5:5">
      <c r="E2034"/>
    </row>
    <row r="2035" spans="5:5">
      <c r="E2035"/>
    </row>
    <row r="2036" spans="5:5">
      <c r="E2036"/>
    </row>
    <row r="2037" spans="5:5">
      <c r="E2037"/>
    </row>
    <row r="2038" spans="5:5">
      <c r="E2038"/>
    </row>
    <row r="2039" spans="5:5">
      <c r="E2039"/>
    </row>
    <row r="2040" spans="5:5">
      <c r="E2040"/>
    </row>
    <row r="2041" spans="5:5">
      <c r="E2041"/>
    </row>
    <row r="2042" spans="5:5">
      <c r="E2042"/>
    </row>
    <row r="2043" spans="5:5">
      <c r="E2043"/>
    </row>
    <row r="2044" spans="5:5">
      <c r="E2044"/>
    </row>
    <row r="2045" spans="5:5">
      <c r="E2045"/>
    </row>
    <row r="2046" spans="5:5">
      <c r="E2046"/>
    </row>
    <row r="2047" spans="5:5">
      <c r="E2047"/>
    </row>
    <row r="2048" spans="5:5">
      <c r="E2048"/>
    </row>
    <row r="2049" spans="5:5">
      <c r="E2049"/>
    </row>
    <row r="2050" spans="5:5">
      <c r="E2050"/>
    </row>
    <row r="2051" spans="5:5">
      <c r="E2051"/>
    </row>
    <row r="2052" spans="5:5">
      <c r="E2052"/>
    </row>
    <row r="2053" spans="5:5">
      <c r="E2053"/>
    </row>
    <row r="2054" spans="5:5">
      <c r="E2054"/>
    </row>
    <row r="2055" spans="5:5">
      <c r="E2055"/>
    </row>
    <row r="2056" spans="5:5">
      <c r="E2056"/>
    </row>
    <row r="2057" spans="5:5">
      <c r="E2057"/>
    </row>
    <row r="2058" spans="5:5">
      <c r="E2058"/>
    </row>
    <row r="2059" spans="5:5">
      <c r="E2059"/>
    </row>
    <row r="2060" spans="5:5">
      <c r="E2060"/>
    </row>
    <row r="2061" spans="5:5">
      <c r="E2061"/>
    </row>
    <row r="2062" spans="5:5">
      <c r="E2062"/>
    </row>
    <row r="2063" spans="5:5">
      <c r="E2063"/>
    </row>
    <row r="2064" spans="5:5">
      <c r="E2064"/>
    </row>
    <row r="2065" spans="5:5">
      <c r="E2065"/>
    </row>
    <row r="2066" spans="5:5">
      <c r="E2066"/>
    </row>
    <row r="2067" spans="5:5">
      <c r="E2067"/>
    </row>
    <row r="2068" spans="5:5">
      <c r="E2068"/>
    </row>
    <row r="2069" spans="5:5">
      <c r="E2069"/>
    </row>
    <row r="2070" spans="5:5">
      <c r="E2070"/>
    </row>
    <row r="2071" spans="5:5">
      <c r="E2071"/>
    </row>
    <row r="2072" spans="5:5">
      <c r="E2072"/>
    </row>
    <row r="2073" spans="5:5">
      <c r="E2073"/>
    </row>
    <row r="2074" spans="5:5">
      <c r="E2074"/>
    </row>
    <row r="2075" spans="5:5">
      <c r="E2075"/>
    </row>
    <row r="2076" spans="5:5">
      <c r="E2076"/>
    </row>
    <row r="2077" spans="5:5">
      <c r="E2077"/>
    </row>
    <row r="2078" spans="5:5">
      <c r="E2078"/>
    </row>
    <row r="2079" spans="5:5">
      <c r="E2079"/>
    </row>
    <row r="2080" spans="5:5">
      <c r="E2080"/>
    </row>
    <row r="2081" spans="5:5">
      <c r="E2081"/>
    </row>
    <row r="2082" spans="5:5">
      <c r="E2082"/>
    </row>
    <row r="2083" spans="5:5">
      <c r="E2083"/>
    </row>
    <row r="2084" spans="5:5">
      <c r="E2084"/>
    </row>
    <row r="2085" spans="5:5">
      <c r="E2085"/>
    </row>
    <row r="2086" spans="5:5">
      <c r="E2086"/>
    </row>
    <row r="2087" spans="5:5">
      <c r="E2087"/>
    </row>
    <row r="2088" spans="5:5">
      <c r="E2088"/>
    </row>
    <row r="2089" spans="5:5">
      <c r="E2089"/>
    </row>
    <row r="2090" spans="5:5">
      <c r="E2090"/>
    </row>
    <row r="2091" spans="5:5">
      <c r="E2091"/>
    </row>
    <row r="2092" spans="5:5">
      <c r="E2092"/>
    </row>
    <row r="2093" spans="5:5">
      <c r="E2093"/>
    </row>
    <row r="2094" spans="5:5">
      <c r="E2094"/>
    </row>
    <row r="2095" spans="5:5">
      <c r="E2095"/>
    </row>
    <row r="2096" spans="5:5">
      <c r="E2096"/>
    </row>
    <row r="2097" spans="5:5">
      <c r="E2097"/>
    </row>
    <row r="2098" spans="5:5">
      <c r="E2098"/>
    </row>
    <row r="2099" spans="5:5">
      <c r="E2099"/>
    </row>
    <row r="2100" spans="5:5">
      <c r="E2100"/>
    </row>
    <row r="2101" spans="5:5">
      <c r="E2101"/>
    </row>
    <row r="2102" spans="5:5">
      <c r="E2102"/>
    </row>
    <row r="2103" spans="5:5">
      <c r="E2103"/>
    </row>
    <row r="2104" spans="5:5">
      <c r="E2104"/>
    </row>
    <row r="2105" spans="5:5">
      <c r="E2105"/>
    </row>
    <row r="2106" spans="5:5">
      <c r="E2106"/>
    </row>
    <row r="2107" spans="5:5">
      <c r="E2107"/>
    </row>
    <row r="2108" spans="5:5">
      <c r="E2108"/>
    </row>
    <row r="2109" spans="5:5">
      <c r="E2109"/>
    </row>
    <row r="2110" spans="5:5">
      <c r="E2110"/>
    </row>
    <row r="2111" spans="5:5">
      <c r="E2111"/>
    </row>
    <row r="2112" spans="5:5">
      <c r="E2112"/>
    </row>
    <row r="2113" spans="5:5">
      <c r="E2113"/>
    </row>
    <row r="2114" spans="5:5">
      <c r="E2114"/>
    </row>
    <row r="2115" spans="5:5">
      <c r="E2115"/>
    </row>
    <row r="2116" spans="5:5">
      <c r="E2116"/>
    </row>
    <row r="2117" spans="5:5">
      <c r="E2117"/>
    </row>
    <row r="2118" spans="5:5">
      <c r="E2118"/>
    </row>
    <row r="2119" spans="5:5">
      <c r="E2119"/>
    </row>
    <row r="2120" spans="5:5">
      <c r="E2120"/>
    </row>
    <row r="2121" spans="5:5">
      <c r="E2121"/>
    </row>
    <row r="2122" spans="5:5">
      <c r="E2122"/>
    </row>
    <row r="2123" spans="5:5">
      <c r="E2123"/>
    </row>
    <row r="2124" spans="5:5">
      <c r="E2124"/>
    </row>
    <row r="2125" spans="5:5">
      <c r="E2125"/>
    </row>
    <row r="2126" spans="5:5">
      <c r="E2126"/>
    </row>
    <row r="2127" spans="5:5">
      <c r="E2127"/>
    </row>
    <row r="2128" spans="5:5">
      <c r="E2128"/>
    </row>
    <row r="2129" spans="5:5">
      <c r="E2129"/>
    </row>
    <row r="2130" spans="5:5">
      <c r="E2130"/>
    </row>
    <row r="2131" spans="5:5">
      <c r="E2131"/>
    </row>
    <row r="2132" spans="5:5">
      <c r="E2132"/>
    </row>
    <row r="2133" spans="5:5">
      <c r="E2133"/>
    </row>
    <row r="2134" spans="5:5">
      <c r="E2134"/>
    </row>
    <row r="2135" spans="5:5">
      <c r="E2135"/>
    </row>
    <row r="2136" spans="5:5">
      <c r="E2136"/>
    </row>
    <row r="2137" spans="5:5">
      <c r="E2137"/>
    </row>
    <row r="2138" spans="5:5">
      <c r="E2138"/>
    </row>
    <row r="2139" spans="5:5">
      <c r="E2139"/>
    </row>
    <row r="2140" spans="5:5">
      <c r="E2140"/>
    </row>
    <row r="2141" spans="5:5">
      <c r="E2141"/>
    </row>
    <row r="2142" spans="5:5">
      <c r="E2142"/>
    </row>
    <row r="2143" spans="5:5">
      <c r="E2143"/>
    </row>
    <row r="2144" spans="5:5">
      <c r="E2144"/>
    </row>
    <row r="2145" spans="5:5">
      <c r="E2145"/>
    </row>
    <row r="2146" spans="5:5">
      <c r="E2146"/>
    </row>
    <row r="2147" spans="5:5">
      <c r="E2147"/>
    </row>
    <row r="2148" spans="5:5">
      <c r="E2148"/>
    </row>
    <row r="2149" spans="5:5">
      <c r="E2149"/>
    </row>
    <row r="2150" spans="5:5">
      <c r="E2150"/>
    </row>
    <row r="2151" spans="5:5">
      <c r="E2151"/>
    </row>
    <row r="2152" spans="5:5">
      <c r="E2152"/>
    </row>
    <row r="2153" spans="5:5">
      <c r="E2153"/>
    </row>
    <row r="2154" spans="5:5">
      <c r="E2154"/>
    </row>
    <row r="2155" spans="5:5">
      <c r="E2155"/>
    </row>
    <row r="2156" spans="5:5">
      <c r="E2156"/>
    </row>
    <row r="2157" spans="5:5">
      <c r="E2157"/>
    </row>
    <row r="2158" spans="5:5">
      <c r="E2158"/>
    </row>
    <row r="2159" spans="5:5">
      <c r="E2159"/>
    </row>
    <row r="2160" spans="5:5">
      <c r="E2160"/>
    </row>
    <row r="2161" spans="5:5">
      <c r="E2161"/>
    </row>
    <row r="2162" spans="5:5">
      <c r="E2162"/>
    </row>
    <row r="2163" spans="5:5">
      <c r="E2163"/>
    </row>
    <row r="2164" spans="5:5">
      <c r="E2164"/>
    </row>
    <row r="2165" spans="5:5">
      <c r="E2165"/>
    </row>
    <row r="2166" spans="5:5">
      <c r="E2166"/>
    </row>
    <row r="2167" spans="5:5">
      <c r="E2167"/>
    </row>
    <row r="2168" spans="5:5">
      <c r="E2168"/>
    </row>
    <row r="2169" spans="5:5">
      <c r="E2169"/>
    </row>
    <row r="2170" spans="5:5">
      <c r="E2170"/>
    </row>
    <row r="2171" spans="5:5">
      <c r="E2171"/>
    </row>
    <row r="2172" spans="5:5">
      <c r="E2172"/>
    </row>
    <row r="2173" spans="5:5">
      <c r="E2173"/>
    </row>
    <row r="2174" spans="5:5">
      <c r="E2174"/>
    </row>
    <row r="2175" spans="5:5">
      <c r="E2175"/>
    </row>
    <row r="2176" spans="5:5">
      <c r="E2176"/>
    </row>
    <row r="2177" spans="5:5">
      <c r="E2177"/>
    </row>
    <row r="2178" spans="5:5">
      <c r="E2178"/>
    </row>
    <row r="2179" spans="5:5">
      <c r="E2179"/>
    </row>
    <row r="2180" spans="5:5">
      <c r="E2180"/>
    </row>
    <row r="2181" spans="5:5">
      <c r="E2181"/>
    </row>
    <row r="2182" spans="5:5">
      <c r="E2182"/>
    </row>
    <row r="2183" spans="5:5">
      <c r="E2183"/>
    </row>
    <row r="2184" spans="5:5">
      <c r="E2184"/>
    </row>
    <row r="2185" spans="5:5">
      <c r="E2185"/>
    </row>
    <row r="2186" spans="5:5">
      <c r="E2186"/>
    </row>
    <row r="2187" spans="5:5">
      <c r="E2187"/>
    </row>
    <row r="2188" spans="5:5">
      <c r="E2188"/>
    </row>
    <row r="2189" spans="5:5">
      <c r="E2189"/>
    </row>
    <row r="2190" spans="5:5">
      <c r="E2190"/>
    </row>
    <row r="2191" spans="5:5">
      <c r="E2191"/>
    </row>
    <row r="2192" spans="5:5">
      <c r="E2192"/>
    </row>
    <row r="2193" spans="5:5">
      <c r="E2193"/>
    </row>
    <row r="2194" spans="5:5">
      <c r="E2194"/>
    </row>
    <row r="2195" spans="5:5">
      <c r="E2195"/>
    </row>
    <row r="2196" spans="5:5">
      <c r="E2196"/>
    </row>
    <row r="2197" spans="5:5">
      <c r="E2197"/>
    </row>
    <row r="2198" spans="5:5">
      <c r="E2198"/>
    </row>
    <row r="2199" spans="5:5">
      <c r="E2199"/>
    </row>
    <row r="2200" spans="5:5">
      <c r="E2200"/>
    </row>
    <row r="2201" spans="5:5">
      <c r="E2201"/>
    </row>
    <row r="2202" spans="5:5">
      <c r="E2202"/>
    </row>
    <row r="2203" spans="5:5">
      <c r="E2203"/>
    </row>
    <row r="2204" spans="5:5">
      <c r="E2204"/>
    </row>
    <row r="2205" spans="5:5">
      <c r="E2205"/>
    </row>
    <row r="2206" spans="5:5">
      <c r="E2206"/>
    </row>
    <row r="2207" spans="5:5">
      <c r="E2207"/>
    </row>
    <row r="2208" spans="5:5">
      <c r="E2208"/>
    </row>
    <row r="2209" spans="5:5">
      <c r="E2209"/>
    </row>
    <row r="2210" spans="5:5">
      <c r="E2210"/>
    </row>
    <row r="2211" spans="5:5">
      <c r="E2211"/>
    </row>
    <row r="2212" spans="5:5">
      <c r="E2212"/>
    </row>
    <row r="2213" spans="5:5">
      <c r="E2213"/>
    </row>
    <row r="2214" spans="5:5">
      <c r="E2214"/>
    </row>
    <row r="2215" spans="5:5">
      <c r="E2215"/>
    </row>
    <row r="2216" spans="5:5">
      <c r="E2216"/>
    </row>
    <row r="2217" spans="5:5">
      <c r="E2217"/>
    </row>
    <row r="2218" spans="5:5">
      <c r="E2218"/>
    </row>
    <row r="2219" spans="5:5">
      <c r="E2219"/>
    </row>
    <row r="2220" spans="5:5">
      <c r="E2220"/>
    </row>
    <row r="2221" spans="5:5">
      <c r="E2221"/>
    </row>
    <row r="2222" spans="5:5">
      <c r="E2222"/>
    </row>
    <row r="2223" spans="5:5">
      <c r="E2223"/>
    </row>
    <row r="2224" spans="5:5">
      <c r="E2224"/>
    </row>
    <row r="2225" spans="5:5">
      <c r="E2225"/>
    </row>
    <row r="2226" spans="5:5">
      <c r="E2226"/>
    </row>
    <row r="2227" spans="5:5">
      <c r="E2227"/>
    </row>
    <row r="2228" spans="5:5">
      <c r="E2228"/>
    </row>
    <row r="2229" spans="5:5">
      <c r="E2229"/>
    </row>
    <row r="2230" spans="5:5">
      <c r="E2230"/>
    </row>
    <row r="2231" spans="5:5">
      <c r="E2231"/>
    </row>
    <row r="2232" spans="5:5">
      <c r="E2232"/>
    </row>
    <row r="2233" spans="5:5">
      <c r="E2233"/>
    </row>
    <row r="2234" spans="5:5">
      <c r="E2234"/>
    </row>
    <row r="2235" spans="5:5">
      <c r="E2235"/>
    </row>
    <row r="2236" spans="5:5">
      <c r="E2236"/>
    </row>
    <row r="2237" spans="5:5">
      <c r="E2237"/>
    </row>
    <row r="2238" spans="5:5">
      <c r="E2238"/>
    </row>
    <row r="2239" spans="5:5">
      <c r="E2239"/>
    </row>
    <row r="2240" spans="5:5">
      <c r="E2240"/>
    </row>
    <row r="2241" spans="5:5">
      <c r="E2241"/>
    </row>
    <row r="2242" spans="5:5">
      <c r="E2242"/>
    </row>
    <row r="2243" spans="5:5">
      <c r="E2243"/>
    </row>
    <row r="2244" spans="5:5">
      <c r="E2244"/>
    </row>
    <row r="2245" spans="5:5">
      <c r="E2245"/>
    </row>
    <row r="2246" spans="5:5">
      <c r="E2246"/>
    </row>
    <row r="2247" spans="5:5">
      <c r="E2247"/>
    </row>
    <row r="2248" spans="5:5">
      <c r="E2248"/>
    </row>
    <row r="2249" spans="5:5">
      <c r="E2249"/>
    </row>
    <row r="2250" spans="5:5">
      <c r="E2250"/>
    </row>
    <row r="2251" spans="5:5">
      <c r="E2251"/>
    </row>
    <row r="2252" spans="5:5">
      <c r="E2252"/>
    </row>
    <row r="2253" spans="5:5">
      <c r="E2253"/>
    </row>
    <row r="2254" spans="5:5">
      <c r="E2254"/>
    </row>
    <row r="2255" spans="5:5">
      <c r="E2255"/>
    </row>
    <row r="2256" spans="5:5">
      <c r="E2256"/>
    </row>
    <row r="2257" spans="5:5">
      <c r="E2257"/>
    </row>
    <row r="2258" spans="5:5">
      <c r="E2258"/>
    </row>
    <row r="2259" spans="5:5">
      <c r="E2259"/>
    </row>
    <row r="2260" spans="5:5">
      <c r="E2260"/>
    </row>
    <row r="2261" spans="5:5">
      <c r="E2261"/>
    </row>
    <row r="2262" spans="5:5">
      <c r="E2262"/>
    </row>
    <row r="2263" spans="5:5">
      <c r="E2263"/>
    </row>
    <row r="2264" spans="5:5">
      <c r="E2264"/>
    </row>
    <row r="2265" spans="5:5">
      <c r="E2265"/>
    </row>
    <row r="2266" spans="5:5">
      <c r="E2266"/>
    </row>
    <row r="2267" spans="5:5">
      <c r="E2267"/>
    </row>
    <row r="2268" spans="5:5">
      <c r="E2268"/>
    </row>
    <row r="2269" spans="5:5">
      <c r="E2269"/>
    </row>
    <row r="2270" spans="5:5">
      <c r="E2270"/>
    </row>
    <row r="2271" spans="5:5">
      <c r="E2271"/>
    </row>
    <row r="2272" spans="5:5">
      <c r="E2272"/>
    </row>
    <row r="2273" spans="5:5">
      <c r="E2273"/>
    </row>
    <row r="2274" spans="5:5">
      <c r="E2274"/>
    </row>
    <row r="2275" spans="5:5">
      <c r="E2275"/>
    </row>
    <row r="2276" spans="5:5">
      <c r="E2276"/>
    </row>
    <row r="2277" spans="5:5">
      <c r="E2277"/>
    </row>
    <row r="2278" spans="5:5">
      <c r="E2278"/>
    </row>
    <row r="2279" spans="5:5">
      <c r="E2279"/>
    </row>
    <row r="2280" spans="5:5">
      <c r="E2280"/>
    </row>
    <row r="2281" spans="5:5">
      <c r="E2281"/>
    </row>
    <row r="2282" spans="5:5">
      <c r="E2282"/>
    </row>
    <row r="2283" spans="5:5">
      <c r="E2283"/>
    </row>
    <row r="2284" spans="5:5">
      <c r="E2284"/>
    </row>
    <row r="2285" spans="5:5">
      <c r="E2285"/>
    </row>
    <row r="2286" spans="5:5">
      <c r="E2286"/>
    </row>
    <row r="2287" spans="5:5">
      <c r="E2287"/>
    </row>
    <row r="2288" spans="5:5">
      <c r="E2288"/>
    </row>
    <row r="2289" spans="5:5">
      <c r="E2289"/>
    </row>
    <row r="2290" spans="5:5">
      <c r="E2290"/>
    </row>
    <row r="2291" spans="5:5">
      <c r="E2291"/>
    </row>
    <row r="2292" spans="5:5">
      <c r="E2292"/>
    </row>
    <row r="2293" spans="5:5">
      <c r="E2293"/>
    </row>
    <row r="2294" spans="5:5">
      <c r="E2294"/>
    </row>
    <row r="2295" spans="5:5">
      <c r="E2295"/>
    </row>
    <row r="2296" spans="5:5">
      <c r="E2296"/>
    </row>
    <row r="2297" spans="5:5">
      <c r="E2297"/>
    </row>
    <row r="2298" spans="5:5">
      <c r="E2298"/>
    </row>
    <row r="2299" spans="5:5">
      <c r="E2299"/>
    </row>
    <row r="2300" spans="5:5">
      <c r="E2300"/>
    </row>
    <row r="2301" spans="5:5">
      <c r="E2301"/>
    </row>
    <row r="2302" spans="5:5">
      <c r="E2302"/>
    </row>
    <row r="2303" spans="5:5">
      <c r="E2303"/>
    </row>
    <row r="2304" spans="5:5">
      <c r="E2304"/>
    </row>
    <row r="2305" spans="5:5">
      <c r="E2305"/>
    </row>
    <row r="2306" spans="5:5">
      <c r="E2306"/>
    </row>
    <row r="2307" spans="5:5">
      <c r="E2307"/>
    </row>
    <row r="2308" spans="5:5">
      <c r="E2308"/>
    </row>
    <row r="2309" spans="5:5">
      <c r="E2309"/>
    </row>
    <row r="2310" spans="5:5">
      <c r="E2310"/>
    </row>
    <row r="2311" spans="5:5">
      <c r="E2311"/>
    </row>
    <row r="2312" spans="5:5">
      <c r="E2312"/>
    </row>
    <row r="2313" spans="5:5">
      <c r="E2313"/>
    </row>
    <row r="2314" spans="5:5">
      <c r="E2314"/>
    </row>
    <row r="2315" spans="5:5">
      <c r="E2315"/>
    </row>
    <row r="2316" spans="5:5">
      <c r="E2316"/>
    </row>
    <row r="2317" spans="5:5">
      <c r="E2317"/>
    </row>
    <row r="2318" spans="5:5">
      <c r="E2318"/>
    </row>
    <row r="2319" spans="5:5">
      <c r="E2319"/>
    </row>
    <row r="2320" spans="5:5">
      <c r="E2320"/>
    </row>
    <row r="2321" spans="5:5">
      <c r="E2321"/>
    </row>
    <row r="2322" spans="5:5">
      <c r="E2322"/>
    </row>
    <row r="2323" spans="5:5">
      <c r="E2323"/>
    </row>
    <row r="2324" spans="5:5">
      <c r="E2324"/>
    </row>
    <row r="2325" spans="5:5">
      <c r="E2325"/>
    </row>
    <row r="2326" spans="5:5">
      <c r="E2326"/>
    </row>
    <row r="2327" spans="5:5">
      <c r="E2327"/>
    </row>
    <row r="2328" spans="5:5">
      <c r="E2328"/>
    </row>
    <row r="2329" spans="5:5">
      <c r="E2329"/>
    </row>
    <row r="2330" spans="5:5">
      <c r="E2330"/>
    </row>
    <row r="2331" spans="5:5">
      <c r="E2331"/>
    </row>
    <row r="2332" spans="5:5">
      <c r="E2332"/>
    </row>
    <row r="2333" spans="5:5">
      <c r="E2333"/>
    </row>
    <row r="2334" spans="5:5">
      <c r="E2334"/>
    </row>
    <row r="2335" spans="5:5">
      <c r="E2335"/>
    </row>
    <row r="2336" spans="5:5">
      <c r="E2336"/>
    </row>
    <row r="2337" spans="5:5">
      <c r="E2337"/>
    </row>
    <row r="2338" spans="5:5">
      <c r="E2338"/>
    </row>
    <row r="2339" spans="5:5">
      <c r="E2339"/>
    </row>
    <row r="2340" spans="5:5">
      <c r="E2340"/>
    </row>
    <row r="2341" spans="5:5">
      <c r="E2341"/>
    </row>
    <row r="2342" spans="5:5">
      <c r="E2342"/>
    </row>
    <row r="2343" spans="5:5">
      <c r="E2343"/>
    </row>
    <row r="2344" spans="5:5">
      <c r="E2344"/>
    </row>
    <row r="2345" spans="5:5">
      <c r="E2345"/>
    </row>
    <row r="2346" spans="5:5">
      <c r="E2346"/>
    </row>
    <row r="2347" spans="5:5">
      <c r="E2347"/>
    </row>
    <row r="2348" spans="5:5">
      <c r="E2348"/>
    </row>
    <row r="2349" spans="5:5">
      <c r="E2349"/>
    </row>
    <row r="2350" spans="5:5">
      <c r="E2350"/>
    </row>
    <row r="2351" spans="5:5">
      <c r="E2351"/>
    </row>
    <row r="2352" spans="5:5">
      <c r="E2352"/>
    </row>
    <row r="2353" spans="5:5">
      <c r="E2353"/>
    </row>
    <row r="2354" spans="5:5">
      <c r="E2354"/>
    </row>
    <row r="2355" spans="5:5">
      <c r="E2355"/>
    </row>
    <row r="2356" spans="5:5">
      <c r="E2356"/>
    </row>
    <row r="2357" spans="5:5">
      <c r="E2357"/>
    </row>
    <row r="2358" spans="5:5">
      <c r="E2358"/>
    </row>
    <row r="2359" spans="5:5">
      <c r="E2359"/>
    </row>
    <row r="2360" spans="5:5">
      <c r="E2360"/>
    </row>
    <row r="2361" spans="5:5">
      <c r="E2361"/>
    </row>
    <row r="2362" spans="5:5">
      <c r="E2362"/>
    </row>
    <row r="2363" spans="5:5">
      <c r="E2363"/>
    </row>
    <row r="2364" spans="5:5">
      <c r="E2364"/>
    </row>
    <row r="2365" spans="5:5">
      <c r="E2365"/>
    </row>
    <row r="2366" spans="5:5">
      <c r="E2366"/>
    </row>
    <row r="2367" spans="5:5">
      <c r="E2367"/>
    </row>
    <row r="2368" spans="5:5">
      <c r="E2368"/>
    </row>
    <row r="2369" spans="5:5">
      <c r="E2369"/>
    </row>
    <row r="2370" spans="5:5">
      <c r="E2370"/>
    </row>
    <row r="2371" spans="5:5">
      <c r="E2371"/>
    </row>
    <row r="2372" spans="5:5">
      <c r="E2372"/>
    </row>
    <row r="2373" spans="5:5">
      <c r="E2373"/>
    </row>
    <row r="2374" spans="5:5">
      <c r="E2374"/>
    </row>
    <row r="2375" spans="5:5">
      <c r="E2375"/>
    </row>
    <row r="2376" spans="5:5">
      <c r="E2376"/>
    </row>
    <row r="2377" spans="5:5">
      <c r="E2377"/>
    </row>
    <row r="2378" spans="5:5">
      <c r="E2378"/>
    </row>
    <row r="2379" spans="5:5">
      <c r="E2379"/>
    </row>
    <row r="2380" spans="5:5">
      <c r="E2380"/>
    </row>
    <row r="2381" spans="5:5">
      <c r="E2381"/>
    </row>
    <row r="2382" spans="5:5">
      <c r="E2382"/>
    </row>
    <row r="2383" spans="5:5">
      <c r="E2383"/>
    </row>
    <row r="2384" spans="5:5">
      <c r="E2384"/>
    </row>
    <row r="2385" spans="5:5">
      <c r="E2385"/>
    </row>
    <row r="2386" spans="5:5">
      <c r="E2386"/>
    </row>
    <row r="2387" spans="5:5">
      <c r="E2387"/>
    </row>
    <row r="2388" spans="5:5">
      <c r="E2388"/>
    </row>
    <row r="2389" spans="5:5">
      <c r="E2389"/>
    </row>
    <row r="2390" spans="5:5">
      <c r="E2390"/>
    </row>
    <row r="2391" spans="5:5">
      <c r="E2391"/>
    </row>
    <row r="2392" spans="5:5">
      <c r="E2392"/>
    </row>
    <row r="2393" spans="5:5">
      <c r="E2393"/>
    </row>
    <row r="2394" spans="5:5">
      <c r="E2394"/>
    </row>
    <row r="2395" spans="5:5">
      <c r="E2395"/>
    </row>
    <row r="2396" spans="5:5">
      <c r="E2396"/>
    </row>
    <row r="2397" spans="5:5">
      <c r="E2397"/>
    </row>
    <row r="2398" spans="5:5">
      <c r="E2398"/>
    </row>
    <row r="2399" spans="5:5">
      <c r="E2399"/>
    </row>
    <row r="2400" spans="5:5">
      <c r="E2400"/>
    </row>
    <row r="2401" spans="5:5">
      <c r="E2401"/>
    </row>
    <row r="2402" spans="5:5">
      <c r="E2402"/>
    </row>
    <row r="2403" spans="5:5">
      <c r="E2403"/>
    </row>
    <row r="2404" spans="5:5">
      <c r="E2404"/>
    </row>
    <row r="2405" spans="5:5">
      <c r="E2405"/>
    </row>
    <row r="2406" spans="5:5">
      <c r="E2406"/>
    </row>
    <row r="2407" spans="5:5">
      <c r="E2407"/>
    </row>
    <row r="2408" spans="5:5">
      <c r="E2408"/>
    </row>
    <row r="2409" spans="5:5">
      <c r="E2409"/>
    </row>
    <row r="2410" spans="5:5">
      <c r="E2410"/>
    </row>
    <row r="2411" spans="5:5">
      <c r="E2411"/>
    </row>
    <row r="2412" spans="5:5">
      <c r="E2412"/>
    </row>
    <row r="2413" spans="5:5">
      <c r="E2413"/>
    </row>
    <row r="2414" spans="5:5">
      <c r="E2414"/>
    </row>
    <row r="2415" spans="5:5">
      <c r="E2415"/>
    </row>
    <row r="2416" spans="5:5">
      <c r="E2416"/>
    </row>
    <row r="2417" spans="5:5">
      <c r="E2417"/>
    </row>
    <row r="2418" spans="5:5">
      <c r="E2418"/>
    </row>
    <row r="2419" spans="5:5">
      <c r="E2419"/>
    </row>
    <row r="2420" spans="5:5">
      <c r="E2420"/>
    </row>
    <row r="2421" spans="5:5">
      <c r="E2421"/>
    </row>
    <row r="2422" spans="5:5">
      <c r="E2422"/>
    </row>
    <row r="2423" spans="5:5">
      <c r="E2423"/>
    </row>
    <row r="2424" spans="5:5">
      <c r="E2424"/>
    </row>
    <row r="2425" spans="5:5">
      <c r="E2425"/>
    </row>
    <row r="2426" spans="5:5">
      <c r="E2426"/>
    </row>
    <row r="2427" spans="5:5">
      <c r="E2427"/>
    </row>
    <row r="2428" spans="5:5">
      <c r="E2428"/>
    </row>
    <row r="2429" spans="5:5">
      <c r="E2429"/>
    </row>
    <row r="2430" spans="5:5">
      <c r="E2430"/>
    </row>
    <row r="2431" spans="5:5">
      <c r="E2431"/>
    </row>
    <row r="2432" spans="5:5">
      <c r="E2432"/>
    </row>
    <row r="2433" spans="5:5">
      <c r="E2433"/>
    </row>
    <row r="2434" spans="5:5">
      <c r="E2434"/>
    </row>
    <row r="2435" spans="5:5">
      <c r="E2435"/>
    </row>
    <row r="2436" spans="5:5">
      <c r="E2436"/>
    </row>
    <row r="2437" spans="5:5">
      <c r="E2437"/>
    </row>
    <row r="2438" spans="5:5">
      <c r="E2438"/>
    </row>
    <row r="2439" spans="5:5">
      <c r="E2439"/>
    </row>
    <row r="2440" spans="5:5">
      <c r="E2440"/>
    </row>
    <row r="2441" spans="5:5">
      <c r="E2441"/>
    </row>
    <row r="2442" spans="5:5">
      <c r="E2442"/>
    </row>
    <row r="2443" spans="5:5">
      <c r="E2443"/>
    </row>
    <row r="2444" spans="5:5">
      <c r="E2444"/>
    </row>
    <row r="2445" spans="5:5">
      <c r="E2445"/>
    </row>
    <row r="2446" spans="5:5">
      <c r="E2446"/>
    </row>
    <row r="2447" spans="5:5">
      <c r="E2447"/>
    </row>
    <row r="2448" spans="5:5">
      <c r="E2448"/>
    </row>
    <row r="2449" spans="5:5">
      <c r="E2449"/>
    </row>
    <row r="2450" spans="5:5">
      <c r="E2450"/>
    </row>
    <row r="2451" spans="5:5">
      <c r="E2451"/>
    </row>
    <row r="2452" spans="5:5">
      <c r="E2452"/>
    </row>
    <row r="2453" spans="5:5">
      <c r="E2453"/>
    </row>
    <row r="2454" spans="5:5">
      <c r="E2454"/>
    </row>
    <row r="2455" spans="5:5">
      <c r="E2455"/>
    </row>
    <row r="2456" spans="5:5">
      <c r="E2456"/>
    </row>
    <row r="2457" spans="5:5">
      <c r="E2457"/>
    </row>
    <row r="2458" spans="5:5">
      <c r="E2458"/>
    </row>
    <row r="2459" spans="5:5">
      <c r="E2459"/>
    </row>
    <row r="2460" spans="5:5">
      <c r="E2460"/>
    </row>
    <row r="2461" spans="5:5">
      <c r="E2461"/>
    </row>
    <row r="2462" spans="5:5">
      <c r="E2462"/>
    </row>
    <row r="2463" spans="5:5">
      <c r="E2463"/>
    </row>
    <row r="2464" spans="5:5">
      <c r="E2464"/>
    </row>
    <row r="2465" spans="5:5">
      <c r="E2465"/>
    </row>
    <row r="2466" spans="5:5">
      <c r="E2466"/>
    </row>
    <row r="2467" spans="5:5">
      <c r="E2467"/>
    </row>
    <row r="2468" spans="5:5">
      <c r="E2468"/>
    </row>
    <row r="2469" spans="5:5">
      <c r="E2469"/>
    </row>
    <row r="2470" spans="5:5">
      <c r="E2470"/>
    </row>
    <row r="2471" spans="5:5">
      <c r="E2471"/>
    </row>
    <row r="2472" spans="5:5">
      <c r="E2472"/>
    </row>
    <row r="2473" spans="5:5">
      <c r="E2473"/>
    </row>
    <row r="2474" spans="5:5">
      <c r="E2474"/>
    </row>
    <row r="2475" spans="5:5">
      <c r="E2475"/>
    </row>
    <row r="2476" spans="5:5">
      <c r="E2476"/>
    </row>
    <row r="2477" spans="5:5">
      <c r="E2477"/>
    </row>
    <row r="2478" spans="5:5">
      <c r="E2478"/>
    </row>
    <row r="2479" spans="5:5">
      <c r="E2479"/>
    </row>
    <row r="2480" spans="5:5">
      <c r="E2480"/>
    </row>
    <row r="2481" spans="5:5">
      <c r="E2481"/>
    </row>
    <row r="2482" spans="5:5">
      <c r="E2482"/>
    </row>
    <row r="2483" spans="5:5">
      <c r="E2483"/>
    </row>
    <row r="2484" spans="5:5">
      <c r="E2484"/>
    </row>
    <row r="2485" spans="5:5">
      <c r="E2485"/>
    </row>
    <row r="2486" spans="5:5">
      <c r="E2486"/>
    </row>
    <row r="2487" spans="5:5">
      <c r="E2487"/>
    </row>
    <row r="2488" spans="5:5">
      <c r="E2488"/>
    </row>
    <row r="2489" spans="5:5">
      <c r="E2489"/>
    </row>
    <row r="2490" spans="5:5">
      <c r="E2490"/>
    </row>
    <row r="2491" spans="5:5">
      <c r="E2491"/>
    </row>
    <row r="2492" spans="5:5">
      <c r="E2492"/>
    </row>
    <row r="2493" spans="5:5">
      <c r="E2493"/>
    </row>
    <row r="2494" spans="5:5">
      <c r="E2494"/>
    </row>
    <row r="2495" spans="5:5">
      <c r="E2495"/>
    </row>
    <row r="2496" spans="5:5">
      <c r="E2496"/>
    </row>
    <row r="2497" spans="5:5">
      <c r="E2497"/>
    </row>
    <row r="2498" spans="5:5">
      <c r="E2498"/>
    </row>
    <row r="2499" spans="5:5">
      <c r="E2499"/>
    </row>
    <row r="2500" spans="5:5">
      <c r="E2500"/>
    </row>
    <row r="2501" spans="5:5">
      <c r="E2501"/>
    </row>
    <row r="2502" spans="5:5">
      <c r="E2502"/>
    </row>
    <row r="2503" spans="5:5">
      <c r="E2503"/>
    </row>
    <row r="2504" spans="5:5">
      <c r="E2504"/>
    </row>
    <row r="2505" spans="5:5">
      <c r="E2505"/>
    </row>
    <row r="2506" spans="5:5">
      <c r="E2506"/>
    </row>
    <row r="2507" spans="5:5">
      <c r="E2507"/>
    </row>
    <row r="2508" spans="5:5">
      <c r="E2508"/>
    </row>
    <row r="2509" spans="5:5">
      <c r="E2509"/>
    </row>
    <row r="2510" spans="5:5">
      <c r="E2510"/>
    </row>
    <row r="2511" spans="5:5">
      <c r="E2511"/>
    </row>
    <row r="2512" spans="5:5">
      <c r="E2512"/>
    </row>
    <row r="2513" spans="5:5">
      <c r="E2513"/>
    </row>
    <row r="2514" spans="5:5">
      <c r="E2514"/>
    </row>
    <row r="2515" spans="5:5">
      <c r="E2515"/>
    </row>
    <row r="2516" spans="5:5">
      <c r="E2516"/>
    </row>
    <row r="2517" spans="5:5">
      <c r="E2517"/>
    </row>
    <row r="2518" spans="5:5">
      <c r="E2518"/>
    </row>
    <row r="2519" spans="5:5">
      <c r="E2519"/>
    </row>
    <row r="2520" spans="5:5">
      <c r="E2520"/>
    </row>
    <row r="2521" spans="5:5">
      <c r="E2521"/>
    </row>
    <row r="2522" spans="5:5">
      <c r="E2522"/>
    </row>
    <row r="2523" spans="5:5">
      <c r="E2523"/>
    </row>
    <row r="2524" spans="5:5">
      <c r="E2524"/>
    </row>
    <row r="2525" spans="5:5">
      <c r="E2525"/>
    </row>
    <row r="2526" spans="5:5">
      <c r="E2526"/>
    </row>
    <row r="2527" spans="5:5">
      <c r="E2527"/>
    </row>
    <row r="2528" spans="5:5">
      <c r="E2528"/>
    </row>
    <row r="2529" spans="5:5">
      <c r="E2529"/>
    </row>
    <row r="2530" spans="5:5">
      <c r="E2530"/>
    </row>
    <row r="2531" spans="5:5">
      <c r="E2531"/>
    </row>
    <row r="2532" spans="5:5">
      <c r="E2532"/>
    </row>
    <row r="2533" spans="5:5">
      <c r="E2533"/>
    </row>
    <row r="2534" spans="5:5">
      <c r="E2534"/>
    </row>
    <row r="2535" spans="5:5">
      <c r="E2535"/>
    </row>
    <row r="2536" spans="5:5">
      <c r="E2536"/>
    </row>
    <row r="2537" spans="5:5">
      <c r="E2537"/>
    </row>
    <row r="2538" spans="5:5">
      <c r="E2538"/>
    </row>
    <row r="2539" spans="5:5">
      <c r="E2539"/>
    </row>
    <row r="2540" spans="5:5">
      <c r="E2540"/>
    </row>
    <row r="2541" spans="5:5">
      <c r="E2541"/>
    </row>
    <row r="2542" spans="5:5">
      <c r="E2542"/>
    </row>
    <row r="2543" spans="5:5">
      <c r="E2543"/>
    </row>
    <row r="2544" spans="5:5">
      <c r="E2544"/>
    </row>
    <row r="2545" spans="5:5">
      <c r="E2545"/>
    </row>
    <row r="2546" spans="5:5">
      <c r="E2546"/>
    </row>
    <row r="2547" spans="5:5">
      <c r="E2547"/>
    </row>
    <row r="2548" spans="5:5">
      <c r="E2548"/>
    </row>
    <row r="2549" spans="5:5">
      <c r="E2549"/>
    </row>
    <row r="2550" spans="5:5">
      <c r="E2550"/>
    </row>
    <row r="2551" spans="5:5">
      <c r="E2551"/>
    </row>
    <row r="2552" spans="5:5">
      <c r="E2552"/>
    </row>
    <row r="2553" spans="5:5">
      <c r="E2553"/>
    </row>
    <row r="2554" spans="5:5">
      <c r="E2554"/>
    </row>
    <row r="2555" spans="5:5">
      <c r="E2555"/>
    </row>
    <row r="2556" spans="5:5">
      <c r="E2556"/>
    </row>
    <row r="2557" spans="5:5">
      <c r="E2557"/>
    </row>
    <row r="2558" spans="5:5">
      <c r="E2558"/>
    </row>
    <row r="2559" spans="5:5">
      <c r="E2559"/>
    </row>
    <row r="2560" spans="5:5">
      <c r="E2560"/>
    </row>
    <row r="2561" spans="5:5">
      <c r="E2561"/>
    </row>
    <row r="2562" spans="5:5">
      <c r="E2562"/>
    </row>
    <row r="2563" spans="5:5">
      <c r="E2563"/>
    </row>
    <row r="2564" spans="5:5">
      <c r="E2564"/>
    </row>
    <row r="2565" spans="5:5">
      <c r="E2565"/>
    </row>
    <row r="2566" spans="5:5">
      <c r="E2566"/>
    </row>
    <row r="2567" spans="5:5">
      <c r="E2567"/>
    </row>
    <row r="2568" spans="5:5">
      <c r="E2568"/>
    </row>
    <row r="2569" spans="5:5">
      <c r="E2569"/>
    </row>
    <row r="2570" spans="5:5">
      <c r="E2570"/>
    </row>
    <row r="2571" spans="5:5">
      <c r="E2571"/>
    </row>
    <row r="2572" spans="5:5">
      <c r="E2572"/>
    </row>
    <row r="2573" spans="5:5">
      <c r="E2573"/>
    </row>
    <row r="2574" spans="5:5">
      <c r="E2574"/>
    </row>
    <row r="2575" spans="5:5">
      <c r="E2575"/>
    </row>
    <row r="2576" spans="5:5">
      <c r="E2576"/>
    </row>
    <row r="2577" spans="5:5">
      <c r="E2577"/>
    </row>
    <row r="2578" spans="5:5">
      <c r="E2578"/>
    </row>
    <row r="2579" spans="5:5">
      <c r="E2579"/>
    </row>
    <row r="2580" spans="5:5">
      <c r="E2580"/>
    </row>
    <row r="2581" spans="5:5">
      <c r="E2581"/>
    </row>
    <row r="2582" spans="5:5">
      <c r="E2582"/>
    </row>
    <row r="2583" spans="5:5">
      <c r="E2583"/>
    </row>
    <row r="2584" spans="5:5">
      <c r="E2584"/>
    </row>
    <row r="2585" spans="5:5">
      <c r="E2585"/>
    </row>
    <row r="2586" spans="5:5">
      <c r="E2586"/>
    </row>
    <row r="2587" spans="5:5">
      <c r="E2587"/>
    </row>
    <row r="2588" spans="5:5">
      <c r="E2588"/>
    </row>
    <row r="2589" spans="5:5">
      <c r="E2589"/>
    </row>
    <row r="2590" spans="5:5">
      <c r="E2590"/>
    </row>
    <row r="2591" spans="5:5">
      <c r="E2591"/>
    </row>
    <row r="2592" spans="5:5">
      <c r="E2592"/>
    </row>
    <row r="2593" spans="5:5">
      <c r="E2593"/>
    </row>
    <row r="2594" spans="5:5">
      <c r="E2594"/>
    </row>
    <row r="2595" spans="5:5">
      <c r="E2595"/>
    </row>
    <row r="2596" spans="5:5">
      <c r="E2596"/>
    </row>
    <row r="2597" spans="5:5">
      <c r="E2597"/>
    </row>
    <row r="2598" spans="5:5">
      <c r="E2598"/>
    </row>
    <row r="2599" spans="5:5">
      <c r="E2599"/>
    </row>
    <row r="2600" spans="5:5">
      <c r="E2600"/>
    </row>
    <row r="2601" spans="5:5">
      <c r="E2601"/>
    </row>
    <row r="2602" spans="5:5">
      <c r="E2602"/>
    </row>
    <row r="2603" spans="5:5">
      <c r="E2603"/>
    </row>
    <row r="2604" spans="5:5">
      <c r="E2604"/>
    </row>
    <row r="2605" spans="5:5">
      <c r="E2605"/>
    </row>
    <row r="2606" spans="5:5">
      <c r="E2606"/>
    </row>
    <row r="2607" spans="5:5">
      <c r="E2607"/>
    </row>
    <row r="2608" spans="5:5">
      <c r="E2608"/>
    </row>
    <row r="2609" spans="5:5">
      <c r="E2609"/>
    </row>
    <row r="2610" spans="5:5">
      <c r="E2610"/>
    </row>
    <row r="2611" spans="5:5">
      <c r="E2611"/>
    </row>
    <row r="2612" spans="5:5">
      <c r="E2612"/>
    </row>
    <row r="2613" spans="5:5">
      <c r="E2613"/>
    </row>
    <row r="2614" spans="5:5">
      <c r="E2614"/>
    </row>
    <row r="2615" spans="5:5">
      <c r="E2615"/>
    </row>
    <row r="2616" spans="5:5">
      <c r="E2616"/>
    </row>
    <row r="2617" spans="5:5">
      <c r="E2617"/>
    </row>
    <row r="2618" spans="5:5">
      <c r="E2618"/>
    </row>
    <row r="2619" spans="5:5">
      <c r="E2619"/>
    </row>
    <row r="2620" spans="5:5">
      <c r="E2620"/>
    </row>
    <row r="2621" spans="5:5">
      <c r="E2621"/>
    </row>
    <row r="2622" spans="5:5">
      <c r="E2622"/>
    </row>
    <row r="2623" spans="5:5">
      <c r="E2623"/>
    </row>
    <row r="2624" spans="5:5">
      <c r="E2624"/>
    </row>
    <row r="2625" spans="5:5">
      <c r="E2625"/>
    </row>
    <row r="2626" spans="5:5">
      <c r="E2626"/>
    </row>
    <row r="2627" spans="5:5">
      <c r="E2627"/>
    </row>
    <row r="2628" spans="5:5">
      <c r="E2628"/>
    </row>
    <row r="2629" spans="5:5">
      <c r="E2629"/>
    </row>
    <row r="2630" spans="5:5">
      <c r="E2630"/>
    </row>
    <row r="2631" spans="5:5">
      <c r="E2631"/>
    </row>
    <row r="2632" spans="5:5">
      <c r="E2632"/>
    </row>
    <row r="2633" spans="5:5">
      <c r="E2633"/>
    </row>
    <row r="2634" spans="5:5">
      <c r="E2634"/>
    </row>
    <row r="2635" spans="5:5">
      <c r="E2635"/>
    </row>
    <row r="2636" spans="5:5">
      <c r="E2636"/>
    </row>
    <row r="2637" spans="5:5">
      <c r="E2637"/>
    </row>
    <row r="2638" spans="5:5">
      <c r="E2638"/>
    </row>
    <row r="2639" spans="5:5">
      <c r="E2639"/>
    </row>
    <row r="2640" spans="5:5">
      <c r="E2640"/>
    </row>
    <row r="2641" spans="5:5">
      <c r="E2641"/>
    </row>
    <row r="2642" spans="5:5">
      <c r="E2642"/>
    </row>
    <row r="2643" spans="5:5">
      <c r="E2643"/>
    </row>
    <row r="2644" spans="5:5">
      <c r="E2644"/>
    </row>
    <row r="2645" spans="5:5">
      <c r="E2645"/>
    </row>
    <row r="2646" spans="5:5">
      <c r="E2646"/>
    </row>
    <row r="2647" spans="5:5">
      <c r="E2647"/>
    </row>
    <row r="2648" spans="5:5">
      <c r="E2648"/>
    </row>
    <row r="2649" spans="5:5">
      <c r="E2649"/>
    </row>
    <row r="2650" spans="5:5">
      <c r="E2650"/>
    </row>
    <row r="2651" spans="5:5">
      <c r="E2651"/>
    </row>
    <row r="2652" spans="5:5">
      <c r="E2652"/>
    </row>
    <row r="2653" spans="5:5">
      <c r="E2653"/>
    </row>
    <row r="2654" spans="5:5">
      <c r="E2654"/>
    </row>
    <row r="2655" spans="5:5">
      <c r="E2655"/>
    </row>
    <row r="2656" spans="5:5">
      <c r="E2656"/>
    </row>
    <row r="2657" spans="5:5">
      <c r="E2657"/>
    </row>
    <row r="2658" spans="5:5">
      <c r="E2658"/>
    </row>
    <row r="2659" spans="5:5">
      <c r="E2659"/>
    </row>
    <row r="2660" spans="5:5">
      <c r="E2660"/>
    </row>
    <row r="2661" spans="5:5">
      <c r="E2661"/>
    </row>
    <row r="2662" spans="5:5">
      <c r="E2662"/>
    </row>
    <row r="2663" spans="5:5">
      <c r="E2663"/>
    </row>
    <row r="2664" spans="5:5">
      <c r="E2664"/>
    </row>
    <row r="2665" spans="5:5">
      <c r="E2665"/>
    </row>
    <row r="2666" spans="5:5">
      <c r="E2666"/>
    </row>
    <row r="2667" spans="5:5">
      <c r="E2667"/>
    </row>
    <row r="2668" spans="5:5">
      <c r="E2668"/>
    </row>
    <row r="2669" spans="5:5">
      <c r="E2669"/>
    </row>
    <row r="2670" spans="5:5">
      <c r="E2670"/>
    </row>
    <row r="2671" spans="5:5">
      <c r="E2671"/>
    </row>
    <row r="2672" spans="5:5">
      <c r="E2672"/>
    </row>
    <row r="2673" spans="5:5">
      <c r="E2673"/>
    </row>
    <row r="2674" spans="5:5">
      <c r="E2674"/>
    </row>
    <row r="2675" spans="5:5">
      <c r="E2675"/>
    </row>
    <row r="2676" spans="5:5">
      <c r="E2676"/>
    </row>
    <row r="2677" spans="5:5">
      <c r="E2677"/>
    </row>
    <row r="2678" spans="5:5">
      <c r="E2678"/>
    </row>
    <row r="2679" spans="5:5">
      <c r="E2679"/>
    </row>
    <row r="2680" spans="5:5">
      <c r="E2680"/>
    </row>
    <row r="2681" spans="5:5">
      <c r="E2681"/>
    </row>
    <row r="2682" spans="5:5">
      <c r="E2682"/>
    </row>
    <row r="2683" spans="5:5">
      <c r="E2683"/>
    </row>
    <row r="2684" spans="5:5">
      <c r="E2684"/>
    </row>
    <row r="2685" spans="5:5">
      <c r="E2685"/>
    </row>
    <row r="2686" spans="5:5">
      <c r="E2686"/>
    </row>
    <row r="2687" spans="5:5">
      <c r="E2687"/>
    </row>
    <row r="2688" spans="5:5">
      <c r="E2688"/>
    </row>
    <row r="2689" spans="5:5">
      <c r="E2689"/>
    </row>
    <row r="2690" spans="5:5">
      <c r="E2690"/>
    </row>
    <row r="2691" spans="5:5">
      <c r="E2691"/>
    </row>
    <row r="2692" spans="5:5">
      <c r="E2692"/>
    </row>
    <row r="2693" spans="5:5">
      <c r="E2693"/>
    </row>
    <row r="2694" spans="5:5">
      <c r="E2694"/>
    </row>
    <row r="2695" spans="5:5">
      <c r="E2695"/>
    </row>
    <row r="2696" spans="5:5">
      <c r="E2696"/>
    </row>
    <row r="2697" spans="5:5">
      <c r="E2697"/>
    </row>
    <row r="2698" spans="5:5">
      <c r="E2698"/>
    </row>
    <row r="2699" spans="5:5">
      <c r="E2699"/>
    </row>
    <row r="2700" spans="5:5">
      <c r="E2700"/>
    </row>
    <row r="2701" spans="5:5">
      <c r="E2701"/>
    </row>
    <row r="2702" spans="5:5">
      <c r="E2702"/>
    </row>
    <row r="2703" spans="5:5">
      <c r="E2703"/>
    </row>
    <row r="2704" spans="5:5">
      <c r="E2704"/>
    </row>
    <row r="2705" spans="5:5">
      <c r="E2705"/>
    </row>
    <row r="2706" spans="5:5">
      <c r="E2706"/>
    </row>
    <row r="2707" spans="5:5">
      <c r="E2707"/>
    </row>
    <row r="2708" spans="5:5">
      <c r="E2708"/>
    </row>
    <row r="2709" spans="5:5">
      <c r="E2709"/>
    </row>
    <row r="2710" spans="5:5">
      <c r="E2710"/>
    </row>
    <row r="2711" spans="5:5">
      <c r="E2711"/>
    </row>
    <row r="2712" spans="5:5">
      <c r="E2712"/>
    </row>
    <row r="2713" spans="5:5">
      <c r="E2713"/>
    </row>
    <row r="2714" spans="5:5">
      <c r="E2714"/>
    </row>
    <row r="2715" spans="5:5">
      <c r="E2715"/>
    </row>
    <row r="2716" spans="5:5">
      <c r="E2716"/>
    </row>
    <row r="2717" spans="5:5">
      <c r="E2717"/>
    </row>
    <row r="2718" spans="5:5">
      <c r="E2718"/>
    </row>
    <row r="2719" spans="5:5">
      <c r="E2719"/>
    </row>
    <row r="2720" spans="5:5">
      <c r="E2720"/>
    </row>
    <row r="2721" spans="5:5">
      <c r="E2721"/>
    </row>
    <row r="2722" spans="5:5">
      <c r="E2722"/>
    </row>
    <row r="2723" spans="5:5">
      <c r="E2723"/>
    </row>
    <row r="2724" spans="5:5">
      <c r="E2724"/>
    </row>
    <row r="2725" spans="5:5">
      <c r="E2725"/>
    </row>
    <row r="2726" spans="5:5">
      <c r="E2726"/>
    </row>
    <row r="2727" spans="5:5">
      <c r="E2727"/>
    </row>
    <row r="2728" spans="5:5">
      <c r="E2728"/>
    </row>
    <row r="2729" spans="5:5">
      <c r="E2729"/>
    </row>
    <row r="2730" spans="5:5">
      <c r="E2730"/>
    </row>
    <row r="2731" spans="5:5">
      <c r="E2731"/>
    </row>
    <row r="2732" spans="5:5">
      <c r="E2732"/>
    </row>
    <row r="2733" spans="5:5">
      <c r="E2733"/>
    </row>
    <row r="2734" spans="5:5">
      <c r="E2734"/>
    </row>
    <row r="2735" spans="5:5">
      <c r="E2735"/>
    </row>
    <row r="2736" spans="5:5">
      <c r="E2736"/>
    </row>
    <row r="2737" spans="5:5">
      <c r="E2737"/>
    </row>
    <row r="2738" spans="5:5">
      <c r="E2738"/>
    </row>
    <row r="2739" spans="5:5">
      <c r="E2739"/>
    </row>
    <row r="2740" spans="5:5">
      <c r="E2740"/>
    </row>
    <row r="2741" spans="5:5">
      <c r="E2741"/>
    </row>
    <row r="2742" spans="5:5">
      <c r="E2742"/>
    </row>
    <row r="2743" spans="5:5">
      <c r="E2743"/>
    </row>
    <row r="2744" spans="5:5">
      <c r="E2744"/>
    </row>
    <row r="2745" spans="5:5">
      <c r="E2745"/>
    </row>
    <row r="2746" spans="5:5">
      <c r="E2746"/>
    </row>
    <row r="2747" spans="5:5">
      <c r="E2747"/>
    </row>
    <row r="2748" spans="5:5">
      <c r="E2748"/>
    </row>
    <row r="2749" spans="5:5">
      <c r="E2749"/>
    </row>
    <row r="2750" spans="5:5">
      <c r="E2750"/>
    </row>
    <row r="2751" spans="5:5">
      <c r="E2751"/>
    </row>
    <row r="2752" spans="5:5">
      <c r="E2752"/>
    </row>
    <row r="2753" spans="5:5">
      <c r="E2753"/>
    </row>
    <row r="2754" spans="5:5">
      <c r="E2754"/>
    </row>
    <row r="2755" spans="5:5">
      <c r="E2755"/>
    </row>
    <row r="2756" spans="5:5">
      <c r="E2756"/>
    </row>
    <row r="2757" spans="5:5">
      <c r="E2757"/>
    </row>
    <row r="2758" spans="5:5">
      <c r="E2758"/>
    </row>
    <row r="2759" spans="5:5">
      <c r="E2759"/>
    </row>
    <row r="2760" spans="5:5">
      <c r="E2760"/>
    </row>
    <row r="2761" spans="5:5">
      <c r="E2761"/>
    </row>
    <row r="2762" spans="5:5">
      <c r="E2762"/>
    </row>
    <row r="2763" spans="5:5">
      <c r="E2763"/>
    </row>
    <row r="2764" spans="5:5">
      <c r="E2764"/>
    </row>
    <row r="2765" spans="5:5">
      <c r="E2765"/>
    </row>
    <row r="2766" spans="5:5">
      <c r="E2766"/>
    </row>
    <row r="2767" spans="5:5">
      <c r="E2767"/>
    </row>
    <row r="2768" spans="5:5">
      <c r="E2768"/>
    </row>
    <row r="2769" spans="5:5">
      <c r="E2769"/>
    </row>
    <row r="2770" spans="5:5">
      <c r="E2770"/>
    </row>
    <row r="2771" spans="5:5">
      <c r="E2771"/>
    </row>
    <row r="2772" spans="5:5">
      <c r="E2772"/>
    </row>
    <row r="2773" spans="5:5">
      <c r="E2773"/>
    </row>
    <row r="2774" spans="5:5">
      <c r="E2774"/>
    </row>
    <row r="2775" spans="5:5">
      <c r="E2775"/>
    </row>
    <row r="2776" spans="5:5">
      <c r="E2776"/>
    </row>
    <row r="2777" spans="5:5">
      <c r="E2777"/>
    </row>
    <row r="2778" spans="5:5">
      <c r="E2778"/>
    </row>
    <row r="2779" spans="5:5">
      <c r="E2779"/>
    </row>
    <row r="2780" spans="5:5">
      <c r="E2780"/>
    </row>
    <row r="2781" spans="5:5">
      <c r="E2781"/>
    </row>
    <row r="2782" spans="5:5">
      <c r="E2782"/>
    </row>
    <row r="2783" spans="5:5">
      <c r="E2783"/>
    </row>
    <row r="2784" spans="5:5">
      <c r="E2784"/>
    </row>
    <row r="2785" spans="5:5">
      <c r="E2785"/>
    </row>
    <row r="2786" spans="5:5">
      <c r="E2786"/>
    </row>
    <row r="2787" spans="5:5">
      <c r="E2787"/>
    </row>
    <row r="2788" spans="5:5">
      <c r="E2788"/>
    </row>
    <row r="2789" spans="5:5">
      <c r="E2789"/>
    </row>
    <row r="2790" spans="5:5">
      <c r="E2790"/>
    </row>
    <row r="2791" spans="5:5">
      <c r="E2791"/>
    </row>
    <row r="2792" spans="5:5">
      <c r="E2792"/>
    </row>
    <row r="2793" spans="5:5">
      <c r="E2793"/>
    </row>
    <row r="2794" spans="5:5">
      <c r="E2794"/>
    </row>
    <row r="2795" spans="5:5">
      <c r="E2795"/>
    </row>
    <row r="2796" spans="5:5">
      <c r="E2796"/>
    </row>
    <row r="2797" spans="5:5">
      <c r="E2797"/>
    </row>
    <row r="2798" spans="5:5">
      <c r="E2798"/>
    </row>
    <row r="2799" spans="5:5">
      <c r="E2799"/>
    </row>
    <row r="2800" spans="5:5">
      <c r="E2800"/>
    </row>
    <row r="2801" spans="5:5">
      <c r="E2801"/>
    </row>
    <row r="2802" spans="5:5">
      <c r="E2802"/>
    </row>
    <row r="2803" spans="5:5">
      <c r="E2803"/>
    </row>
    <row r="2804" spans="5:5">
      <c r="E2804"/>
    </row>
    <row r="2805" spans="5:5">
      <c r="E2805"/>
    </row>
    <row r="2806" spans="5:5">
      <c r="E2806"/>
    </row>
    <row r="2807" spans="5:5">
      <c r="E2807"/>
    </row>
    <row r="2808" spans="5:5">
      <c r="E2808"/>
    </row>
    <row r="2809" spans="5:5">
      <c r="E2809"/>
    </row>
    <row r="2810" spans="5:5">
      <c r="E2810"/>
    </row>
    <row r="2811" spans="5:5">
      <c r="E2811"/>
    </row>
    <row r="2812" spans="5:5">
      <c r="E2812"/>
    </row>
    <row r="2813" spans="5:5">
      <c r="E2813"/>
    </row>
    <row r="2814" spans="5:5">
      <c r="E2814"/>
    </row>
    <row r="2815" spans="5:5">
      <c r="E2815"/>
    </row>
    <row r="2816" spans="5:5">
      <c r="E2816"/>
    </row>
    <row r="2817" spans="5:5">
      <c r="E2817"/>
    </row>
    <row r="2818" spans="5:5">
      <c r="E2818"/>
    </row>
    <row r="2819" spans="5:5">
      <c r="E2819"/>
    </row>
    <row r="2820" spans="5:5">
      <c r="E2820"/>
    </row>
    <row r="2821" spans="5:5">
      <c r="E2821"/>
    </row>
    <row r="2822" spans="5:5">
      <c r="E2822"/>
    </row>
    <row r="2823" spans="5:5">
      <c r="E2823"/>
    </row>
    <row r="2824" spans="5:5">
      <c r="E2824"/>
    </row>
    <row r="2825" spans="5:5">
      <c r="E2825"/>
    </row>
    <row r="2826" spans="5:5">
      <c r="E2826"/>
    </row>
    <row r="2827" spans="5:5">
      <c r="E2827"/>
    </row>
    <row r="2828" spans="5:5">
      <c r="E2828"/>
    </row>
    <row r="2829" spans="5:5">
      <c r="E2829"/>
    </row>
    <row r="2830" spans="5:5">
      <c r="E2830"/>
    </row>
    <row r="2831" spans="5:5">
      <c r="E2831"/>
    </row>
    <row r="2832" spans="5:5">
      <c r="E2832"/>
    </row>
    <row r="2833" spans="5:5">
      <c r="E2833"/>
    </row>
    <row r="2834" spans="5:5">
      <c r="E2834"/>
    </row>
    <row r="2835" spans="5:5">
      <c r="E2835"/>
    </row>
    <row r="2836" spans="5:5">
      <c r="E2836"/>
    </row>
    <row r="2837" spans="5:5">
      <c r="E2837"/>
    </row>
    <row r="2838" spans="5:5">
      <c r="E2838"/>
    </row>
    <row r="2839" spans="5:5">
      <c r="E2839"/>
    </row>
    <row r="2840" spans="5:5">
      <c r="E2840"/>
    </row>
    <row r="2841" spans="5:5">
      <c r="E2841"/>
    </row>
    <row r="2842" spans="5:5">
      <c r="E2842"/>
    </row>
    <row r="2843" spans="5:5">
      <c r="E2843"/>
    </row>
    <row r="2844" spans="5:5">
      <c r="E2844"/>
    </row>
    <row r="2845" spans="5:5">
      <c r="E2845"/>
    </row>
    <row r="2846" spans="5:5">
      <c r="E2846"/>
    </row>
    <row r="2847" spans="5:5">
      <c r="E2847"/>
    </row>
    <row r="2848" spans="5:5">
      <c r="E2848"/>
    </row>
    <row r="2849" spans="5:5">
      <c r="E2849"/>
    </row>
    <row r="2850" spans="5:5">
      <c r="E2850"/>
    </row>
    <row r="2851" spans="5:5">
      <c r="E2851"/>
    </row>
    <row r="2852" spans="5:5">
      <c r="E2852"/>
    </row>
    <row r="2853" spans="5:5">
      <c r="E2853"/>
    </row>
    <row r="2854" spans="5:5">
      <c r="E2854"/>
    </row>
    <row r="2855" spans="5:5">
      <c r="E2855"/>
    </row>
    <row r="2856" spans="5:5">
      <c r="E2856"/>
    </row>
    <row r="2857" spans="5:5">
      <c r="E2857"/>
    </row>
    <row r="2858" spans="5:5">
      <c r="E2858"/>
    </row>
    <row r="2859" spans="5:5">
      <c r="E2859"/>
    </row>
    <row r="2860" spans="5:5">
      <c r="E2860"/>
    </row>
    <row r="2861" spans="5:5">
      <c r="E2861"/>
    </row>
    <row r="2862" spans="5:5">
      <c r="E2862"/>
    </row>
    <row r="2863" spans="5:5">
      <c r="E2863"/>
    </row>
    <row r="2864" spans="5:5">
      <c r="E2864"/>
    </row>
    <row r="2865" spans="5:5">
      <c r="E2865"/>
    </row>
    <row r="2866" spans="5:5">
      <c r="E2866"/>
    </row>
    <row r="2867" spans="5:5">
      <c r="E2867"/>
    </row>
    <row r="2868" spans="5:5">
      <c r="E2868"/>
    </row>
    <row r="2869" spans="5:5">
      <c r="E2869"/>
    </row>
    <row r="2870" spans="5:5">
      <c r="E2870"/>
    </row>
    <row r="2871" spans="5:5">
      <c r="E2871"/>
    </row>
    <row r="2872" spans="5:5">
      <c r="E2872"/>
    </row>
    <row r="2873" spans="5:5">
      <c r="E2873"/>
    </row>
    <row r="2874" spans="5:5">
      <c r="E2874"/>
    </row>
    <row r="2875" spans="5:5">
      <c r="E2875"/>
    </row>
    <row r="2876" spans="5:5">
      <c r="E2876"/>
    </row>
    <row r="2877" spans="5:5">
      <c r="E2877"/>
    </row>
    <row r="2878" spans="5:5">
      <c r="E2878"/>
    </row>
    <row r="2879" spans="5:5">
      <c r="E2879"/>
    </row>
    <row r="2880" spans="5:5">
      <c r="E2880"/>
    </row>
    <row r="2881" spans="5:5">
      <c r="E2881"/>
    </row>
    <row r="2882" spans="5:5">
      <c r="E2882"/>
    </row>
    <row r="2883" spans="5:5">
      <c r="E2883"/>
    </row>
    <row r="2884" spans="5:5">
      <c r="E2884"/>
    </row>
    <row r="2885" spans="5:5">
      <c r="E2885"/>
    </row>
    <row r="2886" spans="5:5">
      <c r="E2886"/>
    </row>
    <row r="2887" spans="5:5">
      <c r="E2887"/>
    </row>
    <row r="2888" spans="5:5">
      <c r="E2888"/>
    </row>
    <row r="2889" spans="5:5">
      <c r="E2889"/>
    </row>
    <row r="2890" spans="5:5">
      <c r="E2890"/>
    </row>
    <row r="2891" spans="5:5">
      <c r="E2891"/>
    </row>
    <row r="2892" spans="5:5">
      <c r="E2892"/>
    </row>
    <row r="2893" spans="5:5">
      <c r="E2893"/>
    </row>
    <row r="2894" spans="5:5">
      <c r="E2894"/>
    </row>
    <row r="2895" spans="5:5">
      <c r="E2895"/>
    </row>
    <row r="2896" spans="5:5">
      <c r="E2896"/>
    </row>
    <row r="2897" spans="5:5">
      <c r="E2897"/>
    </row>
    <row r="2898" spans="5:5">
      <c r="E2898"/>
    </row>
    <row r="2899" spans="5:5">
      <c r="E2899"/>
    </row>
    <row r="2900" spans="5:5">
      <c r="E2900"/>
    </row>
    <row r="2901" spans="5:5">
      <c r="E2901"/>
    </row>
    <row r="2902" spans="5:5">
      <c r="E2902"/>
    </row>
    <row r="2903" spans="5:5">
      <c r="E2903"/>
    </row>
    <row r="2904" spans="5:5">
      <c r="E2904"/>
    </row>
    <row r="2905" spans="5:5">
      <c r="E2905"/>
    </row>
    <row r="2906" spans="5:5">
      <c r="E2906"/>
    </row>
    <row r="2907" spans="5:5">
      <c r="E2907"/>
    </row>
    <row r="2908" spans="5:5">
      <c r="E2908"/>
    </row>
    <row r="2909" spans="5:5">
      <c r="E2909"/>
    </row>
    <row r="2910" spans="5:5">
      <c r="E2910"/>
    </row>
    <row r="2911" spans="5:5">
      <c r="E2911"/>
    </row>
    <row r="2912" spans="5:5">
      <c r="E2912"/>
    </row>
    <row r="2913" spans="5:5">
      <c r="E2913"/>
    </row>
    <row r="2914" spans="5:5">
      <c r="E2914"/>
    </row>
    <row r="2915" spans="5:5">
      <c r="E2915"/>
    </row>
    <row r="2916" spans="5:5">
      <c r="E2916"/>
    </row>
    <row r="2917" spans="5:5">
      <c r="E2917"/>
    </row>
    <row r="2918" spans="5:5">
      <c r="E2918"/>
    </row>
    <row r="2919" spans="5:5">
      <c r="E2919"/>
    </row>
    <row r="2920" spans="5:5">
      <c r="E2920"/>
    </row>
    <row r="2921" spans="5:5">
      <c r="E2921"/>
    </row>
    <row r="2922" spans="5:5">
      <c r="E2922"/>
    </row>
    <row r="2923" spans="5:5">
      <c r="E2923"/>
    </row>
    <row r="2924" spans="5:5">
      <c r="E2924"/>
    </row>
    <row r="2925" spans="5:5">
      <c r="E2925"/>
    </row>
    <row r="2926" spans="5:5">
      <c r="E2926"/>
    </row>
    <row r="2927" spans="5:5">
      <c r="E2927"/>
    </row>
    <row r="2928" spans="5:5">
      <c r="E2928"/>
    </row>
    <row r="2929" spans="5:5">
      <c r="E2929"/>
    </row>
    <row r="2930" spans="5:5">
      <c r="E2930"/>
    </row>
    <row r="2931" spans="5:5">
      <c r="E2931"/>
    </row>
    <row r="2932" spans="5:5">
      <c r="E2932"/>
    </row>
    <row r="2933" spans="5:5">
      <c r="E2933"/>
    </row>
    <row r="2934" spans="5:5">
      <c r="E2934"/>
    </row>
    <row r="2935" spans="5:5">
      <c r="E2935"/>
    </row>
    <row r="2936" spans="5:5">
      <c r="E2936"/>
    </row>
    <row r="2937" spans="5:5">
      <c r="E2937"/>
    </row>
    <row r="2938" spans="5:5">
      <c r="E2938"/>
    </row>
    <row r="2939" spans="5:5">
      <c r="E2939"/>
    </row>
    <row r="2940" spans="5:5">
      <c r="E2940"/>
    </row>
    <row r="2941" spans="5:5">
      <c r="E2941"/>
    </row>
    <row r="2942" spans="5:5">
      <c r="E2942"/>
    </row>
    <row r="2943" spans="5:5">
      <c r="E2943"/>
    </row>
    <row r="2944" spans="5:5">
      <c r="E2944"/>
    </row>
    <row r="2945" spans="5:5">
      <c r="E2945"/>
    </row>
    <row r="2946" spans="5:5">
      <c r="E2946"/>
    </row>
    <row r="2947" spans="5:5">
      <c r="E2947"/>
    </row>
    <row r="2948" spans="5:5">
      <c r="E2948"/>
    </row>
    <row r="2949" spans="5:5">
      <c r="E2949"/>
    </row>
    <row r="2950" spans="5:5">
      <c r="E2950"/>
    </row>
    <row r="2951" spans="5:5">
      <c r="E2951"/>
    </row>
    <row r="2952" spans="5:5">
      <c r="E2952"/>
    </row>
    <row r="2953" spans="5:5">
      <c r="E2953"/>
    </row>
    <row r="2954" spans="5:5">
      <c r="E2954"/>
    </row>
    <row r="2955" spans="5:5">
      <c r="E2955"/>
    </row>
    <row r="2956" spans="5:5">
      <c r="E2956"/>
    </row>
    <row r="2957" spans="5:5">
      <c r="E2957"/>
    </row>
    <row r="2958" spans="5:5">
      <c r="E2958"/>
    </row>
    <row r="2959" spans="5:5">
      <c r="E2959"/>
    </row>
    <row r="2960" spans="5:5">
      <c r="E2960"/>
    </row>
    <row r="2961" spans="5:5">
      <c r="E2961"/>
    </row>
    <row r="2962" spans="5:5">
      <c r="E2962"/>
    </row>
    <row r="2963" spans="5:5">
      <c r="E2963"/>
    </row>
    <row r="2964" spans="5:5">
      <c r="E2964"/>
    </row>
    <row r="2965" spans="5:5">
      <c r="E2965"/>
    </row>
    <row r="2966" spans="5:5">
      <c r="E2966"/>
    </row>
    <row r="2967" spans="5:5">
      <c r="E2967"/>
    </row>
    <row r="2968" spans="5:5">
      <c r="E2968"/>
    </row>
    <row r="2969" spans="5:5">
      <c r="E2969"/>
    </row>
    <row r="2970" spans="5:5">
      <c r="E2970"/>
    </row>
    <row r="2971" spans="5:5">
      <c r="E2971"/>
    </row>
    <row r="2972" spans="5:5">
      <c r="E2972"/>
    </row>
    <row r="2973" spans="5:5">
      <c r="E2973"/>
    </row>
    <row r="2974" spans="5:5">
      <c r="E2974"/>
    </row>
    <row r="2975" spans="5:5">
      <c r="E2975"/>
    </row>
    <row r="2976" spans="5:5">
      <c r="E2976"/>
    </row>
    <row r="2977" spans="5:5">
      <c r="E2977"/>
    </row>
    <row r="2978" spans="5:5">
      <c r="E2978"/>
    </row>
    <row r="2979" spans="5:5">
      <c r="E2979"/>
    </row>
    <row r="2980" spans="5:5">
      <c r="E2980"/>
    </row>
    <row r="2981" spans="5:5">
      <c r="E2981"/>
    </row>
    <row r="2982" spans="5:5">
      <c r="E2982"/>
    </row>
    <row r="2983" spans="5:5">
      <c r="E2983"/>
    </row>
    <row r="2984" spans="5:5">
      <c r="E2984"/>
    </row>
    <row r="2985" spans="5:5">
      <c r="E2985"/>
    </row>
    <row r="2986" spans="5:5">
      <c r="E2986"/>
    </row>
    <row r="2987" spans="5:5">
      <c r="E2987"/>
    </row>
    <row r="2988" spans="5:5">
      <c r="E2988"/>
    </row>
    <row r="2989" spans="5:5">
      <c r="E2989"/>
    </row>
    <row r="2990" spans="5:5">
      <c r="E2990"/>
    </row>
    <row r="2991" spans="5:5">
      <c r="E2991"/>
    </row>
    <row r="2992" spans="5:5">
      <c r="E2992"/>
    </row>
    <row r="2993" spans="5:5">
      <c r="E2993"/>
    </row>
    <row r="2994" spans="5:5">
      <c r="E2994"/>
    </row>
    <row r="2995" spans="5:5">
      <c r="E2995"/>
    </row>
    <row r="2996" spans="5:5">
      <c r="E2996"/>
    </row>
    <row r="2997" spans="5:5">
      <c r="E2997"/>
    </row>
    <row r="2998" spans="5:5">
      <c r="E2998"/>
    </row>
    <row r="2999" spans="5:5">
      <c r="E2999"/>
    </row>
    <row r="3000" spans="5:5">
      <c r="E3000"/>
    </row>
    <row r="3001" spans="5:5">
      <c r="E3001"/>
    </row>
    <row r="3002" spans="5:5">
      <c r="E3002"/>
    </row>
    <row r="3003" spans="5:5">
      <c r="E3003"/>
    </row>
    <row r="3004" spans="5:5">
      <c r="E3004"/>
    </row>
    <row r="3005" spans="5:5">
      <c r="E3005"/>
    </row>
    <row r="3006" spans="5:5">
      <c r="E3006"/>
    </row>
    <row r="3007" spans="5:5">
      <c r="E3007"/>
    </row>
    <row r="3008" spans="5:5">
      <c r="E3008"/>
    </row>
    <row r="3009" spans="5:5">
      <c r="E3009"/>
    </row>
    <row r="3010" spans="5:5">
      <c r="E3010"/>
    </row>
    <row r="3011" spans="5:5">
      <c r="E3011"/>
    </row>
    <row r="3012" spans="5:5">
      <c r="E3012"/>
    </row>
    <row r="3013" spans="5:5">
      <c r="E3013"/>
    </row>
    <row r="3014" spans="5:5">
      <c r="E3014"/>
    </row>
    <row r="3015" spans="5:5">
      <c r="E3015"/>
    </row>
    <row r="3016" spans="5:5">
      <c r="E3016"/>
    </row>
    <row r="3017" spans="5:5">
      <c r="E3017"/>
    </row>
    <row r="3018" spans="5:5">
      <c r="E3018"/>
    </row>
    <row r="3019" spans="5:5">
      <c r="E3019"/>
    </row>
    <row r="3020" spans="5:5">
      <c r="E3020"/>
    </row>
    <row r="3021" spans="5:5">
      <c r="E3021"/>
    </row>
    <row r="3022" spans="5:5">
      <c r="E3022"/>
    </row>
    <row r="3023" spans="5:5">
      <c r="E3023"/>
    </row>
    <row r="3024" spans="5:5">
      <c r="E3024"/>
    </row>
    <row r="3025" spans="5:5">
      <c r="E3025"/>
    </row>
    <row r="3026" spans="5:5">
      <c r="E3026"/>
    </row>
    <row r="3027" spans="5:5">
      <c r="E3027"/>
    </row>
    <row r="3028" spans="5:5">
      <c r="E3028"/>
    </row>
    <row r="3029" spans="5:5">
      <c r="E3029"/>
    </row>
    <row r="3030" spans="5:5">
      <c r="E3030"/>
    </row>
    <row r="3031" spans="5:5">
      <c r="E3031"/>
    </row>
    <row r="3032" spans="5:5">
      <c r="E3032"/>
    </row>
    <row r="3033" spans="5:5">
      <c r="E3033"/>
    </row>
    <row r="3034" spans="5:5">
      <c r="E3034"/>
    </row>
    <row r="3035" spans="5:5">
      <c r="E3035"/>
    </row>
    <row r="3036" spans="5:5">
      <c r="E3036"/>
    </row>
    <row r="3037" spans="5:5">
      <c r="E3037"/>
    </row>
    <row r="3038" spans="5:5">
      <c r="E3038"/>
    </row>
    <row r="3039" spans="5:5">
      <c r="E3039"/>
    </row>
    <row r="3040" spans="5:5">
      <c r="E3040"/>
    </row>
    <row r="3041" spans="5:5">
      <c r="E3041"/>
    </row>
    <row r="3042" spans="5:5">
      <c r="E3042"/>
    </row>
    <row r="3043" spans="5:5">
      <c r="E3043"/>
    </row>
    <row r="3044" spans="5:5">
      <c r="E3044"/>
    </row>
    <row r="3045" spans="5:5">
      <c r="E3045"/>
    </row>
    <row r="3046" spans="5:5">
      <c r="E3046"/>
    </row>
    <row r="3047" spans="5:5">
      <c r="E3047"/>
    </row>
    <row r="3048" spans="5:5">
      <c r="E3048"/>
    </row>
    <row r="3049" spans="5:5">
      <c r="E3049"/>
    </row>
    <row r="3050" spans="5:5">
      <c r="E3050"/>
    </row>
    <row r="3051" spans="5:5">
      <c r="E3051"/>
    </row>
    <row r="3052" spans="5:5">
      <c r="E3052"/>
    </row>
    <row r="3053" spans="5:5">
      <c r="E3053"/>
    </row>
    <row r="3054" spans="5:5">
      <c r="E3054"/>
    </row>
    <row r="3055" spans="5:5">
      <c r="E3055"/>
    </row>
    <row r="3056" spans="5:5">
      <c r="E3056"/>
    </row>
    <row r="3057" spans="5:5">
      <c r="E3057"/>
    </row>
    <row r="3058" spans="5:5">
      <c r="E3058"/>
    </row>
    <row r="3059" spans="5:5">
      <c r="E3059"/>
    </row>
    <row r="3060" spans="5:5">
      <c r="E3060"/>
    </row>
    <row r="3061" spans="5:5">
      <c r="E3061"/>
    </row>
    <row r="3062" spans="5:5">
      <c r="E3062"/>
    </row>
    <row r="3063" spans="5:5">
      <c r="E3063"/>
    </row>
    <row r="3064" spans="5:5">
      <c r="E3064"/>
    </row>
    <row r="3065" spans="5:5">
      <c r="E3065"/>
    </row>
    <row r="3066" spans="5:5">
      <c r="E3066"/>
    </row>
    <row r="3067" spans="5:5">
      <c r="E3067"/>
    </row>
    <row r="3068" spans="5:5">
      <c r="E3068"/>
    </row>
    <row r="3069" spans="5:5">
      <c r="E3069"/>
    </row>
    <row r="3070" spans="5:5">
      <c r="E3070"/>
    </row>
    <row r="3071" spans="5:5">
      <c r="E3071"/>
    </row>
    <row r="3072" spans="5:5">
      <c r="E3072"/>
    </row>
    <row r="3073" spans="5:5">
      <c r="E3073"/>
    </row>
    <row r="3074" spans="5:5">
      <c r="E3074"/>
    </row>
    <row r="3075" spans="5:5">
      <c r="E3075"/>
    </row>
    <row r="3076" spans="5:5">
      <c r="E3076"/>
    </row>
    <row r="3077" spans="5:5">
      <c r="E3077"/>
    </row>
    <row r="3078" spans="5:5">
      <c r="E3078"/>
    </row>
    <row r="3079" spans="5:5">
      <c r="E3079"/>
    </row>
    <row r="3080" spans="5:5">
      <c r="E3080"/>
    </row>
    <row r="3081" spans="5:5">
      <c r="E3081"/>
    </row>
    <row r="3082" spans="5:5">
      <c r="E3082"/>
    </row>
    <row r="3083" spans="5:5">
      <c r="E3083"/>
    </row>
    <row r="3084" spans="5:5">
      <c r="E3084"/>
    </row>
    <row r="3085" spans="5:5">
      <c r="E3085"/>
    </row>
    <row r="3086" spans="5:5">
      <c r="E3086"/>
    </row>
    <row r="3087" spans="5:5">
      <c r="E3087"/>
    </row>
    <row r="3088" spans="5:5">
      <c r="E3088"/>
    </row>
    <row r="3089" spans="5:5">
      <c r="E3089"/>
    </row>
    <row r="3090" spans="5:5">
      <c r="E3090"/>
    </row>
    <row r="3091" spans="5:5">
      <c r="E3091"/>
    </row>
    <row r="3092" spans="5:5">
      <c r="E3092"/>
    </row>
    <row r="3093" spans="5:5">
      <c r="E3093"/>
    </row>
    <row r="3094" spans="5:5">
      <c r="E3094"/>
    </row>
    <row r="3095" spans="5:5">
      <c r="E3095"/>
    </row>
    <row r="3096" spans="5:5">
      <c r="E3096"/>
    </row>
    <row r="3097" spans="5:5">
      <c r="E3097"/>
    </row>
    <row r="3098" spans="5:5">
      <c r="E3098"/>
    </row>
    <row r="3099" spans="5:5">
      <c r="E3099"/>
    </row>
    <row r="3100" spans="5:5">
      <c r="E3100"/>
    </row>
    <row r="3101" spans="5:5">
      <c r="E3101"/>
    </row>
    <row r="3102" spans="5:5">
      <c r="E3102"/>
    </row>
    <row r="3103" spans="5:5">
      <c r="E3103"/>
    </row>
    <row r="3104" spans="5:5">
      <c r="E3104"/>
    </row>
    <row r="3105" spans="5:5">
      <c r="E3105"/>
    </row>
    <row r="3106" spans="5:5">
      <c r="E3106"/>
    </row>
    <row r="3107" spans="5:5">
      <c r="E3107"/>
    </row>
    <row r="3108" spans="5:5">
      <c r="E3108"/>
    </row>
    <row r="3109" spans="5:5">
      <c r="E3109"/>
    </row>
    <row r="3110" spans="5:5">
      <c r="E3110"/>
    </row>
    <row r="3111" spans="5:5">
      <c r="E3111"/>
    </row>
    <row r="3112" spans="5:5">
      <c r="E3112"/>
    </row>
    <row r="3113" spans="5:5">
      <c r="E3113"/>
    </row>
    <row r="3114" spans="5:5">
      <c r="E3114"/>
    </row>
    <row r="3115" spans="5:5">
      <c r="E3115"/>
    </row>
    <row r="3116" spans="5:5">
      <c r="E3116"/>
    </row>
    <row r="3117" spans="5:5">
      <c r="E3117"/>
    </row>
    <row r="3118" spans="5:5">
      <c r="E3118"/>
    </row>
    <row r="3119" spans="5:5">
      <c r="E3119"/>
    </row>
    <row r="3120" spans="5:5">
      <c r="E3120"/>
    </row>
    <row r="3121" spans="5:5">
      <c r="E3121"/>
    </row>
    <row r="3122" spans="5:5">
      <c r="E3122"/>
    </row>
    <row r="3123" spans="5:5">
      <c r="E3123"/>
    </row>
    <row r="3124" spans="5:5">
      <c r="E3124"/>
    </row>
    <row r="3125" spans="5:5">
      <c r="E3125"/>
    </row>
    <row r="3126" spans="5:5">
      <c r="E3126"/>
    </row>
    <row r="3127" spans="5:5">
      <c r="E3127"/>
    </row>
    <row r="3128" spans="5:5">
      <c r="E3128"/>
    </row>
    <row r="3129" spans="5:5">
      <c r="E3129"/>
    </row>
    <row r="3130" spans="5:5">
      <c r="E3130"/>
    </row>
    <row r="3131" spans="5:5">
      <c r="E3131"/>
    </row>
    <row r="3132" spans="5:5">
      <c r="E3132"/>
    </row>
    <row r="3133" spans="5:5">
      <c r="E3133"/>
    </row>
    <row r="3134" spans="5:5">
      <c r="E3134"/>
    </row>
    <row r="3135" spans="5:5">
      <c r="E3135"/>
    </row>
    <row r="3136" spans="5:5">
      <c r="E3136"/>
    </row>
    <row r="3137" spans="5:5">
      <c r="E3137"/>
    </row>
    <row r="3138" spans="5:5">
      <c r="E3138"/>
    </row>
    <row r="3139" spans="5:5">
      <c r="E3139"/>
    </row>
    <row r="3140" spans="5:5">
      <c r="E3140"/>
    </row>
    <row r="3141" spans="5:5">
      <c r="E3141"/>
    </row>
    <row r="3142" spans="5:5">
      <c r="E3142"/>
    </row>
    <row r="3143" spans="5:5">
      <c r="E3143"/>
    </row>
    <row r="3144" spans="5:5">
      <c r="E3144"/>
    </row>
    <row r="3145" spans="5:5">
      <c r="E3145"/>
    </row>
    <row r="3146" spans="5:5">
      <c r="E3146"/>
    </row>
    <row r="3147" spans="5:5">
      <c r="E3147"/>
    </row>
    <row r="3148" spans="5:5">
      <c r="E3148"/>
    </row>
    <row r="3149" spans="5:5">
      <c r="E3149"/>
    </row>
    <row r="3150" spans="5:5">
      <c r="E3150"/>
    </row>
    <row r="3151" spans="5:5">
      <c r="E3151"/>
    </row>
    <row r="3152" spans="5:5">
      <c r="E3152"/>
    </row>
    <row r="3153" spans="5:5">
      <c r="E3153"/>
    </row>
    <row r="3154" spans="5:5">
      <c r="E3154"/>
    </row>
    <row r="3155" spans="5:5">
      <c r="E3155"/>
    </row>
    <row r="3156" spans="5:5">
      <c r="E3156"/>
    </row>
    <row r="3157" spans="5:5">
      <c r="E3157"/>
    </row>
    <row r="3158" spans="5:5">
      <c r="E3158"/>
    </row>
    <row r="3159" spans="5:5">
      <c r="E3159"/>
    </row>
    <row r="3160" spans="5:5">
      <c r="E3160"/>
    </row>
    <row r="3161" spans="5:5">
      <c r="E3161"/>
    </row>
    <row r="3162" spans="5:5">
      <c r="E3162"/>
    </row>
    <row r="3163" spans="5:5">
      <c r="E3163"/>
    </row>
    <row r="3164" spans="5:5">
      <c r="E3164"/>
    </row>
    <row r="3165" spans="5:5">
      <c r="E3165"/>
    </row>
    <row r="3166" spans="5:5">
      <c r="E3166"/>
    </row>
    <row r="3167" spans="5:5">
      <c r="E3167"/>
    </row>
    <row r="3168" spans="5:5">
      <c r="E3168"/>
    </row>
    <row r="3169" spans="5:5">
      <c r="E3169"/>
    </row>
    <row r="3170" spans="5:5">
      <c r="E3170"/>
    </row>
    <row r="3171" spans="5:5">
      <c r="E3171"/>
    </row>
    <row r="3172" spans="5:5">
      <c r="E3172"/>
    </row>
    <row r="3173" spans="5:5">
      <c r="E3173"/>
    </row>
    <row r="3174" spans="5:5">
      <c r="E3174"/>
    </row>
    <row r="3175" spans="5:5">
      <c r="E3175"/>
    </row>
    <row r="3176" spans="5:5">
      <c r="E3176"/>
    </row>
    <row r="3177" spans="5:5">
      <c r="E3177"/>
    </row>
    <row r="3178" spans="5:5">
      <c r="E3178"/>
    </row>
    <row r="3179" spans="5:5">
      <c r="E3179"/>
    </row>
    <row r="3180" spans="5:5">
      <c r="E3180"/>
    </row>
    <row r="3181" spans="5:5">
      <c r="E3181"/>
    </row>
    <row r="3182" spans="5:5">
      <c r="E3182"/>
    </row>
    <row r="3183" spans="5:5">
      <c r="E3183"/>
    </row>
    <row r="3184" spans="5:5">
      <c r="E3184"/>
    </row>
    <row r="3185" spans="5:5">
      <c r="E3185"/>
    </row>
    <row r="3186" spans="5:5">
      <c r="E3186"/>
    </row>
    <row r="3187" spans="5:5">
      <c r="E3187"/>
    </row>
    <row r="3188" spans="5:5">
      <c r="E3188"/>
    </row>
    <row r="3189" spans="5:5">
      <c r="E3189"/>
    </row>
    <row r="3190" spans="5:5">
      <c r="E3190"/>
    </row>
    <row r="3191" spans="5:5">
      <c r="E3191"/>
    </row>
    <row r="3192" spans="5:5">
      <c r="E3192"/>
    </row>
    <row r="3193" spans="5:5">
      <c r="E3193"/>
    </row>
    <row r="3194" spans="5:5">
      <c r="E3194"/>
    </row>
    <row r="3195" spans="5:5">
      <c r="E3195"/>
    </row>
    <row r="3196" spans="5:5">
      <c r="E3196"/>
    </row>
    <row r="3197" spans="5:5">
      <c r="E3197"/>
    </row>
    <row r="3198" spans="5:5">
      <c r="E3198"/>
    </row>
    <row r="3199" spans="5:5">
      <c r="E3199"/>
    </row>
    <row r="3200" spans="5:5">
      <c r="E3200"/>
    </row>
    <row r="3201" spans="5:5">
      <c r="E3201"/>
    </row>
    <row r="3202" spans="5:5">
      <c r="E3202"/>
    </row>
    <row r="3203" spans="5:5">
      <c r="E3203"/>
    </row>
    <row r="3204" spans="5:5">
      <c r="E3204"/>
    </row>
    <row r="3205" spans="5:5">
      <c r="E3205"/>
    </row>
    <row r="3206" spans="5:5">
      <c r="E3206"/>
    </row>
    <row r="3207" spans="5:5">
      <c r="E3207"/>
    </row>
    <row r="3208" spans="5:5">
      <c r="E3208"/>
    </row>
    <row r="3209" spans="5:5">
      <c r="E3209"/>
    </row>
    <row r="3210" spans="5:5">
      <c r="E3210"/>
    </row>
    <row r="3211" spans="5:5">
      <c r="E3211"/>
    </row>
    <row r="3212" spans="5:5">
      <c r="E3212"/>
    </row>
    <row r="3213" spans="5:5">
      <c r="E3213"/>
    </row>
    <row r="3214" spans="5:5">
      <c r="E3214"/>
    </row>
    <row r="3215" spans="5:5">
      <c r="E3215"/>
    </row>
    <row r="3216" spans="5:5">
      <c r="E3216"/>
    </row>
    <row r="3217" spans="5:5">
      <c r="E3217"/>
    </row>
    <row r="3218" spans="5:5">
      <c r="E3218"/>
    </row>
    <row r="3219" spans="5:5">
      <c r="E3219"/>
    </row>
    <row r="3220" spans="5:5">
      <c r="E3220"/>
    </row>
    <row r="3221" spans="5:5">
      <c r="E3221"/>
    </row>
    <row r="3222" spans="5:5">
      <c r="E3222"/>
    </row>
    <row r="3223" spans="5:5">
      <c r="E3223"/>
    </row>
    <row r="3224" spans="5:5">
      <c r="E3224"/>
    </row>
    <row r="3225" spans="5:5">
      <c r="E3225"/>
    </row>
    <row r="3226" spans="5:5">
      <c r="E3226"/>
    </row>
    <row r="3227" spans="5:5">
      <c r="E3227"/>
    </row>
    <row r="3228" spans="5:5">
      <c r="E3228"/>
    </row>
    <row r="3229" spans="5:5">
      <c r="E3229"/>
    </row>
    <row r="3230" spans="5:5">
      <c r="E3230"/>
    </row>
    <row r="3231" spans="5:5">
      <c r="E3231"/>
    </row>
    <row r="3232" spans="5:5">
      <c r="E3232"/>
    </row>
    <row r="3233" spans="5:5">
      <c r="E3233"/>
    </row>
    <row r="3234" spans="5:5">
      <c r="E3234"/>
    </row>
    <row r="3235" spans="5:5">
      <c r="E3235"/>
    </row>
    <row r="3236" spans="5:5">
      <c r="E3236"/>
    </row>
    <row r="3237" spans="5:5">
      <c r="E3237"/>
    </row>
    <row r="3238" spans="5:5">
      <c r="E3238"/>
    </row>
    <row r="3239" spans="5:5">
      <c r="E3239"/>
    </row>
    <row r="3240" spans="5:5">
      <c r="E3240"/>
    </row>
    <row r="3241" spans="5:5">
      <c r="E3241"/>
    </row>
    <row r="3242" spans="5:5">
      <c r="E3242"/>
    </row>
    <row r="3243" spans="5:5">
      <c r="E3243"/>
    </row>
    <row r="3244" spans="5:5">
      <c r="E3244"/>
    </row>
    <row r="3245" spans="5:5">
      <c r="E3245"/>
    </row>
    <row r="3246" spans="5:5">
      <c r="E3246"/>
    </row>
    <row r="3247" spans="5:5">
      <c r="E3247"/>
    </row>
    <row r="3248" spans="5:5">
      <c r="E3248"/>
    </row>
    <row r="3249" spans="5:5">
      <c r="E3249"/>
    </row>
    <row r="3250" spans="5:5">
      <c r="E3250"/>
    </row>
    <row r="3251" spans="5:5">
      <c r="E3251"/>
    </row>
    <row r="3252" spans="5:5">
      <c r="E3252"/>
    </row>
    <row r="3253" spans="5:5">
      <c r="E3253"/>
    </row>
    <row r="3254" spans="5:5">
      <c r="E3254"/>
    </row>
    <row r="3255" spans="5:5">
      <c r="E3255"/>
    </row>
    <row r="3256" spans="5:5">
      <c r="E3256"/>
    </row>
    <row r="3257" spans="5:5">
      <c r="E3257"/>
    </row>
    <row r="3258" spans="5:5">
      <c r="E3258"/>
    </row>
    <row r="3259" spans="5:5">
      <c r="E3259"/>
    </row>
    <row r="3260" spans="5:5">
      <c r="E3260"/>
    </row>
    <row r="3261" spans="5:5">
      <c r="E3261"/>
    </row>
    <row r="3262" spans="5:5">
      <c r="E3262"/>
    </row>
    <row r="3263" spans="5:5">
      <c r="E3263"/>
    </row>
    <row r="3264" spans="5:5">
      <c r="E3264"/>
    </row>
    <row r="3265" spans="5:5">
      <c r="E3265"/>
    </row>
    <row r="3266" spans="5:5">
      <c r="E3266"/>
    </row>
    <row r="3267" spans="5:5">
      <c r="E3267"/>
    </row>
    <row r="3268" spans="5:5">
      <c r="E3268"/>
    </row>
    <row r="3269" spans="5:5">
      <c r="E3269"/>
    </row>
    <row r="3270" spans="5:5">
      <c r="E3270"/>
    </row>
    <row r="3271" spans="5:5">
      <c r="E3271"/>
    </row>
    <row r="3272" spans="5:5">
      <c r="E3272"/>
    </row>
    <row r="3273" spans="5:5">
      <c r="E3273"/>
    </row>
    <row r="3274" spans="5:5">
      <c r="E3274"/>
    </row>
    <row r="3275" spans="5:5">
      <c r="E3275"/>
    </row>
    <row r="3276" spans="5:5">
      <c r="E3276"/>
    </row>
    <row r="3277" spans="5:5">
      <c r="E3277"/>
    </row>
    <row r="3278" spans="5:5">
      <c r="E3278"/>
    </row>
    <row r="3279" spans="5:5">
      <c r="E3279"/>
    </row>
    <row r="3280" spans="5:5">
      <c r="E3280"/>
    </row>
    <row r="3281" spans="5:5">
      <c r="E3281"/>
    </row>
    <row r="3282" spans="5:5">
      <c r="E3282"/>
    </row>
    <row r="3283" spans="5:5">
      <c r="E3283"/>
    </row>
    <row r="3284" spans="5:5">
      <c r="E3284"/>
    </row>
    <row r="3285" spans="5:5">
      <c r="E3285"/>
    </row>
    <row r="3286" spans="5:5">
      <c r="E3286"/>
    </row>
    <row r="3287" spans="5:5">
      <c r="E3287"/>
    </row>
    <row r="3288" spans="5:5">
      <c r="E3288"/>
    </row>
    <row r="3289" spans="5:5">
      <c r="E3289"/>
    </row>
    <row r="3290" spans="5:5">
      <c r="E3290"/>
    </row>
    <row r="3291" spans="5:5">
      <c r="E3291"/>
    </row>
    <row r="3292" spans="5:5">
      <c r="E3292"/>
    </row>
    <row r="3293" spans="5:5">
      <c r="E3293"/>
    </row>
    <row r="3294" spans="5:5">
      <c r="E3294"/>
    </row>
    <row r="3295" spans="5:5">
      <c r="E3295"/>
    </row>
    <row r="3296" spans="5:5">
      <c r="E3296"/>
    </row>
    <row r="3297" spans="5:5">
      <c r="E3297"/>
    </row>
    <row r="3298" spans="5:5">
      <c r="E3298"/>
    </row>
    <row r="3299" spans="5:5">
      <c r="E3299"/>
    </row>
    <row r="3300" spans="5:5">
      <c r="E3300"/>
    </row>
    <row r="3301" spans="5:5">
      <c r="E3301"/>
    </row>
    <row r="3302" spans="5:5">
      <c r="E3302"/>
    </row>
    <row r="3303" spans="5:5">
      <c r="E3303"/>
    </row>
    <row r="3304" spans="5:5">
      <c r="E3304"/>
    </row>
    <row r="3305" spans="5:5">
      <c r="E3305"/>
    </row>
    <row r="3306" spans="5:5">
      <c r="E3306"/>
    </row>
    <row r="3307" spans="5:5">
      <c r="E3307"/>
    </row>
    <row r="3308" spans="5:5">
      <c r="E3308"/>
    </row>
    <row r="3309" spans="5:5">
      <c r="E3309"/>
    </row>
    <row r="3310" spans="5:5">
      <c r="E3310"/>
    </row>
    <row r="3311" spans="5:5">
      <c r="E3311"/>
    </row>
    <row r="3312" spans="5:5">
      <c r="E3312"/>
    </row>
    <row r="3313" spans="5:5">
      <c r="E3313"/>
    </row>
    <row r="3314" spans="5:5">
      <c r="E3314"/>
    </row>
    <row r="3315" spans="5:5">
      <c r="E3315"/>
    </row>
    <row r="3316" spans="5:5">
      <c r="E3316"/>
    </row>
    <row r="3317" spans="5:5">
      <c r="E3317"/>
    </row>
    <row r="3318" spans="5:5">
      <c r="E3318"/>
    </row>
    <row r="3319" spans="5:5">
      <c r="E3319"/>
    </row>
    <row r="3320" spans="5:5">
      <c r="E3320"/>
    </row>
    <row r="3321" spans="5:5">
      <c r="E3321"/>
    </row>
    <row r="3322" spans="5:5">
      <c r="E3322"/>
    </row>
    <row r="3323" spans="5:5">
      <c r="E3323"/>
    </row>
    <row r="3324" spans="5:5">
      <c r="E3324"/>
    </row>
    <row r="3325" spans="5:5">
      <c r="E3325"/>
    </row>
    <row r="3326" spans="5:5">
      <c r="E3326"/>
    </row>
    <row r="3327" spans="5:5">
      <c r="E3327"/>
    </row>
    <row r="3328" spans="5:5">
      <c r="E3328"/>
    </row>
    <row r="3329" spans="5:5">
      <c r="E3329"/>
    </row>
    <row r="3330" spans="5:5">
      <c r="E3330"/>
    </row>
    <row r="3331" spans="5:5">
      <c r="E3331"/>
    </row>
    <row r="3332" spans="5:5">
      <c r="E3332"/>
    </row>
    <row r="3333" spans="5:5">
      <c r="E3333"/>
    </row>
    <row r="3334" spans="5:5">
      <c r="E3334"/>
    </row>
    <row r="3335" spans="5:5">
      <c r="E3335"/>
    </row>
    <row r="3336" spans="5:5">
      <c r="E3336"/>
    </row>
    <row r="3337" spans="5:5">
      <c r="E3337"/>
    </row>
    <row r="3338" spans="5:5">
      <c r="E3338"/>
    </row>
    <row r="3339" spans="5:5">
      <c r="E3339"/>
    </row>
    <row r="3340" spans="5:5">
      <c r="E3340"/>
    </row>
    <row r="3341" spans="5:5">
      <c r="E3341"/>
    </row>
    <row r="3342" spans="5:5">
      <c r="E3342"/>
    </row>
    <row r="3343" spans="5:5">
      <c r="E3343"/>
    </row>
    <row r="3344" spans="5:5">
      <c r="E3344"/>
    </row>
    <row r="3345" spans="5:5">
      <c r="E3345"/>
    </row>
    <row r="3346" spans="5:5">
      <c r="E3346"/>
    </row>
    <row r="3347" spans="5:5">
      <c r="E3347"/>
    </row>
    <row r="3348" spans="5:5">
      <c r="E3348"/>
    </row>
    <row r="3349" spans="5:5">
      <c r="E3349"/>
    </row>
    <row r="3350" spans="5:5">
      <c r="E3350"/>
    </row>
    <row r="3351" spans="5:5">
      <c r="E3351"/>
    </row>
    <row r="3352" spans="5:5">
      <c r="E3352"/>
    </row>
    <row r="3353" spans="5:5">
      <c r="E3353"/>
    </row>
    <row r="3354" spans="5:5">
      <c r="E3354"/>
    </row>
    <row r="3355" spans="5:5">
      <c r="E3355"/>
    </row>
    <row r="3356" spans="5:5">
      <c r="E3356"/>
    </row>
    <row r="3357" spans="5:5">
      <c r="E3357"/>
    </row>
    <row r="3358" spans="5:5">
      <c r="E3358"/>
    </row>
    <row r="3359" spans="5:5">
      <c r="E3359"/>
    </row>
    <row r="3360" spans="5:5">
      <c r="E3360"/>
    </row>
    <row r="3361" spans="5:5">
      <c r="E3361"/>
    </row>
    <row r="3362" spans="5:5">
      <c r="E3362"/>
    </row>
    <row r="3363" spans="5:5">
      <c r="E3363"/>
    </row>
    <row r="3364" spans="5:5">
      <c r="E3364"/>
    </row>
    <row r="3365" spans="5:5">
      <c r="E3365"/>
    </row>
    <row r="3366" spans="5:5">
      <c r="E3366"/>
    </row>
    <row r="3367" spans="5:5">
      <c r="E3367"/>
    </row>
    <row r="3368" spans="5:5">
      <c r="E3368"/>
    </row>
    <row r="3369" spans="5:5">
      <c r="E3369"/>
    </row>
    <row r="3370" spans="5:5">
      <c r="E3370"/>
    </row>
    <row r="3371" spans="5:5">
      <c r="E3371"/>
    </row>
    <row r="3372" spans="5:5">
      <c r="E3372"/>
    </row>
    <row r="3373" spans="5:5">
      <c r="E3373"/>
    </row>
    <row r="3374" spans="5:5">
      <c r="E3374"/>
    </row>
    <row r="3375" spans="5:5">
      <c r="E3375"/>
    </row>
    <row r="3376" spans="5:5">
      <c r="E3376"/>
    </row>
    <row r="3377" spans="5:5">
      <c r="E3377"/>
    </row>
    <row r="3378" spans="5:5">
      <c r="E3378"/>
    </row>
    <row r="3379" spans="5:5">
      <c r="E3379"/>
    </row>
    <row r="3380" spans="5:5">
      <c r="E3380"/>
    </row>
    <row r="3381" spans="5:5">
      <c r="E3381"/>
    </row>
    <row r="3382" spans="5:5">
      <c r="E3382"/>
    </row>
    <row r="3383" spans="5:5">
      <c r="E3383"/>
    </row>
    <row r="3384" spans="5:5">
      <c r="E3384"/>
    </row>
    <row r="3385" spans="5:5">
      <c r="E3385"/>
    </row>
    <row r="3386" spans="5:5">
      <c r="E3386"/>
    </row>
    <row r="3387" spans="5:5">
      <c r="E3387"/>
    </row>
    <row r="3388" spans="5:5">
      <c r="E3388"/>
    </row>
    <row r="3389" spans="5:5">
      <c r="E3389"/>
    </row>
    <row r="3390" spans="5:5">
      <c r="E3390"/>
    </row>
    <row r="3391" spans="5:5">
      <c r="E3391"/>
    </row>
    <row r="3392" spans="5:5">
      <c r="E3392"/>
    </row>
    <row r="3393" spans="5:5">
      <c r="E3393"/>
    </row>
    <row r="3394" spans="5:5">
      <c r="E3394"/>
    </row>
    <row r="3395" spans="5:5">
      <c r="E3395"/>
    </row>
    <row r="3396" spans="5:5">
      <c r="E3396"/>
    </row>
    <row r="3397" spans="5:5">
      <c r="E3397"/>
    </row>
    <row r="3398" spans="5:5">
      <c r="E3398"/>
    </row>
    <row r="3399" spans="5:5">
      <c r="E3399"/>
    </row>
    <row r="3400" spans="5:5">
      <c r="E3400"/>
    </row>
    <row r="3401" spans="5:5">
      <c r="E3401"/>
    </row>
    <row r="3402" spans="5:5">
      <c r="E3402"/>
    </row>
    <row r="3403" spans="5:5">
      <c r="E3403"/>
    </row>
    <row r="3404" spans="5:5">
      <c r="E3404"/>
    </row>
    <row r="3405" spans="5:5">
      <c r="E3405"/>
    </row>
    <row r="3406" spans="5:5">
      <c r="E3406"/>
    </row>
    <row r="3407" spans="5:5">
      <c r="E3407"/>
    </row>
    <row r="3408" spans="5:5">
      <c r="E3408"/>
    </row>
    <row r="3409" spans="5:5">
      <c r="E3409"/>
    </row>
    <row r="3410" spans="5:5">
      <c r="E3410"/>
    </row>
    <row r="3411" spans="5:5">
      <c r="E3411"/>
    </row>
    <row r="3412" spans="5:5">
      <c r="E3412"/>
    </row>
    <row r="3413" spans="5:5">
      <c r="E3413"/>
    </row>
    <row r="3414" spans="5:5">
      <c r="E3414"/>
    </row>
    <row r="3415" spans="5:5">
      <c r="E3415"/>
    </row>
    <row r="3416" spans="5:5">
      <c r="E3416"/>
    </row>
    <row r="3417" spans="5:5">
      <c r="E3417"/>
    </row>
    <row r="3418" spans="5:5">
      <c r="E3418"/>
    </row>
    <row r="3419" spans="5:5">
      <c r="E3419"/>
    </row>
    <row r="3420" spans="5:5">
      <c r="E3420"/>
    </row>
    <row r="3421" spans="5:5">
      <c r="E3421"/>
    </row>
    <row r="3422" spans="5:5">
      <c r="E3422"/>
    </row>
    <row r="3423" spans="5:5">
      <c r="E3423"/>
    </row>
    <row r="3424" spans="5:5">
      <c r="E3424"/>
    </row>
    <row r="3425" spans="5:5">
      <c r="E3425"/>
    </row>
    <row r="3426" spans="5:5">
      <c r="E3426"/>
    </row>
    <row r="3427" spans="5:5">
      <c r="E3427"/>
    </row>
    <row r="3428" spans="5:5">
      <c r="E3428"/>
    </row>
    <row r="3429" spans="5:5">
      <c r="E3429"/>
    </row>
    <row r="3430" spans="5:5">
      <c r="E3430"/>
    </row>
    <row r="3431" spans="5:5">
      <c r="E3431"/>
    </row>
    <row r="3432" spans="5:5">
      <c r="E3432"/>
    </row>
    <row r="3433" spans="5:5">
      <c r="E3433"/>
    </row>
    <row r="3434" spans="5:5">
      <c r="E3434"/>
    </row>
    <row r="3435" spans="5:5">
      <c r="E3435"/>
    </row>
    <row r="3436" spans="5:5">
      <c r="E3436"/>
    </row>
    <row r="3437" spans="5:5">
      <c r="E3437"/>
    </row>
    <row r="3438" spans="5:5">
      <c r="E3438"/>
    </row>
    <row r="3439" spans="5:5">
      <c r="E3439"/>
    </row>
    <row r="3440" spans="5:5">
      <c r="E3440"/>
    </row>
    <row r="3441" spans="5:5">
      <c r="E3441"/>
    </row>
    <row r="3442" spans="5:5">
      <c r="E3442"/>
    </row>
    <row r="3443" spans="5:5">
      <c r="E3443"/>
    </row>
    <row r="3444" spans="5:5">
      <c r="E3444"/>
    </row>
    <row r="3445" spans="5:5">
      <c r="E3445"/>
    </row>
    <row r="3446" spans="5:5">
      <c r="E3446"/>
    </row>
    <row r="3447" spans="5:5">
      <c r="E3447"/>
    </row>
    <row r="3448" spans="5:5">
      <c r="E3448"/>
    </row>
    <row r="3449" spans="5:5">
      <c r="E3449"/>
    </row>
    <row r="3450" spans="5:5">
      <c r="E3450"/>
    </row>
    <row r="3451" spans="5:5">
      <c r="E3451"/>
    </row>
    <row r="3452" spans="5:5">
      <c r="E3452"/>
    </row>
    <row r="3453" spans="5:5">
      <c r="E3453"/>
    </row>
    <row r="3454" spans="5:5">
      <c r="E3454"/>
    </row>
    <row r="3455" spans="5:5">
      <c r="E3455"/>
    </row>
    <row r="3456" spans="5:5">
      <c r="E3456"/>
    </row>
    <row r="3457" spans="5:5">
      <c r="E3457"/>
    </row>
    <row r="3458" spans="5:5">
      <c r="E3458"/>
    </row>
    <row r="3459" spans="5:5">
      <c r="E3459"/>
    </row>
    <row r="3460" spans="5:5">
      <c r="E3460"/>
    </row>
    <row r="3461" spans="5:5">
      <c r="E3461"/>
    </row>
    <row r="3462" spans="5:5">
      <c r="E3462"/>
    </row>
    <row r="3463" spans="5:5">
      <c r="E3463"/>
    </row>
    <row r="3464" spans="5:5">
      <c r="E3464"/>
    </row>
    <row r="3465" spans="5:5">
      <c r="E3465"/>
    </row>
    <row r="3466" spans="5:5">
      <c r="E3466"/>
    </row>
    <row r="3467" spans="5:5">
      <c r="E3467"/>
    </row>
    <row r="3468" spans="5:5">
      <c r="E3468"/>
    </row>
    <row r="3469" spans="5:5">
      <c r="E3469"/>
    </row>
    <row r="3470" spans="5:5">
      <c r="E3470"/>
    </row>
    <row r="3471" spans="5:5">
      <c r="E3471"/>
    </row>
    <row r="3472" spans="5:5">
      <c r="E3472"/>
    </row>
    <row r="3473" spans="5:5">
      <c r="E3473"/>
    </row>
    <row r="3474" spans="5:5">
      <c r="E3474"/>
    </row>
    <row r="3475" spans="5:5">
      <c r="E3475"/>
    </row>
    <row r="3476" spans="5:5">
      <c r="E3476"/>
    </row>
    <row r="3477" spans="5:5">
      <c r="E3477"/>
    </row>
    <row r="3478" spans="5:5">
      <c r="E3478"/>
    </row>
    <row r="3479" spans="5:5">
      <c r="E3479"/>
    </row>
    <row r="3480" spans="5:5">
      <c r="E3480"/>
    </row>
    <row r="3481" spans="5:5">
      <c r="E3481"/>
    </row>
    <row r="3482" spans="5:5">
      <c r="E3482"/>
    </row>
    <row r="3483" spans="5:5">
      <c r="E3483"/>
    </row>
    <row r="3484" spans="5:5">
      <c r="E3484"/>
    </row>
    <row r="3485" spans="5:5">
      <c r="E3485"/>
    </row>
    <row r="3486" spans="5:5">
      <c r="E3486"/>
    </row>
    <row r="3487" spans="5:5">
      <c r="E3487"/>
    </row>
    <row r="3488" spans="5:5">
      <c r="E3488"/>
    </row>
    <row r="3489" spans="5:5">
      <c r="E3489"/>
    </row>
    <row r="3490" spans="5:5">
      <c r="E3490"/>
    </row>
    <row r="3491" spans="5:5">
      <c r="E3491"/>
    </row>
    <row r="3492" spans="5:5">
      <c r="E3492"/>
    </row>
    <row r="3493" spans="5:5">
      <c r="E3493"/>
    </row>
    <row r="3494" spans="5:5">
      <c r="E3494"/>
    </row>
    <row r="3495" spans="5:5">
      <c r="E3495"/>
    </row>
    <row r="3496" spans="5:5">
      <c r="E3496"/>
    </row>
    <row r="3497" spans="5:5">
      <c r="E3497"/>
    </row>
    <row r="3498" spans="5:5">
      <c r="E3498"/>
    </row>
    <row r="3499" spans="5:5">
      <c r="E3499"/>
    </row>
    <row r="3500" spans="5:5">
      <c r="E3500"/>
    </row>
    <row r="3501" spans="5:5">
      <c r="E3501"/>
    </row>
    <row r="3502" spans="5:5">
      <c r="E3502"/>
    </row>
    <row r="3503" spans="5:5">
      <c r="E3503"/>
    </row>
    <row r="3504" spans="5:5">
      <c r="E3504"/>
    </row>
    <row r="3505" spans="5:5">
      <c r="E3505"/>
    </row>
    <row r="3506" spans="5:5">
      <c r="E3506"/>
    </row>
    <row r="3507" spans="5:5">
      <c r="E3507"/>
    </row>
    <row r="3508" spans="5:5">
      <c r="E3508"/>
    </row>
    <row r="3509" spans="5:5">
      <c r="E3509"/>
    </row>
    <row r="3510" spans="5:5">
      <c r="E3510"/>
    </row>
    <row r="3511" spans="5:5">
      <c r="E3511"/>
    </row>
    <row r="3512" spans="5:5">
      <c r="E3512"/>
    </row>
    <row r="3513" spans="5:5">
      <c r="E3513"/>
    </row>
    <row r="3514" spans="5:5">
      <c r="E3514"/>
    </row>
    <row r="3515" spans="5:5">
      <c r="E3515"/>
    </row>
    <row r="3516" spans="5:5">
      <c r="E3516"/>
    </row>
    <row r="3517" spans="5:5">
      <c r="E3517"/>
    </row>
    <row r="3518" spans="5:5">
      <c r="E3518"/>
    </row>
    <row r="3519" spans="5:5">
      <c r="E3519"/>
    </row>
    <row r="3520" spans="5:5">
      <c r="E3520"/>
    </row>
    <row r="3521" spans="5:5">
      <c r="E3521"/>
    </row>
    <row r="3522" spans="5:5">
      <c r="E3522"/>
    </row>
    <row r="3523" spans="5:5">
      <c r="E3523"/>
    </row>
    <row r="3524" spans="5:5">
      <c r="E3524"/>
    </row>
    <row r="3525" spans="5:5">
      <c r="E3525"/>
    </row>
    <row r="3526" spans="5:5">
      <c r="E3526"/>
    </row>
    <row r="3527" spans="5:5">
      <c r="E3527"/>
    </row>
    <row r="3528" spans="5:5">
      <c r="E3528"/>
    </row>
    <row r="3529" spans="5:5">
      <c r="E3529"/>
    </row>
    <row r="3530" spans="5:5">
      <c r="E3530"/>
    </row>
    <row r="3531" spans="5:5">
      <c r="E3531"/>
    </row>
    <row r="3532" spans="5:5">
      <c r="E3532"/>
    </row>
    <row r="3533" spans="5:5">
      <c r="E3533"/>
    </row>
    <row r="3534" spans="5:5">
      <c r="E3534"/>
    </row>
    <row r="3535" spans="5:5">
      <c r="E3535"/>
    </row>
    <row r="3536" spans="5:5">
      <c r="E3536"/>
    </row>
    <row r="3537" spans="5:5">
      <c r="E3537"/>
    </row>
    <row r="3538" spans="5:5">
      <c r="E3538"/>
    </row>
    <row r="3539" spans="5:5">
      <c r="E3539"/>
    </row>
    <row r="3540" spans="5:5">
      <c r="E3540"/>
    </row>
    <row r="3541" spans="5:5">
      <c r="E3541"/>
    </row>
    <row r="3542" spans="5:5">
      <c r="E3542"/>
    </row>
    <row r="3543" spans="5:5">
      <c r="E3543"/>
    </row>
    <row r="3544" spans="5:5">
      <c r="E3544"/>
    </row>
    <row r="3545" spans="5:5">
      <c r="E3545"/>
    </row>
    <row r="3546" spans="5:5">
      <c r="E3546"/>
    </row>
    <row r="3547" spans="5:5">
      <c r="E3547"/>
    </row>
    <row r="3548" spans="5:5">
      <c r="E3548"/>
    </row>
    <row r="3549" spans="5:5">
      <c r="E3549"/>
    </row>
    <row r="3550" spans="5:5">
      <c r="E3550"/>
    </row>
    <row r="3551" spans="5:5">
      <c r="E3551"/>
    </row>
    <row r="3552" spans="5:5">
      <c r="E3552"/>
    </row>
    <row r="3553" spans="5:5">
      <c r="E3553"/>
    </row>
    <row r="3554" spans="5:5">
      <c r="E3554"/>
    </row>
    <row r="3555" spans="5:5">
      <c r="E3555"/>
    </row>
    <row r="3556" spans="5:5">
      <c r="E3556"/>
    </row>
    <row r="3557" spans="5:5">
      <c r="E3557"/>
    </row>
    <row r="3558" spans="5:5">
      <c r="E3558"/>
    </row>
    <row r="3559" spans="5:5">
      <c r="E3559"/>
    </row>
    <row r="3560" spans="5:5">
      <c r="E3560"/>
    </row>
    <row r="3561" spans="5:5">
      <c r="E3561"/>
    </row>
    <row r="3562" spans="5:5">
      <c r="E3562"/>
    </row>
    <row r="3563" spans="5:5">
      <c r="E3563"/>
    </row>
    <row r="3564" spans="5:5">
      <c r="E3564"/>
    </row>
    <row r="3565" spans="5:5">
      <c r="E3565"/>
    </row>
    <row r="3566" spans="5:5">
      <c r="E3566"/>
    </row>
    <row r="3567" spans="5:5">
      <c r="E3567"/>
    </row>
    <row r="3568" spans="5:5">
      <c r="E3568"/>
    </row>
    <row r="3569" spans="5:5">
      <c r="E3569"/>
    </row>
    <row r="3570" spans="5:5">
      <c r="E3570"/>
    </row>
    <row r="3571" spans="5:5">
      <c r="E3571"/>
    </row>
    <row r="3572" spans="5:5">
      <c r="E3572"/>
    </row>
    <row r="3573" spans="5:5">
      <c r="E3573"/>
    </row>
    <row r="3574" spans="5:5">
      <c r="E3574"/>
    </row>
    <row r="3575" spans="5:5">
      <c r="E3575"/>
    </row>
    <row r="3576" spans="5:5">
      <c r="E3576"/>
    </row>
    <row r="3577" spans="5:5">
      <c r="E3577"/>
    </row>
    <row r="3578" spans="5:5">
      <c r="E3578"/>
    </row>
    <row r="3579" spans="5:5">
      <c r="E3579"/>
    </row>
    <row r="3580" spans="5:5">
      <c r="E3580"/>
    </row>
    <row r="3581" spans="5:5">
      <c r="E3581"/>
    </row>
    <row r="3582" spans="5:5">
      <c r="E3582"/>
    </row>
    <row r="3583" spans="5:5">
      <c r="E3583"/>
    </row>
    <row r="3584" spans="5:5">
      <c r="E3584"/>
    </row>
    <row r="3585" spans="5:5">
      <c r="E3585"/>
    </row>
    <row r="3586" spans="5:5">
      <c r="E3586"/>
    </row>
    <row r="3587" spans="5:5">
      <c r="E3587"/>
    </row>
    <row r="3588" spans="5:5">
      <c r="E3588"/>
    </row>
    <row r="3589" spans="5:5">
      <c r="E3589"/>
    </row>
    <row r="3590" spans="5:5">
      <c r="E3590"/>
    </row>
    <row r="3591" spans="5:5">
      <c r="E3591"/>
    </row>
    <row r="3592" spans="5:5">
      <c r="E3592"/>
    </row>
    <row r="3593" spans="5:5">
      <c r="E3593"/>
    </row>
    <row r="3594" spans="5:5">
      <c r="E3594"/>
    </row>
    <row r="3595" spans="5:5">
      <c r="E3595"/>
    </row>
    <row r="3596" spans="5:5">
      <c r="E3596"/>
    </row>
    <row r="3597" spans="5:5">
      <c r="E3597"/>
    </row>
    <row r="3598" spans="5:5">
      <c r="E3598"/>
    </row>
    <row r="3599" spans="5:5">
      <c r="E3599"/>
    </row>
    <row r="3600" spans="5:5">
      <c r="E3600"/>
    </row>
    <row r="3601" spans="5:5">
      <c r="E3601"/>
    </row>
    <row r="3602" spans="5:5">
      <c r="E3602"/>
    </row>
    <row r="3603" spans="5:5">
      <c r="E3603"/>
    </row>
    <row r="3604" spans="5:5">
      <c r="E3604"/>
    </row>
    <row r="3605" spans="5:5">
      <c r="E3605"/>
    </row>
    <row r="3606" spans="5:5">
      <c r="E3606"/>
    </row>
    <row r="3607" spans="5:5">
      <c r="E3607"/>
    </row>
    <row r="3608" spans="5:5">
      <c r="E3608"/>
    </row>
    <row r="3609" spans="5:5">
      <c r="E3609"/>
    </row>
    <row r="3610" spans="5:5">
      <c r="E3610"/>
    </row>
    <row r="3611" spans="5:5">
      <c r="E3611"/>
    </row>
    <row r="3612" spans="5:5">
      <c r="E3612"/>
    </row>
    <row r="3613" spans="5:5">
      <c r="E3613"/>
    </row>
    <row r="3614" spans="5:5">
      <c r="E3614"/>
    </row>
    <row r="3615" spans="5:5">
      <c r="E3615"/>
    </row>
    <row r="3616" spans="5:5">
      <c r="E3616"/>
    </row>
    <row r="3617" spans="5:5">
      <c r="E3617"/>
    </row>
    <row r="3618" spans="5:5">
      <c r="E3618"/>
    </row>
    <row r="3619" spans="5:5">
      <c r="E3619"/>
    </row>
    <row r="3620" spans="5:5">
      <c r="E3620"/>
    </row>
    <row r="3621" spans="5:5">
      <c r="E3621"/>
    </row>
    <row r="3622" spans="5:5">
      <c r="E3622"/>
    </row>
    <row r="3623" spans="5:5">
      <c r="E3623"/>
    </row>
    <row r="3624" spans="5:5">
      <c r="E3624"/>
    </row>
    <row r="3625" spans="5:5">
      <c r="E3625"/>
    </row>
    <row r="3626" spans="5:5">
      <c r="E3626"/>
    </row>
    <row r="3627" spans="5:5">
      <c r="E3627"/>
    </row>
    <row r="3628" spans="5:5">
      <c r="E3628"/>
    </row>
    <row r="3629" spans="5:5">
      <c r="E3629"/>
    </row>
    <row r="3630" spans="5:5">
      <c r="E3630"/>
    </row>
    <row r="3631" spans="5:5">
      <c r="E3631"/>
    </row>
    <row r="3632" spans="5:5">
      <c r="E3632"/>
    </row>
    <row r="3633" spans="5:5">
      <c r="E3633"/>
    </row>
    <row r="3634" spans="5:5">
      <c r="E3634"/>
    </row>
    <row r="3635" spans="5:5">
      <c r="E3635"/>
    </row>
    <row r="3636" spans="5:5">
      <c r="E3636"/>
    </row>
    <row r="3637" spans="5:5">
      <c r="E3637"/>
    </row>
    <row r="3638" spans="5:5">
      <c r="E3638"/>
    </row>
    <row r="3639" spans="5:5">
      <c r="E3639"/>
    </row>
    <row r="3640" spans="5:5">
      <c r="E3640"/>
    </row>
    <row r="3641" spans="5:5">
      <c r="E3641"/>
    </row>
    <row r="3642" spans="5:5">
      <c r="E3642"/>
    </row>
    <row r="3643" spans="5:5">
      <c r="E3643"/>
    </row>
    <row r="3644" spans="5:5">
      <c r="E3644"/>
    </row>
    <row r="3645" spans="5:5">
      <c r="E3645"/>
    </row>
    <row r="3646" spans="5:5">
      <c r="E3646"/>
    </row>
    <row r="3647" spans="5:5">
      <c r="E3647"/>
    </row>
    <row r="3648" spans="5:5">
      <c r="E3648"/>
    </row>
    <row r="3649" spans="5:5">
      <c r="E3649"/>
    </row>
    <row r="3650" spans="5:5">
      <c r="E3650"/>
    </row>
    <row r="3651" spans="5:5">
      <c r="E3651"/>
    </row>
    <row r="3652" spans="5:5">
      <c r="E3652"/>
    </row>
    <row r="3653" spans="5:5">
      <c r="E3653"/>
    </row>
    <row r="3654" spans="5:5">
      <c r="E3654"/>
    </row>
    <row r="3655" spans="5:5">
      <c r="E3655"/>
    </row>
    <row r="3656" spans="5:5">
      <c r="E3656"/>
    </row>
    <row r="3657" spans="5:5">
      <c r="E3657"/>
    </row>
    <row r="3658" spans="5:5">
      <c r="E3658"/>
    </row>
    <row r="3659" spans="5:5">
      <c r="E3659"/>
    </row>
    <row r="3660" spans="5:5">
      <c r="E3660"/>
    </row>
    <row r="3661" spans="5:5">
      <c r="E3661"/>
    </row>
    <row r="3662" spans="5:5">
      <c r="E3662"/>
    </row>
    <row r="3663" spans="5:5">
      <c r="E3663"/>
    </row>
    <row r="3664" spans="5:5">
      <c r="E3664"/>
    </row>
    <row r="3665" spans="5:5">
      <c r="E3665"/>
    </row>
    <row r="3666" spans="5:5">
      <c r="E3666"/>
    </row>
    <row r="3667" spans="5:5">
      <c r="E3667"/>
    </row>
    <row r="3668" spans="5:5">
      <c r="E3668"/>
    </row>
    <row r="3669" spans="5:5">
      <c r="E3669"/>
    </row>
    <row r="3670" spans="5:5">
      <c r="E3670"/>
    </row>
    <row r="3671" spans="5:5">
      <c r="E3671"/>
    </row>
    <row r="3672" spans="5:5">
      <c r="E3672"/>
    </row>
    <row r="3673" spans="5:5">
      <c r="E3673"/>
    </row>
    <row r="3674" spans="5:5">
      <c r="E3674"/>
    </row>
    <row r="3675" spans="5:5">
      <c r="E3675"/>
    </row>
    <row r="3676" spans="5:5">
      <c r="E3676"/>
    </row>
    <row r="3677" spans="5:5">
      <c r="E3677"/>
    </row>
    <row r="3678" spans="5:5">
      <c r="E3678"/>
    </row>
    <row r="3679" spans="5:5">
      <c r="E3679"/>
    </row>
    <row r="3680" spans="5:5">
      <c r="E3680"/>
    </row>
    <row r="3681" spans="5:5">
      <c r="E3681"/>
    </row>
    <row r="3682" spans="5:5">
      <c r="E3682"/>
    </row>
    <row r="3683" spans="5:5">
      <c r="E3683"/>
    </row>
    <row r="3684" spans="5:5">
      <c r="E3684"/>
    </row>
    <row r="3685" spans="5:5">
      <c r="E3685"/>
    </row>
    <row r="3686" spans="5:5">
      <c r="E3686"/>
    </row>
    <row r="3687" spans="5:5">
      <c r="E3687"/>
    </row>
    <row r="3688" spans="5:5">
      <c r="E3688"/>
    </row>
    <row r="3689" spans="5:5">
      <c r="E3689"/>
    </row>
    <row r="3690" spans="5:5">
      <c r="E3690"/>
    </row>
    <row r="3691" spans="5:5">
      <c r="E3691"/>
    </row>
    <row r="3692" spans="5:5">
      <c r="E3692"/>
    </row>
    <row r="3693" spans="5:5">
      <c r="E3693"/>
    </row>
    <row r="3694" spans="5:5">
      <c r="E3694"/>
    </row>
    <row r="3695" spans="5:5">
      <c r="E3695"/>
    </row>
    <row r="3696" spans="5:5">
      <c r="E3696"/>
    </row>
    <row r="3697" spans="5:5">
      <c r="E3697"/>
    </row>
    <row r="3698" spans="5:5">
      <c r="E3698"/>
    </row>
    <row r="3699" spans="5:5">
      <c r="E3699"/>
    </row>
    <row r="3700" spans="5:5">
      <c r="E3700"/>
    </row>
    <row r="3701" spans="5:5">
      <c r="E3701"/>
    </row>
    <row r="3702" spans="5:5">
      <c r="E3702"/>
    </row>
    <row r="3703" spans="5:5">
      <c r="E3703"/>
    </row>
    <row r="3704" spans="5:5">
      <c r="E3704"/>
    </row>
    <row r="3705" spans="5:5">
      <c r="E3705"/>
    </row>
    <row r="3706" spans="5:5">
      <c r="E3706"/>
    </row>
    <row r="3707" spans="5:5">
      <c r="E3707"/>
    </row>
    <row r="3708" spans="5:5">
      <c r="E3708"/>
    </row>
    <row r="3709" spans="5:5">
      <c r="E3709"/>
    </row>
    <row r="3710" spans="5:5">
      <c r="E3710"/>
    </row>
    <row r="3711" spans="5:5">
      <c r="E3711"/>
    </row>
    <row r="3712" spans="5:5">
      <c r="E3712"/>
    </row>
    <row r="3713" spans="5:5">
      <c r="E3713"/>
    </row>
    <row r="3714" spans="5:5">
      <c r="E3714"/>
    </row>
    <row r="3715" spans="5:5">
      <c r="E3715"/>
    </row>
    <row r="3716" spans="5:5">
      <c r="E3716"/>
    </row>
    <row r="3717" spans="5:5">
      <c r="E3717"/>
    </row>
    <row r="3718" spans="5:5">
      <c r="E3718"/>
    </row>
    <row r="3719" spans="5:5">
      <c r="E3719"/>
    </row>
    <row r="3720" spans="5:5">
      <c r="E3720"/>
    </row>
    <row r="3721" spans="5:5">
      <c r="E3721"/>
    </row>
    <row r="3722" spans="5:5">
      <c r="E3722"/>
    </row>
    <row r="3723" spans="5:5">
      <c r="E3723"/>
    </row>
    <row r="3724" spans="5:5">
      <c r="E3724"/>
    </row>
    <row r="3725" spans="5:5">
      <c r="E3725"/>
    </row>
    <row r="3726" spans="5:5">
      <c r="E3726"/>
    </row>
    <row r="3727" spans="5:5">
      <c r="E3727"/>
    </row>
    <row r="3728" spans="5:5">
      <c r="E3728"/>
    </row>
    <row r="3729" spans="5:5">
      <c r="E3729"/>
    </row>
    <row r="3730" spans="5:5">
      <c r="E3730"/>
    </row>
    <row r="3731" spans="5:5">
      <c r="E3731"/>
    </row>
    <row r="3732" spans="5:5">
      <c r="E3732"/>
    </row>
    <row r="3733" spans="5:5">
      <c r="E3733"/>
    </row>
    <row r="3734" spans="5:5">
      <c r="E3734"/>
    </row>
    <row r="3735" spans="5:5">
      <c r="E3735"/>
    </row>
    <row r="3736" spans="5:5">
      <c r="E3736"/>
    </row>
    <row r="3737" spans="5:5">
      <c r="E3737"/>
    </row>
    <row r="3738" spans="5:5">
      <c r="E3738"/>
    </row>
    <row r="3739" spans="5:5">
      <c r="E3739"/>
    </row>
    <row r="3740" spans="5:5">
      <c r="E3740"/>
    </row>
    <row r="3741" spans="5:5">
      <c r="E3741"/>
    </row>
    <row r="3742" spans="5:5">
      <c r="E3742"/>
    </row>
    <row r="3743" spans="5:5">
      <c r="E3743"/>
    </row>
    <row r="3744" spans="5:5">
      <c r="E3744"/>
    </row>
    <row r="3745" spans="5:5">
      <c r="E3745"/>
    </row>
    <row r="3746" spans="5:5">
      <c r="E3746"/>
    </row>
    <row r="3747" spans="5:5">
      <c r="E3747"/>
    </row>
    <row r="3748" spans="5:5">
      <c r="E3748"/>
    </row>
    <row r="3749" spans="5:5">
      <c r="E3749"/>
    </row>
    <row r="3750" spans="5:5">
      <c r="E3750"/>
    </row>
    <row r="3751" spans="5:5">
      <c r="E3751"/>
    </row>
    <row r="3752" spans="5:5">
      <c r="E3752"/>
    </row>
    <row r="3753" spans="5:5">
      <c r="E3753"/>
    </row>
    <row r="3754" spans="5:5">
      <c r="E3754"/>
    </row>
    <row r="3755" spans="5:5">
      <c r="E3755"/>
    </row>
    <row r="3756" spans="5:5">
      <c r="E3756"/>
    </row>
    <row r="3757" spans="5:5">
      <c r="E3757"/>
    </row>
    <row r="3758" spans="5:5">
      <c r="E3758"/>
    </row>
    <row r="3759" spans="5:5">
      <c r="E3759"/>
    </row>
    <row r="3760" spans="5:5">
      <c r="E3760"/>
    </row>
    <row r="3761" spans="5:5">
      <c r="E3761"/>
    </row>
    <row r="3762" spans="5:5">
      <c r="E3762"/>
    </row>
    <row r="3763" spans="5:5">
      <c r="E3763"/>
    </row>
    <row r="3764" spans="5:5">
      <c r="E3764"/>
    </row>
    <row r="3765" spans="5:5">
      <c r="E3765"/>
    </row>
    <row r="3766" spans="5:5">
      <c r="E3766"/>
    </row>
    <row r="3767" spans="5:5">
      <c r="E3767"/>
    </row>
    <row r="3768" spans="5:5">
      <c r="E3768"/>
    </row>
    <row r="3769" spans="5:5">
      <c r="E3769"/>
    </row>
    <row r="3770" spans="5:5">
      <c r="E3770"/>
    </row>
    <row r="3771" spans="5:5">
      <c r="E3771"/>
    </row>
    <row r="3772" spans="5:5">
      <c r="E3772"/>
    </row>
    <row r="3773" spans="5:5">
      <c r="E3773"/>
    </row>
    <row r="3774" spans="5:5">
      <c r="E3774"/>
    </row>
    <row r="3775" spans="5:5">
      <c r="E3775"/>
    </row>
    <row r="3776" spans="5:5">
      <c r="E3776"/>
    </row>
    <row r="3777" spans="5:5">
      <c r="E3777"/>
    </row>
    <row r="3778" spans="5:5">
      <c r="E3778"/>
    </row>
    <row r="3779" spans="5:5">
      <c r="E3779"/>
    </row>
    <row r="3780" spans="5:5">
      <c r="E3780"/>
    </row>
    <row r="3781" spans="5:5">
      <c r="E3781"/>
    </row>
    <row r="3782" spans="5:5">
      <c r="E3782"/>
    </row>
    <row r="3783" spans="5:5">
      <c r="E3783"/>
    </row>
    <row r="3784" spans="5:5">
      <c r="E3784"/>
    </row>
    <row r="3785" spans="5:5">
      <c r="E3785"/>
    </row>
    <row r="3786" spans="5:5">
      <c r="E3786"/>
    </row>
    <row r="3787" spans="5:5">
      <c r="E3787"/>
    </row>
    <row r="3788" spans="5:5">
      <c r="E3788"/>
    </row>
    <row r="3789" spans="5:5">
      <c r="E3789"/>
    </row>
    <row r="3790" spans="5:5">
      <c r="E3790"/>
    </row>
    <row r="3791" spans="5:5">
      <c r="E3791"/>
    </row>
    <row r="3792" spans="5:5">
      <c r="E3792"/>
    </row>
    <row r="3793" spans="5:5">
      <c r="E3793"/>
    </row>
    <row r="3794" spans="5:5">
      <c r="E3794"/>
    </row>
    <row r="3795" spans="5:5">
      <c r="E3795"/>
    </row>
    <row r="3796" spans="5:5">
      <c r="E3796"/>
    </row>
    <row r="3797" spans="5:5">
      <c r="E3797"/>
    </row>
    <row r="3798" spans="5:5">
      <c r="E3798"/>
    </row>
    <row r="3799" spans="5:5">
      <c r="E3799"/>
    </row>
    <row r="3800" spans="5:5">
      <c r="E3800"/>
    </row>
    <row r="3801" spans="5:5">
      <c r="E3801"/>
    </row>
    <row r="3802" spans="5:5">
      <c r="E3802"/>
    </row>
    <row r="3803" spans="5:5">
      <c r="E3803"/>
    </row>
    <row r="3804" spans="5:5">
      <c r="E3804"/>
    </row>
    <row r="3805" spans="5:5">
      <c r="E3805"/>
    </row>
    <row r="3806" spans="5:5">
      <c r="E3806"/>
    </row>
    <row r="3807" spans="5:5">
      <c r="E3807"/>
    </row>
    <row r="3808" spans="5:5">
      <c r="E3808"/>
    </row>
    <row r="3809" spans="5:5">
      <c r="E3809"/>
    </row>
    <row r="3810" spans="5:5">
      <c r="E3810"/>
    </row>
    <row r="3811" spans="5:5">
      <c r="E3811"/>
    </row>
    <row r="3812" spans="5:5">
      <c r="E3812"/>
    </row>
    <row r="3813" spans="5:5">
      <c r="E3813"/>
    </row>
    <row r="3814" spans="5:5">
      <c r="E3814"/>
    </row>
    <row r="3815" spans="5:5">
      <c r="E3815"/>
    </row>
    <row r="3816" spans="5:5">
      <c r="E3816"/>
    </row>
    <row r="3817" spans="5:5">
      <c r="E3817"/>
    </row>
    <row r="3818" spans="5:5">
      <c r="E3818"/>
    </row>
    <row r="3819" spans="5:5">
      <c r="E3819"/>
    </row>
    <row r="3820" spans="5:5">
      <c r="E3820"/>
    </row>
    <row r="3821" spans="5:5">
      <c r="E3821"/>
    </row>
    <row r="3822" spans="5:5">
      <c r="E3822"/>
    </row>
    <row r="3823" spans="5:5">
      <c r="E3823"/>
    </row>
    <row r="3824" spans="5:5">
      <c r="E3824"/>
    </row>
    <row r="3825" spans="5:5">
      <c r="E3825"/>
    </row>
    <row r="3826" spans="5:5">
      <c r="E3826"/>
    </row>
    <row r="3827" spans="5:5">
      <c r="E3827"/>
    </row>
    <row r="3828" spans="5:5">
      <c r="E3828"/>
    </row>
    <row r="3829" spans="5:5">
      <c r="E3829"/>
    </row>
    <row r="3830" spans="5:5">
      <c r="E3830"/>
    </row>
    <row r="3831" spans="5:5">
      <c r="E3831"/>
    </row>
    <row r="3832" spans="5:5">
      <c r="E3832"/>
    </row>
    <row r="3833" spans="5:5">
      <c r="E3833"/>
    </row>
    <row r="3834" spans="5:5">
      <c r="E3834"/>
    </row>
    <row r="3835" spans="5:5">
      <c r="E3835"/>
    </row>
    <row r="3836" spans="5:5">
      <c r="E3836"/>
    </row>
    <row r="3837" spans="5:5">
      <c r="E3837"/>
    </row>
    <row r="3838" spans="5:5">
      <c r="E3838"/>
    </row>
    <row r="3839" spans="5:5">
      <c r="E3839"/>
    </row>
    <row r="3840" spans="5:5">
      <c r="E3840"/>
    </row>
    <row r="3841" spans="5:5">
      <c r="E3841"/>
    </row>
    <row r="3842" spans="5:5">
      <c r="E3842"/>
    </row>
    <row r="3843" spans="5:5">
      <c r="E3843"/>
    </row>
    <row r="3844" spans="5:5">
      <c r="E3844"/>
    </row>
    <row r="3845" spans="5:5">
      <c r="E3845"/>
    </row>
    <row r="3846" spans="5:5">
      <c r="E3846"/>
    </row>
    <row r="3847" spans="5:5">
      <c r="E3847"/>
    </row>
    <row r="3848" spans="5:5">
      <c r="E3848"/>
    </row>
    <row r="3849" spans="5:5">
      <c r="E3849"/>
    </row>
    <row r="3850" spans="5:5">
      <c r="E3850"/>
    </row>
    <row r="3851" spans="5:5">
      <c r="E3851"/>
    </row>
    <row r="3852" spans="5:5">
      <c r="E3852"/>
    </row>
    <row r="3853" spans="5:5">
      <c r="E3853"/>
    </row>
    <row r="3854" spans="5:5">
      <c r="E3854"/>
    </row>
    <row r="3855" spans="5:5">
      <c r="E3855"/>
    </row>
    <row r="3856" spans="5:5">
      <c r="E3856"/>
    </row>
    <row r="3857" spans="5:5">
      <c r="E3857"/>
    </row>
    <row r="3858" spans="5:5">
      <c r="E3858"/>
    </row>
    <row r="3859" spans="5:5">
      <c r="E3859"/>
    </row>
    <row r="3860" spans="5:5">
      <c r="E3860"/>
    </row>
    <row r="3861" spans="5:5">
      <c r="E3861"/>
    </row>
    <row r="3862" spans="5:5">
      <c r="E3862"/>
    </row>
    <row r="3863" spans="5:5">
      <c r="E3863"/>
    </row>
    <row r="3864" spans="5:5">
      <c r="E3864"/>
    </row>
    <row r="3865" spans="5:5">
      <c r="E3865"/>
    </row>
    <row r="3866" spans="5:5">
      <c r="E3866"/>
    </row>
    <row r="3867" spans="5:5">
      <c r="E3867"/>
    </row>
    <row r="3868" spans="5:5">
      <c r="E3868"/>
    </row>
    <row r="3869" spans="5:5">
      <c r="E3869"/>
    </row>
    <row r="3870" spans="5:5">
      <c r="E3870"/>
    </row>
    <row r="3871" spans="5:5">
      <c r="E3871"/>
    </row>
    <row r="3872" spans="5:5">
      <c r="E3872"/>
    </row>
    <row r="3873" spans="5:5">
      <c r="E3873"/>
    </row>
    <row r="3874" spans="5:5">
      <c r="E3874"/>
    </row>
    <row r="3875" spans="5:5">
      <c r="E3875"/>
    </row>
    <row r="3876" spans="5:5">
      <c r="E3876"/>
    </row>
    <row r="3877" spans="5:5">
      <c r="E3877"/>
    </row>
    <row r="3878" spans="5:5">
      <c r="E3878"/>
    </row>
    <row r="3879" spans="5:5">
      <c r="E3879"/>
    </row>
    <row r="3880" spans="5:5">
      <c r="E3880"/>
    </row>
    <row r="3881" spans="5:5">
      <c r="E3881"/>
    </row>
    <row r="3882" spans="5:5">
      <c r="E3882"/>
    </row>
    <row r="3883" spans="5:5">
      <c r="E3883"/>
    </row>
    <row r="3884" spans="5:5">
      <c r="E3884"/>
    </row>
    <row r="3885" spans="5:5">
      <c r="E3885"/>
    </row>
    <row r="3886" spans="5:5">
      <c r="E3886"/>
    </row>
    <row r="3887" spans="5:5">
      <c r="E3887"/>
    </row>
    <row r="3888" spans="5:5">
      <c r="E3888"/>
    </row>
    <row r="3889" spans="5:5">
      <c r="E3889"/>
    </row>
    <row r="3890" spans="5:5">
      <c r="E3890"/>
    </row>
    <row r="3891" spans="5:5">
      <c r="E3891"/>
    </row>
    <row r="3892" spans="5:5">
      <c r="E3892"/>
    </row>
    <row r="3893" spans="5:5">
      <c r="E3893"/>
    </row>
    <row r="3894" spans="5:5">
      <c r="E3894"/>
    </row>
    <row r="3895" spans="5:5">
      <c r="E3895"/>
    </row>
    <row r="3896" spans="5:5">
      <c r="E3896"/>
    </row>
    <row r="3897" spans="5:5">
      <c r="E3897"/>
    </row>
    <row r="3898" spans="5:5">
      <c r="E3898"/>
    </row>
    <row r="3899" spans="5:5">
      <c r="E3899"/>
    </row>
    <row r="3900" spans="5:5">
      <c r="E3900"/>
    </row>
    <row r="3901" spans="5:5">
      <c r="E3901"/>
    </row>
    <row r="3902" spans="5:5">
      <c r="E3902"/>
    </row>
    <row r="3903" spans="5:5">
      <c r="E3903"/>
    </row>
    <row r="3904" spans="5:5">
      <c r="E3904"/>
    </row>
    <row r="3905" spans="5:5">
      <c r="E3905"/>
    </row>
    <row r="3906" spans="5:5">
      <c r="E3906"/>
    </row>
    <row r="3907" spans="5:5">
      <c r="E3907"/>
    </row>
    <row r="3908" spans="5:5">
      <c r="E3908"/>
    </row>
    <row r="3909" spans="5:5">
      <c r="E3909"/>
    </row>
    <row r="3910" spans="5:5">
      <c r="E3910"/>
    </row>
    <row r="3911" spans="5:5">
      <c r="E3911"/>
    </row>
    <row r="3912" spans="5:5">
      <c r="E3912"/>
    </row>
    <row r="3913" spans="5:5">
      <c r="E3913"/>
    </row>
    <row r="3914" spans="5:5">
      <c r="E3914"/>
    </row>
    <row r="3915" spans="5:5">
      <c r="E3915"/>
    </row>
    <row r="3916" spans="5:5">
      <c r="E3916"/>
    </row>
    <row r="3917" spans="5:5">
      <c r="E3917"/>
    </row>
    <row r="3918" spans="5:5">
      <c r="E3918"/>
    </row>
    <row r="3919" spans="5:5">
      <c r="E3919"/>
    </row>
    <row r="3920" spans="5:5">
      <c r="E3920"/>
    </row>
    <row r="3921" spans="5:5">
      <c r="E3921"/>
    </row>
    <row r="3922" spans="5:5">
      <c r="E3922"/>
    </row>
    <row r="3923" spans="5:5">
      <c r="E3923"/>
    </row>
    <row r="3924" spans="5:5">
      <c r="E3924"/>
    </row>
    <row r="3925" spans="5:5">
      <c r="E3925"/>
    </row>
    <row r="3926" spans="5:5">
      <c r="E3926"/>
    </row>
    <row r="3927" spans="5:5">
      <c r="E3927"/>
    </row>
    <row r="3928" spans="5:5">
      <c r="E3928"/>
    </row>
    <row r="3929" spans="5:5">
      <c r="E3929"/>
    </row>
    <row r="3930" spans="5:5">
      <c r="E3930"/>
    </row>
    <row r="3931" spans="5:5">
      <c r="E3931"/>
    </row>
    <row r="3932" spans="5:5">
      <c r="E3932"/>
    </row>
    <row r="3933" spans="5:5">
      <c r="E3933"/>
    </row>
    <row r="3934" spans="5:5">
      <c r="E3934"/>
    </row>
    <row r="3935" spans="5:5">
      <c r="E3935"/>
    </row>
    <row r="3936" spans="5:5">
      <c r="E3936"/>
    </row>
    <row r="3937" spans="5:5">
      <c r="E3937"/>
    </row>
    <row r="3938" spans="5:5">
      <c r="E3938"/>
    </row>
    <row r="3939" spans="5:5">
      <c r="E3939"/>
    </row>
    <row r="3940" spans="5:5">
      <c r="E3940"/>
    </row>
    <row r="3941" spans="5:5">
      <c r="E3941"/>
    </row>
    <row r="3942" spans="5:5">
      <c r="E3942"/>
    </row>
    <row r="3943" spans="5:5">
      <c r="E3943"/>
    </row>
    <row r="3944" spans="5:5">
      <c r="E3944"/>
    </row>
    <row r="3945" spans="5:5">
      <c r="E3945"/>
    </row>
    <row r="3946" spans="5:5">
      <c r="E3946"/>
    </row>
    <row r="3947" spans="5:5">
      <c r="E3947"/>
    </row>
    <row r="3948" spans="5:5">
      <c r="E3948"/>
    </row>
    <row r="3949" spans="5:5">
      <c r="E3949"/>
    </row>
    <row r="3950" spans="5:5">
      <c r="E3950"/>
    </row>
    <row r="3951" spans="5:5">
      <c r="E3951"/>
    </row>
    <row r="3952" spans="5:5">
      <c r="E3952"/>
    </row>
    <row r="3953" spans="5:5">
      <c r="E3953"/>
    </row>
    <row r="3954" spans="5:5">
      <c r="E3954"/>
    </row>
    <row r="3955" spans="5:5">
      <c r="E3955"/>
    </row>
    <row r="3956" spans="5:5">
      <c r="E3956"/>
    </row>
    <row r="3957" spans="5:5">
      <c r="E3957"/>
    </row>
    <row r="3958" spans="5:5">
      <c r="E3958"/>
    </row>
    <row r="3959" spans="5:5">
      <c r="E3959"/>
    </row>
    <row r="3960" spans="5:5">
      <c r="E3960"/>
    </row>
    <row r="3961" spans="5:5">
      <c r="E3961"/>
    </row>
    <row r="3962" spans="5:5">
      <c r="E3962"/>
    </row>
    <row r="3963" spans="5:5">
      <c r="E3963"/>
    </row>
    <row r="3964" spans="5:5">
      <c r="E3964"/>
    </row>
    <row r="3965" spans="5:5">
      <c r="E3965"/>
    </row>
    <row r="3966" spans="5:5">
      <c r="E3966"/>
    </row>
    <row r="3967" spans="5:5">
      <c r="E3967"/>
    </row>
    <row r="3968" spans="5:5">
      <c r="E3968"/>
    </row>
    <row r="3969" spans="5:5">
      <c r="E3969"/>
    </row>
    <row r="3970" spans="5:5">
      <c r="E3970"/>
    </row>
    <row r="3971" spans="5:5">
      <c r="E3971"/>
    </row>
    <row r="3972" spans="5:5">
      <c r="E3972"/>
    </row>
    <row r="3973" spans="5:5">
      <c r="E3973"/>
    </row>
    <row r="3974" spans="5:5">
      <c r="E3974"/>
    </row>
    <row r="3975" spans="5:5">
      <c r="E3975"/>
    </row>
    <row r="3976" spans="5:5">
      <c r="E3976"/>
    </row>
    <row r="3977" spans="5:5">
      <c r="E3977"/>
    </row>
    <row r="3978" spans="5:5">
      <c r="E3978"/>
    </row>
    <row r="3979" spans="5:5">
      <c r="E3979"/>
    </row>
    <row r="3980" spans="5:5">
      <c r="E3980"/>
    </row>
    <row r="3981" spans="5:5">
      <c r="E3981"/>
    </row>
    <row r="3982" spans="5:5">
      <c r="E3982"/>
    </row>
    <row r="3983" spans="5:5">
      <c r="E3983"/>
    </row>
    <row r="3984" spans="5:5">
      <c r="E3984"/>
    </row>
    <row r="3985" spans="5:5">
      <c r="E3985"/>
    </row>
    <row r="3986" spans="5:5">
      <c r="E3986"/>
    </row>
    <row r="3987" spans="5:5">
      <c r="E3987"/>
    </row>
    <row r="3988" spans="5:5">
      <c r="E3988"/>
    </row>
    <row r="3989" spans="5:5">
      <c r="E3989"/>
    </row>
    <row r="3990" spans="5:5">
      <c r="E3990"/>
    </row>
    <row r="3991" spans="5:5">
      <c r="E3991"/>
    </row>
    <row r="3992" spans="5:5">
      <c r="E3992"/>
    </row>
    <row r="3993" spans="5:5">
      <c r="E3993"/>
    </row>
    <row r="3994" spans="5:5">
      <c r="E3994"/>
    </row>
    <row r="3995" spans="5:5">
      <c r="E3995"/>
    </row>
    <row r="3996" spans="5:5">
      <c r="E3996"/>
    </row>
    <row r="3997" spans="5:5">
      <c r="E3997"/>
    </row>
    <row r="3998" spans="5:5">
      <c r="E3998"/>
    </row>
    <row r="3999" spans="5:5">
      <c r="E3999"/>
    </row>
    <row r="4000" spans="5:5">
      <c r="E4000"/>
    </row>
    <row r="4001" spans="5:5">
      <c r="E4001"/>
    </row>
    <row r="4002" spans="5:5">
      <c r="E4002"/>
    </row>
    <row r="4003" spans="5:5">
      <c r="E4003"/>
    </row>
    <row r="4004" spans="5:5">
      <c r="E4004"/>
    </row>
    <row r="4005" spans="5:5">
      <c r="E4005"/>
    </row>
    <row r="4006" spans="5:5">
      <c r="E4006"/>
    </row>
    <row r="4007" spans="5:5">
      <c r="E4007"/>
    </row>
    <row r="4008" spans="5:5">
      <c r="E4008"/>
    </row>
    <row r="4009" spans="5:5">
      <c r="E4009"/>
    </row>
    <row r="4010" spans="5:5">
      <c r="E4010"/>
    </row>
    <row r="4011" spans="5:5">
      <c r="E4011"/>
    </row>
    <row r="4012" spans="5:5">
      <c r="E4012"/>
    </row>
    <row r="4013" spans="5:5">
      <c r="E4013"/>
    </row>
    <row r="4014" spans="5:5">
      <c r="E4014"/>
    </row>
    <row r="4015" spans="5:5">
      <c r="E4015"/>
    </row>
    <row r="4016" spans="5:5">
      <c r="E4016"/>
    </row>
    <row r="4017" spans="5:5">
      <c r="E4017"/>
    </row>
    <row r="4018" spans="5:5">
      <c r="E4018"/>
    </row>
    <row r="4019" spans="5:5">
      <c r="E4019"/>
    </row>
    <row r="4020" spans="5:5">
      <c r="E4020"/>
    </row>
    <row r="4021" spans="5:5">
      <c r="E4021"/>
    </row>
    <row r="4022" spans="5:5">
      <c r="E4022"/>
    </row>
    <row r="4023" spans="5:5">
      <c r="E4023"/>
    </row>
    <row r="4024" spans="5:5">
      <c r="E4024"/>
    </row>
    <row r="4025" spans="5:5">
      <c r="E4025"/>
    </row>
    <row r="4026" spans="5:5">
      <c r="E4026"/>
    </row>
    <row r="4027" spans="5:5">
      <c r="E4027"/>
    </row>
    <row r="4028" spans="5:5">
      <c r="E4028"/>
    </row>
    <row r="4029" spans="5:5">
      <c r="E4029"/>
    </row>
    <row r="4030" spans="5:5">
      <c r="E4030"/>
    </row>
    <row r="4031" spans="5:5">
      <c r="E4031"/>
    </row>
    <row r="4032" spans="5:5">
      <c r="E4032"/>
    </row>
    <row r="4033" spans="5:5">
      <c r="E4033"/>
    </row>
    <row r="4034" spans="5:5">
      <c r="E4034"/>
    </row>
    <row r="4035" spans="5:5">
      <c r="E4035"/>
    </row>
    <row r="4036" spans="5:5">
      <c r="E4036"/>
    </row>
    <row r="4037" spans="5:5">
      <c r="E4037"/>
    </row>
    <row r="4038" spans="5:5">
      <c r="E4038"/>
    </row>
    <row r="4039" spans="5:5">
      <c r="E4039"/>
    </row>
    <row r="4040" spans="5:5">
      <c r="E4040"/>
    </row>
    <row r="4041" spans="5:5">
      <c r="E4041"/>
    </row>
    <row r="4042" spans="5:5">
      <c r="E4042"/>
    </row>
    <row r="4043" spans="5:5">
      <c r="E4043"/>
    </row>
    <row r="4044" spans="5:5">
      <c r="E4044"/>
    </row>
    <row r="4045" spans="5:5">
      <c r="E4045"/>
    </row>
    <row r="4046" spans="5:5">
      <c r="E4046"/>
    </row>
    <row r="4047" spans="5:5">
      <c r="E4047"/>
    </row>
    <row r="4048" spans="5:5">
      <c r="E4048"/>
    </row>
    <row r="4049" spans="5:5">
      <c r="E4049"/>
    </row>
    <row r="4050" spans="5:5">
      <c r="E4050"/>
    </row>
    <row r="4051" spans="5:5">
      <c r="E4051"/>
    </row>
    <row r="4052" spans="5:5">
      <c r="E4052"/>
    </row>
    <row r="4053" spans="5:5">
      <c r="E4053"/>
    </row>
    <row r="4054" spans="5:5">
      <c r="E4054"/>
    </row>
    <row r="4055" spans="5:5">
      <c r="E4055"/>
    </row>
    <row r="4056" spans="5:5">
      <c r="E4056"/>
    </row>
    <row r="4057" spans="5:5">
      <c r="E4057"/>
    </row>
    <row r="4058" spans="5:5">
      <c r="E4058"/>
    </row>
    <row r="4059" spans="5:5">
      <c r="E4059"/>
    </row>
    <row r="4060" spans="5:5">
      <c r="E4060"/>
    </row>
    <row r="4061" spans="5:5">
      <c r="E4061"/>
    </row>
    <row r="4062" spans="5:5">
      <c r="E4062"/>
    </row>
    <row r="4063" spans="5:5">
      <c r="E4063"/>
    </row>
    <row r="4064" spans="5:5">
      <c r="E4064"/>
    </row>
    <row r="4065" spans="5:5">
      <c r="E4065"/>
    </row>
    <row r="4066" spans="5:5">
      <c r="E4066"/>
    </row>
    <row r="4067" spans="5:5">
      <c r="E4067"/>
    </row>
    <row r="4068" spans="5:5">
      <c r="E4068"/>
    </row>
    <row r="4069" spans="5:5">
      <c r="E4069"/>
    </row>
    <row r="4070" spans="5:5">
      <c r="E4070"/>
    </row>
    <row r="4071" spans="5:5">
      <c r="E4071"/>
    </row>
    <row r="4072" spans="5:5">
      <c r="E4072"/>
    </row>
    <row r="4073" spans="5:5">
      <c r="E4073"/>
    </row>
    <row r="4074" spans="5:5">
      <c r="E4074"/>
    </row>
    <row r="4075" spans="5:5">
      <c r="E4075"/>
    </row>
    <row r="4076" spans="5:5">
      <c r="E4076"/>
    </row>
    <row r="4077" spans="5:5">
      <c r="E4077"/>
    </row>
    <row r="4078" spans="5:5">
      <c r="E4078"/>
    </row>
    <row r="4079" spans="5:5">
      <c r="E4079"/>
    </row>
    <row r="4080" spans="5:5">
      <c r="E4080"/>
    </row>
    <row r="4081" spans="5:5">
      <c r="E4081"/>
    </row>
    <row r="4082" spans="5:5">
      <c r="E4082"/>
    </row>
    <row r="4083" spans="5:5">
      <c r="E4083"/>
    </row>
    <row r="4084" spans="5:5">
      <c r="E4084"/>
    </row>
    <row r="4085" spans="5:5">
      <c r="E4085"/>
    </row>
    <row r="4086" spans="5:5">
      <c r="E4086"/>
    </row>
    <row r="4087" spans="5:5">
      <c r="E4087"/>
    </row>
    <row r="4088" spans="5:5">
      <c r="E4088"/>
    </row>
    <row r="4089" spans="5:5">
      <c r="E4089"/>
    </row>
    <row r="4090" spans="5:5">
      <c r="E4090"/>
    </row>
    <row r="4091" spans="5:5">
      <c r="E4091"/>
    </row>
    <row r="4092" spans="5:5">
      <c r="E4092"/>
    </row>
    <row r="4093" spans="5:5">
      <c r="E4093"/>
    </row>
    <row r="4094" spans="5:5">
      <c r="E4094"/>
    </row>
    <row r="4095" spans="5:5">
      <c r="E4095"/>
    </row>
    <row r="4096" spans="5:5">
      <c r="E4096"/>
    </row>
    <row r="4097" spans="5:5">
      <c r="E4097"/>
    </row>
    <row r="4098" spans="5:5">
      <c r="E4098"/>
    </row>
    <row r="4099" spans="5:5">
      <c r="E4099"/>
    </row>
    <row r="4100" spans="5:5">
      <c r="E4100"/>
    </row>
    <row r="4101" spans="5:5">
      <c r="E4101"/>
    </row>
    <row r="4102" spans="5:5">
      <c r="E4102"/>
    </row>
    <row r="4103" spans="5:5">
      <c r="E4103"/>
    </row>
    <row r="4104" spans="5:5">
      <c r="E4104"/>
    </row>
    <row r="4105" spans="5:5">
      <c r="E4105"/>
    </row>
    <row r="4106" spans="5:5">
      <c r="E4106"/>
    </row>
    <row r="4107" spans="5:5">
      <c r="E4107"/>
    </row>
    <row r="4108" spans="5:5">
      <c r="E4108"/>
    </row>
    <row r="4109" spans="5:5">
      <c r="E4109"/>
    </row>
    <row r="4110" spans="5:5">
      <c r="E4110"/>
    </row>
    <row r="4111" spans="5:5">
      <c r="E4111"/>
    </row>
    <row r="4112" spans="5:5">
      <c r="E4112"/>
    </row>
    <row r="4113" spans="5:5">
      <c r="E4113"/>
    </row>
    <row r="4114" spans="5:5">
      <c r="E4114"/>
    </row>
    <row r="4115" spans="5:5">
      <c r="E4115"/>
    </row>
    <row r="4116" spans="5:5">
      <c r="E4116"/>
    </row>
    <row r="4117" spans="5:5">
      <c r="E4117"/>
    </row>
    <row r="4118" spans="5:5">
      <c r="E4118"/>
    </row>
    <row r="4119" spans="5:5">
      <c r="E4119"/>
    </row>
    <row r="4120" spans="5:5">
      <c r="E4120"/>
    </row>
    <row r="4121" spans="5:5">
      <c r="E4121"/>
    </row>
    <row r="4122" spans="5:5">
      <c r="E4122"/>
    </row>
    <row r="4123" spans="5:5">
      <c r="E4123"/>
    </row>
    <row r="4124" spans="5:5">
      <c r="E4124"/>
    </row>
    <row r="4125" spans="5:5">
      <c r="E4125"/>
    </row>
    <row r="4126" spans="5:5">
      <c r="E4126"/>
    </row>
    <row r="4127" spans="5:5">
      <c r="E4127"/>
    </row>
    <row r="4128" spans="5:5">
      <c r="E4128"/>
    </row>
    <row r="4129" spans="5:5">
      <c r="E4129"/>
    </row>
    <row r="4130" spans="5:5">
      <c r="E4130"/>
    </row>
    <row r="4131" spans="5:5">
      <c r="E4131"/>
    </row>
    <row r="4132" spans="5:5">
      <c r="E4132"/>
    </row>
    <row r="4133" spans="5:5">
      <c r="E4133"/>
    </row>
    <row r="4134" spans="5:5">
      <c r="E4134"/>
    </row>
    <row r="4135" spans="5:5">
      <c r="E4135"/>
    </row>
    <row r="4136" spans="5:5">
      <c r="E4136"/>
    </row>
    <row r="4137" spans="5:5">
      <c r="E4137"/>
    </row>
    <row r="4138" spans="5:5">
      <c r="E4138"/>
    </row>
    <row r="4139" spans="5:5">
      <c r="E4139"/>
    </row>
    <row r="4140" spans="5:5">
      <c r="E4140"/>
    </row>
    <row r="4141" spans="5:5">
      <c r="E4141"/>
    </row>
    <row r="4142" spans="5:5">
      <c r="E4142"/>
    </row>
    <row r="4143" spans="5:5">
      <c r="E4143"/>
    </row>
    <row r="4144" spans="5:5">
      <c r="E4144"/>
    </row>
    <row r="4145" spans="5:5">
      <c r="E4145"/>
    </row>
    <row r="4146" spans="5:5">
      <c r="E4146"/>
    </row>
    <row r="4147" spans="5:5">
      <c r="E4147"/>
    </row>
    <row r="4148" spans="5:5">
      <c r="E4148"/>
    </row>
    <row r="4149" spans="5:5">
      <c r="E4149"/>
    </row>
    <row r="4150" spans="5:5">
      <c r="E4150"/>
    </row>
    <row r="4151" spans="5:5">
      <c r="E4151"/>
    </row>
    <row r="4152" spans="5:5">
      <c r="E4152"/>
    </row>
    <row r="4153" spans="5:5">
      <c r="E4153"/>
    </row>
    <row r="4154" spans="5:5">
      <c r="E4154"/>
    </row>
    <row r="4155" spans="5:5">
      <c r="E4155"/>
    </row>
    <row r="4156" spans="5:5">
      <c r="E4156"/>
    </row>
    <row r="4157" spans="5:5">
      <c r="E4157"/>
    </row>
    <row r="4158" spans="5:5">
      <c r="E4158"/>
    </row>
    <row r="4159" spans="5:5">
      <c r="E4159"/>
    </row>
    <row r="4160" spans="5:5">
      <c r="E4160"/>
    </row>
    <row r="4161" spans="5:5">
      <c r="E4161"/>
    </row>
    <row r="4162" spans="5:5">
      <c r="E4162"/>
    </row>
    <row r="4163" spans="5:5">
      <c r="E4163"/>
    </row>
    <row r="4164" spans="5:5">
      <c r="E4164"/>
    </row>
    <row r="4165" spans="5:5">
      <c r="E4165"/>
    </row>
    <row r="4166" spans="5:5">
      <c r="E4166"/>
    </row>
    <row r="4167" spans="5:5">
      <c r="E4167"/>
    </row>
    <row r="4168" spans="5:5">
      <c r="E4168"/>
    </row>
    <row r="4169" spans="5:5">
      <c r="E4169"/>
    </row>
    <row r="4170" spans="5:5">
      <c r="E4170"/>
    </row>
    <row r="4171" spans="5:5">
      <c r="E4171"/>
    </row>
    <row r="4172" spans="5:5">
      <c r="E4172"/>
    </row>
    <row r="4173" spans="5:5">
      <c r="E4173"/>
    </row>
    <row r="4174" spans="5:5">
      <c r="E4174"/>
    </row>
    <row r="4175" spans="5:5">
      <c r="E4175"/>
    </row>
    <row r="4176" spans="5:5">
      <c r="E4176"/>
    </row>
    <row r="4177" spans="5:5">
      <c r="E4177"/>
    </row>
    <row r="4178" spans="5:5">
      <c r="E4178"/>
    </row>
    <row r="4179" spans="5:5">
      <c r="E4179"/>
    </row>
    <row r="4180" spans="5:5">
      <c r="E4180"/>
    </row>
    <row r="4181" spans="5:5">
      <c r="E4181"/>
    </row>
    <row r="4182" spans="5:5">
      <c r="E4182"/>
    </row>
    <row r="4183" spans="5:5">
      <c r="E4183"/>
    </row>
    <row r="4184" spans="5:5">
      <c r="E4184"/>
    </row>
    <row r="4185" spans="5:5">
      <c r="E4185"/>
    </row>
    <row r="4186" spans="5:5">
      <c r="E4186"/>
    </row>
    <row r="4187" spans="5:5">
      <c r="E4187"/>
    </row>
    <row r="4188" spans="5:5">
      <c r="E4188"/>
    </row>
    <row r="4189" spans="5:5">
      <c r="E4189"/>
    </row>
    <row r="4190" spans="5:5">
      <c r="E4190"/>
    </row>
    <row r="4191" spans="5:5">
      <c r="E4191"/>
    </row>
    <row r="4192" spans="5:5">
      <c r="E4192"/>
    </row>
    <row r="4193" spans="5:5">
      <c r="E4193"/>
    </row>
    <row r="4194" spans="5:5">
      <c r="E4194"/>
    </row>
    <row r="4195" spans="5:5">
      <c r="E4195"/>
    </row>
    <row r="4196" spans="5:5">
      <c r="E4196"/>
    </row>
    <row r="4197" spans="5:5">
      <c r="E4197"/>
    </row>
    <row r="4198" spans="5:5">
      <c r="E4198"/>
    </row>
    <row r="4199" spans="5:5">
      <c r="E4199"/>
    </row>
    <row r="4200" spans="5:5">
      <c r="E4200"/>
    </row>
    <row r="4201" spans="5:5">
      <c r="E4201"/>
    </row>
    <row r="4202" spans="5:5">
      <c r="E4202"/>
    </row>
    <row r="4203" spans="5:5">
      <c r="E4203"/>
    </row>
    <row r="4204" spans="5:5">
      <c r="E4204"/>
    </row>
    <row r="4205" spans="5:5">
      <c r="E4205"/>
    </row>
    <row r="4206" spans="5:5">
      <c r="E4206"/>
    </row>
    <row r="4207" spans="5:5">
      <c r="E4207"/>
    </row>
    <row r="4208" spans="5:5">
      <c r="E4208"/>
    </row>
    <row r="4209" spans="5:5">
      <c r="E4209"/>
    </row>
    <row r="4210" spans="5:5">
      <c r="E4210"/>
    </row>
    <row r="4211" spans="5:5">
      <c r="E4211"/>
    </row>
    <row r="4212" spans="5:5">
      <c r="E4212"/>
    </row>
    <row r="4213" spans="5:5">
      <c r="E4213"/>
    </row>
    <row r="4214" spans="5:5">
      <c r="E4214"/>
    </row>
    <row r="4215" spans="5:5">
      <c r="E4215"/>
    </row>
    <row r="4216" spans="5:5">
      <c r="E4216"/>
    </row>
    <row r="4217" spans="5:5">
      <c r="E4217"/>
    </row>
    <row r="4218" spans="5:5">
      <c r="E4218"/>
    </row>
    <row r="4219" spans="5:5">
      <c r="E4219"/>
    </row>
    <row r="4220" spans="5:5">
      <c r="E4220"/>
    </row>
    <row r="4221" spans="5:5">
      <c r="E4221"/>
    </row>
    <row r="4222" spans="5:5">
      <c r="E4222"/>
    </row>
    <row r="4223" spans="5:5">
      <c r="E4223"/>
    </row>
    <row r="4224" spans="5:5">
      <c r="E4224"/>
    </row>
    <row r="4225" spans="5:5">
      <c r="E4225"/>
    </row>
    <row r="4226" spans="5:5">
      <c r="E4226"/>
    </row>
    <row r="4227" spans="5:5">
      <c r="E4227"/>
    </row>
    <row r="4228" spans="5:5">
      <c r="E4228"/>
    </row>
    <row r="4229" spans="5:5">
      <c r="E4229"/>
    </row>
    <row r="4230" spans="5:5">
      <c r="E4230"/>
    </row>
    <row r="4231" spans="5:5">
      <c r="E4231"/>
    </row>
    <row r="4232" spans="5:5">
      <c r="E4232"/>
    </row>
    <row r="4233" spans="5:5">
      <c r="E4233"/>
    </row>
    <row r="4234" spans="5:5">
      <c r="E4234"/>
    </row>
    <row r="4235" spans="5:5">
      <c r="E4235"/>
    </row>
    <row r="4236" spans="5:5">
      <c r="E4236"/>
    </row>
    <row r="4237" spans="5:5">
      <c r="E4237"/>
    </row>
    <row r="4238" spans="5:5">
      <c r="E4238"/>
    </row>
    <row r="4239" spans="5:5">
      <c r="E4239"/>
    </row>
    <row r="4240" spans="5:5">
      <c r="E4240"/>
    </row>
    <row r="4241" spans="5:5">
      <c r="E4241"/>
    </row>
    <row r="4242" spans="5:5">
      <c r="E4242"/>
    </row>
    <row r="4243" spans="5:5">
      <c r="E4243"/>
    </row>
    <row r="4244" spans="5:5">
      <c r="E4244"/>
    </row>
    <row r="4245" spans="5:5">
      <c r="E4245"/>
    </row>
    <row r="4246" spans="5:5">
      <c r="E4246"/>
    </row>
    <row r="4247" spans="5:5">
      <c r="E4247"/>
    </row>
    <row r="4248" spans="5:5">
      <c r="E4248"/>
    </row>
    <row r="4249" spans="5:5">
      <c r="E4249"/>
    </row>
    <row r="4250" spans="5:5">
      <c r="E4250"/>
    </row>
    <row r="4251" spans="5:5">
      <c r="E4251"/>
    </row>
    <row r="4252" spans="5:5">
      <c r="E4252"/>
    </row>
    <row r="4253" spans="5:5">
      <c r="E4253"/>
    </row>
    <row r="4254" spans="5:5">
      <c r="E4254"/>
    </row>
    <row r="4255" spans="5:5">
      <c r="E4255"/>
    </row>
    <row r="4256" spans="5:5">
      <c r="E4256"/>
    </row>
    <row r="4257" spans="5:5">
      <c r="E4257"/>
    </row>
    <row r="4258" spans="5:5">
      <c r="E4258"/>
    </row>
    <row r="4259" spans="5:5">
      <c r="E4259"/>
    </row>
    <row r="4260" spans="5:5">
      <c r="E4260"/>
    </row>
    <row r="4261" spans="5:5">
      <c r="E4261"/>
    </row>
    <row r="4262" spans="5:5">
      <c r="E4262"/>
    </row>
    <row r="4263" spans="5:5">
      <c r="E4263"/>
    </row>
    <row r="4264" spans="5:5">
      <c r="E4264"/>
    </row>
    <row r="4265" spans="5:5">
      <c r="E4265"/>
    </row>
    <row r="4266" spans="5:5">
      <c r="E4266"/>
    </row>
    <row r="4267" spans="5:5">
      <c r="E4267"/>
    </row>
    <row r="4268" spans="5:5">
      <c r="E4268"/>
    </row>
    <row r="4269" spans="5:5">
      <c r="E4269"/>
    </row>
    <row r="4270" spans="5:5">
      <c r="E4270"/>
    </row>
    <row r="4271" spans="5:5">
      <c r="E4271"/>
    </row>
    <row r="4272" spans="5:5">
      <c r="E4272"/>
    </row>
    <row r="4273" spans="5:5">
      <c r="E4273"/>
    </row>
    <row r="4274" spans="5:5">
      <c r="E4274"/>
    </row>
    <row r="4275" spans="5:5">
      <c r="E4275"/>
    </row>
    <row r="4276" spans="5:5">
      <c r="E4276"/>
    </row>
    <row r="4277" spans="5:5">
      <c r="E4277"/>
    </row>
    <row r="4278" spans="5:5">
      <c r="E4278"/>
    </row>
    <row r="4279" spans="5:5">
      <c r="E4279"/>
    </row>
    <row r="4280" spans="5:5">
      <c r="E4280"/>
    </row>
    <row r="4281" spans="5:5">
      <c r="E4281"/>
    </row>
    <row r="4282" spans="5:5">
      <c r="E4282"/>
    </row>
    <row r="4283" spans="5:5">
      <c r="E4283"/>
    </row>
    <row r="4284" spans="5:5">
      <c r="E4284"/>
    </row>
    <row r="4285" spans="5:5">
      <c r="E4285"/>
    </row>
    <row r="4286" spans="5:5">
      <c r="E4286"/>
    </row>
    <row r="4287" spans="5:5">
      <c r="E4287"/>
    </row>
    <row r="4288" spans="5:5">
      <c r="E4288"/>
    </row>
    <row r="4289" spans="5:5">
      <c r="E4289"/>
    </row>
    <row r="4290" spans="5:5">
      <c r="E4290"/>
    </row>
    <row r="4291" spans="5:5">
      <c r="E4291"/>
    </row>
    <row r="4292" spans="5:5">
      <c r="E4292"/>
    </row>
    <row r="4293" spans="5:5">
      <c r="E4293"/>
    </row>
    <row r="4294" spans="5:5">
      <c r="E4294"/>
    </row>
    <row r="4295" spans="5:5">
      <c r="E4295"/>
    </row>
    <row r="4296" spans="5:5">
      <c r="E4296"/>
    </row>
    <row r="4297" spans="5:5">
      <c r="E4297"/>
    </row>
    <row r="4298" spans="5:5">
      <c r="E4298"/>
    </row>
    <row r="4299" spans="5:5">
      <c r="E4299"/>
    </row>
    <row r="4300" spans="5:5">
      <c r="E4300"/>
    </row>
    <row r="4301" spans="5:5">
      <c r="E4301"/>
    </row>
    <row r="4302" spans="5:5">
      <c r="E4302"/>
    </row>
    <row r="4303" spans="5:5">
      <c r="E4303"/>
    </row>
    <row r="4304" spans="5:5">
      <c r="E4304"/>
    </row>
    <row r="4305" spans="5:5">
      <c r="E4305"/>
    </row>
    <row r="4306" spans="5:5">
      <c r="E4306"/>
    </row>
    <row r="4307" spans="5:5">
      <c r="E4307"/>
    </row>
    <row r="4308" spans="5:5">
      <c r="E4308"/>
    </row>
    <row r="4309" spans="5:5">
      <c r="E4309"/>
    </row>
    <row r="4310" spans="5:5">
      <c r="E4310"/>
    </row>
    <row r="4311" spans="5:5">
      <c r="E4311"/>
    </row>
    <row r="4312" spans="5:5">
      <c r="E4312"/>
    </row>
    <row r="4313" spans="5:5">
      <c r="E4313"/>
    </row>
    <row r="4314" spans="5:5">
      <c r="E4314"/>
    </row>
    <row r="4315" spans="5:5">
      <c r="E4315"/>
    </row>
    <row r="4316" spans="5:5">
      <c r="E4316"/>
    </row>
    <row r="4317" spans="5:5">
      <c r="E4317"/>
    </row>
    <row r="4318" spans="5:5">
      <c r="E4318"/>
    </row>
    <row r="4319" spans="5:5">
      <c r="E4319"/>
    </row>
    <row r="4320" spans="5:5">
      <c r="E4320"/>
    </row>
    <row r="4321" spans="5:5">
      <c r="E4321"/>
    </row>
    <row r="4322" spans="5:5">
      <c r="E4322"/>
    </row>
    <row r="4323" spans="5:5">
      <c r="E4323"/>
    </row>
    <row r="4324" spans="5:5">
      <c r="E4324"/>
    </row>
    <row r="4325" spans="5:5">
      <c r="E4325"/>
    </row>
    <row r="4326" spans="5:5">
      <c r="E4326"/>
    </row>
    <row r="4327" spans="5:5">
      <c r="E4327"/>
    </row>
    <row r="4328" spans="5:5">
      <c r="E4328"/>
    </row>
    <row r="4329" spans="5:5">
      <c r="E4329"/>
    </row>
    <row r="4330" spans="5:5">
      <c r="E4330"/>
    </row>
    <row r="4331" spans="5:5">
      <c r="E4331"/>
    </row>
    <row r="4332" spans="5:5">
      <c r="E4332"/>
    </row>
    <row r="4333" spans="5:5">
      <c r="E4333"/>
    </row>
    <row r="4334" spans="5:5">
      <c r="E4334"/>
    </row>
    <row r="4335" spans="5:5">
      <c r="E4335"/>
    </row>
    <row r="4336" spans="5:5">
      <c r="E4336"/>
    </row>
    <row r="4337" spans="5:5">
      <c r="E4337"/>
    </row>
    <row r="4338" spans="5:5">
      <c r="E4338"/>
    </row>
    <row r="4339" spans="5:5">
      <c r="E4339"/>
    </row>
    <row r="4340" spans="5:5">
      <c r="E4340"/>
    </row>
    <row r="4341" spans="5:5">
      <c r="E4341"/>
    </row>
    <row r="4342" spans="5:5">
      <c r="E4342"/>
    </row>
    <row r="4343" spans="5:5">
      <c r="E4343"/>
    </row>
    <row r="4344" spans="5:5">
      <c r="E4344"/>
    </row>
    <row r="4345" spans="5:5">
      <c r="E4345"/>
    </row>
    <row r="4346" spans="5:5">
      <c r="E4346"/>
    </row>
    <row r="4347" spans="5:5">
      <c r="E4347"/>
    </row>
    <row r="4348" spans="5:5">
      <c r="E4348"/>
    </row>
    <row r="4349" spans="5:5">
      <c r="E4349"/>
    </row>
    <row r="4350" spans="5:5">
      <c r="E4350"/>
    </row>
    <row r="4351" spans="5:5">
      <c r="E4351"/>
    </row>
    <row r="4352" spans="5:5">
      <c r="E4352"/>
    </row>
    <row r="4353" spans="5:5">
      <c r="E4353"/>
    </row>
    <row r="4354" spans="5:5">
      <c r="E4354"/>
    </row>
    <row r="4355" spans="5:5">
      <c r="E4355"/>
    </row>
    <row r="4356" spans="5:5">
      <c r="E4356"/>
    </row>
    <row r="4357" spans="5:5">
      <c r="E4357"/>
    </row>
    <row r="4358" spans="5:5">
      <c r="E4358"/>
    </row>
    <row r="4359" spans="5:5">
      <c r="E4359"/>
    </row>
    <row r="4360" spans="5:5">
      <c r="E4360"/>
    </row>
    <row r="4361" spans="5:5">
      <c r="E4361"/>
    </row>
    <row r="4362" spans="5:5">
      <c r="E4362"/>
    </row>
    <row r="4363" spans="5:5">
      <c r="E4363"/>
    </row>
    <row r="4364" spans="5:5">
      <c r="E4364"/>
    </row>
    <row r="4365" spans="5:5">
      <c r="E4365"/>
    </row>
    <row r="4366" spans="5:5">
      <c r="E4366"/>
    </row>
    <row r="4367" spans="5:5">
      <c r="E4367"/>
    </row>
    <row r="4368" spans="5:5">
      <c r="E4368"/>
    </row>
    <row r="4369" spans="5:5">
      <c r="E4369"/>
    </row>
    <row r="4370" spans="5:5">
      <c r="E4370"/>
    </row>
    <row r="4371" spans="5:5">
      <c r="E4371"/>
    </row>
    <row r="4372" spans="5:5">
      <c r="E4372"/>
    </row>
    <row r="4373" spans="5:5">
      <c r="E4373"/>
    </row>
    <row r="4374" spans="5:5">
      <c r="E4374"/>
    </row>
    <row r="4375" spans="5:5">
      <c r="E4375"/>
    </row>
    <row r="4376" spans="5:5">
      <c r="E4376"/>
    </row>
    <row r="4377" spans="5:5">
      <c r="E4377"/>
    </row>
    <row r="4378" spans="5:5">
      <c r="E4378"/>
    </row>
    <row r="4379" spans="5:5">
      <c r="E4379"/>
    </row>
    <row r="4380" spans="5:5">
      <c r="E4380"/>
    </row>
    <row r="4381" spans="5:5">
      <c r="E4381"/>
    </row>
    <row r="4382" spans="5:5">
      <c r="E4382"/>
    </row>
    <row r="4383" spans="5:5">
      <c r="E4383"/>
    </row>
    <row r="4384" spans="5:5">
      <c r="E4384"/>
    </row>
    <row r="4385" spans="5:5">
      <c r="E4385"/>
    </row>
    <row r="4386" spans="5:5">
      <c r="E4386"/>
    </row>
    <row r="4387" spans="5:5">
      <c r="E4387"/>
    </row>
    <row r="4388" spans="5:5">
      <c r="E4388"/>
    </row>
    <row r="4389" spans="5:5">
      <c r="E4389"/>
    </row>
    <row r="4390" spans="5:5">
      <c r="E4390"/>
    </row>
    <row r="4391" spans="5:5">
      <c r="E4391"/>
    </row>
    <row r="4392" spans="5:5">
      <c r="E4392"/>
    </row>
    <row r="4393" spans="5:5">
      <c r="E4393"/>
    </row>
    <row r="4394" spans="5:5">
      <c r="E4394"/>
    </row>
    <row r="4395" spans="5:5">
      <c r="E4395"/>
    </row>
    <row r="4396" spans="5:5">
      <c r="E4396"/>
    </row>
    <row r="4397" spans="5:5">
      <c r="E4397"/>
    </row>
    <row r="4398" spans="5:5">
      <c r="E4398"/>
    </row>
    <row r="4399" spans="5:5">
      <c r="E4399"/>
    </row>
    <row r="4400" spans="5:5">
      <c r="E4400"/>
    </row>
    <row r="4401" spans="5:5">
      <c r="E4401"/>
    </row>
    <row r="4402" spans="5:5">
      <c r="E4402"/>
    </row>
    <row r="4403" spans="5:5">
      <c r="E4403"/>
    </row>
    <row r="4404" spans="5:5">
      <c r="E4404"/>
    </row>
    <row r="4405" spans="5:5">
      <c r="E4405"/>
    </row>
    <row r="4406" spans="5:5">
      <c r="E4406"/>
    </row>
    <row r="4407" spans="5:5">
      <c r="E4407"/>
    </row>
    <row r="4408" spans="5:5">
      <c r="E4408"/>
    </row>
    <row r="4409" spans="5:5">
      <c r="E4409"/>
    </row>
    <row r="4410" spans="5:5">
      <c r="E4410"/>
    </row>
    <row r="4411" spans="5:5">
      <c r="E4411"/>
    </row>
    <row r="4412" spans="5:5">
      <c r="E4412"/>
    </row>
    <row r="4413" spans="5:5">
      <c r="E4413"/>
    </row>
    <row r="4414" spans="5:5">
      <c r="E4414"/>
    </row>
    <row r="4415" spans="5:5">
      <c r="E4415"/>
    </row>
    <row r="4416" spans="5:5">
      <c r="E4416"/>
    </row>
    <row r="4417" spans="5:5">
      <c r="E4417"/>
    </row>
    <row r="4418" spans="5:5">
      <c r="E4418"/>
    </row>
    <row r="4419" spans="5:5">
      <c r="E4419"/>
    </row>
    <row r="4420" spans="5:5">
      <c r="E4420"/>
    </row>
    <row r="4421" spans="5:5">
      <c r="E4421"/>
    </row>
    <row r="4422" spans="5:5">
      <c r="E4422"/>
    </row>
    <row r="4423" spans="5:5">
      <c r="E4423"/>
    </row>
    <row r="4424" spans="5:5">
      <c r="E4424"/>
    </row>
    <row r="4425" spans="5:5">
      <c r="E4425"/>
    </row>
    <row r="4426" spans="5:5">
      <c r="E4426"/>
    </row>
    <row r="4427" spans="5:5">
      <c r="E4427"/>
    </row>
    <row r="4428" spans="5:5">
      <c r="E4428"/>
    </row>
    <row r="4429" spans="5:5">
      <c r="E4429"/>
    </row>
    <row r="4430" spans="5:5">
      <c r="E4430"/>
    </row>
    <row r="4431" spans="5:5">
      <c r="E4431"/>
    </row>
    <row r="4432" spans="5:5">
      <c r="E4432"/>
    </row>
    <row r="4433" spans="5:5">
      <c r="E4433"/>
    </row>
    <row r="4434" spans="5:5">
      <c r="E4434"/>
    </row>
    <row r="4435" spans="5:5">
      <c r="E4435"/>
    </row>
    <row r="4436" spans="5:5">
      <c r="E4436"/>
    </row>
    <row r="4437" spans="5:5">
      <c r="E4437"/>
    </row>
    <row r="4438" spans="5:5">
      <c r="E4438"/>
    </row>
    <row r="4439" spans="5:5">
      <c r="E4439"/>
    </row>
    <row r="4440" spans="5:5">
      <c r="E4440"/>
    </row>
    <row r="4441" spans="5:5">
      <c r="E4441"/>
    </row>
    <row r="4442" spans="5:5">
      <c r="E4442"/>
    </row>
    <row r="4443" spans="5:5">
      <c r="E4443"/>
    </row>
    <row r="4444" spans="5:5">
      <c r="E4444"/>
    </row>
    <row r="4445" spans="5:5">
      <c r="E4445"/>
    </row>
    <row r="4446" spans="5:5">
      <c r="E4446"/>
    </row>
    <row r="4447" spans="5:5">
      <c r="E4447"/>
    </row>
    <row r="4448" spans="5:5">
      <c r="E4448"/>
    </row>
    <row r="4449" spans="5:5">
      <c r="E4449"/>
    </row>
    <row r="4450" spans="5:5">
      <c r="E4450"/>
    </row>
    <row r="4451" spans="5:5">
      <c r="E4451"/>
    </row>
    <row r="4452" spans="5:5">
      <c r="E4452"/>
    </row>
    <row r="4453" spans="5:5">
      <c r="E4453"/>
    </row>
    <row r="4454" spans="5:5">
      <c r="E4454"/>
    </row>
    <row r="4455" spans="5:5">
      <c r="E4455"/>
    </row>
    <row r="4456" spans="5:5">
      <c r="E4456"/>
    </row>
    <row r="4457" spans="5:5">
      <c r="E4457"/>
    </row>
    <row r="4458" spans="5:5">
      <c r="E4458"/>
    </row>
    <row r="4459" spans="5:5">
      <c r="E4459"/>
    </row>
    <row r="4460" spans="5:5">
      <c r="E4460"/>
    </row>
    <row r="4461" spans="5:5">
      <c r="E4461"/>
    </row>
    <row r="4462" spans="5:5">
      <c r="E4462"/>
    </row>
    <row r="4463" spans="5:5">
      <c r="E4463"/>
    </row>
    <row r="4464" spans="5:5">
      <c r="E4464"/>
    </row>
    <row r="4465" spans="5:5">
      <c r="E4465"/>
    </row>
    <row r="4466" spans="5:5">
      <c r="E4466"/>
    </row>
    <row r="4467" spans="5:5">
      <c r="E4467"/>
    </row>
    <row r="4468" spans="5:5">
      <c r="E4468"/>
    </row>
    <row r="4469" spans="5:5">
      <c r="E4469"/>
    </row>
    <row r="4470" spans="5:5">
      <c r="E4470"/>
    </row>
    <row r="4471" spans="5:5">
      <c r="E4471"/>
    </row>
    <row r="4472" spans="5:5">
      <c r="E4472"/>
    </row>
    <row r="4473" spans="5:5">
      <c r="E4473"/>
    </row>
    <row r="4474" spans="5:5">
      <c r="E4474"/>
    </row>
    <row r="4475" spans="5:5">
      <c r="E4475"/>
    </row>
    <row r="4476" spans="5:5">
      <c r="E4476"/>
    </row>
    <row r="4477" spans="5:5">
      <c r="E4477"/>
    </row>
    <row r="4478" spans="5:5">
      <c r="E4478"/>
    </row>
    <row r="4479" spans="5:5">
      <c r="E4479"/>
    </row>
    <row r="4480" spans="5:5">
      <c r="E4480"/>
    </row>
    <row r="4481" spans="5:5">
      <c r="E4481"/>
    </row>
    <row r="4482" spans="5:5">
      <c r="E4482"/>
    </row>
    <row r="4483" spans="5:5">
      <c r="E4483"/>
    </row>
    <row r="4484" spans="5:5">
      <c r="E4484"/>
    </row>
    <row r="4485" spans="5:5">
      <c r="E4485"/>
    </row>
    <row r="4486" spans="5:5">
      <c r="E4486"/>
    </row>
    <row r="4487" spans="5:5">
      <c r="E4487"/>
    </row>
    <row r="4488" spans="5:5">
      <c r="E4488"/>
    </row>
    <row r="4489" spans="5:5">
      <c r="E4489"/>
    </row>
    <row r="4490" spans="5:5">
      <c r="E4490"/>
    </row>
    <row r="4491" spans="5:5">
      <c r="E4491"/>
    </row>
    <row r="4492" spans="5:5">
      <c r="E4492"/>
    </row>
    <row r="4493" spans="5:5">
      <c r="E4493"/>
    </row>
    <row r="4494" spans="5:5">
      <c r="E4494"/>
    </row>
    <row r="4495" spans="5:5">
      <c r="E4495"/>
    </row>
    <row r="4496" spans="5:5">
      <c r="E4496"/>
    </row>
    <row r="4497" spans="5:5">
      <c r="E4497"/>
    </row>
    <row r="4498" spans="5:5">
      <c r="E4498"/>
    </row>
    <row r="4499" spans="5:5">
      <c r="E4499"/>
    </row>
    <row r="4500" spans="5:5">
      <c r="E4500"/>
    </row>
    <row r="4501" spans="5:5">
      <c r="E4501"/>
    </row>
    <row r="4502" spans="5:5">
      <c r="E4502"/>
    </row>
    <row r="4503" spans="5:5">
      <c r="E4503"/>
    </row>
    <row r="4504" spans="5:5">
      <c r="E4504"/>
    </row>
    <row r="4505" spans="5:5">
      <c r="E4505"/>
    </row>
    <row r="4506" spans="5:5">
      <c r="E4506"/>
    </row>
    <row r="4507" spans="5:5">
      <c r="E4507"/>
    </row>
    <row r="4508" spans="5:5">
      <c r="E4508"/>
    </row>
    <row r="4509" spans="5:5">
      <c r="E4509"/>
    </row>
    <row r="4510" spans="5:5">
      <c r="E4510"/>
    </row>
    <row r="4511" spans="5:5">
      <c r="E4511"/>
    </row>
    <row r="4512" spans="5:5">
      <c r="E4512"/>
    </row>
    <row r="4513" spans="5:5">
      <c r="E4513"/>
    </row>
    <row r="4514" spans="5:5">
      <c r="E4514"/>
    </row>
    <row r="4515" spans="5:5">
      <c r="E4515"/>
    </row>
    <row r="4516" spans="5:5">
      <c r="E4516"/>
    </row>
    <row r="4517" spans="5:5">
      <c r="E4517"/>
    </row>
    <row r="4518" spans="5:5">
      <c r="E4518"/>
    </row>
    <row r="4519" spans="5:5">
      <c r="E4519"/>
    </row>
    <row r="4520" spans="5:5">
      <c r="E4520"/>
    </row>
    <row r="4521" spans="5:5">
      <c r="E4521"/>
    </row>
    <row r="4522" spans="5:5">
      <c r="E4522"/>
    </row>
    <row r="4523" spans="5:5">
      <c r="E4523"/>
    </row>
    <row r="4524" spans="5:5">
      <c r="E4524"/>
    </row>
    <row r="4525" spans="5:5">
      <c r="E4525"/>
    </row>
    <row r="4526" spans="5:5">
      <c r="E4526"/>
    </row>
    <row r="4527" spans="5:5">
      <c r="E4527"/>
    </row>
    <row r="4528" spans="5:5">
      <c r="E4528"/>
    </row>
    <row r="4529" spans="5:5">
      <c r="E4529"/>
    </row>
    <row r="4530" spans="5:5">
      <c r="E4530"/>
    </row>
    <row r="4531" spans="5:5">
      <c r="E4531"/>
    </row>
    <row r="4532" spans="5:5">
      <c r="E4532"/>
    </row>
    <row r="4533" spans="5:5">
      <c r="E4533"/>
    </row>
    <row r="4534" spans="5:5">
      <c r="E4534"/>
    </row>
    <row r="4535" spans="5:5">
      <c r="E4535"/>
    </row>
    <row r="4536" spans="5:5">
      <c r="E4536"/>
    </row>
    <row r="4537" spans="5:5">
      <c r="E4537"/>
    </row>
    <row r="4538" spans="5:5">
      <c r="E4538"/>
    </row>
    <row r="4539" spans="5:5">
      <c r="E4539"/>
    </row>
    <row r="4540" spans="5:5">
      <c r="E4540"/>
    </row>
    <row r="4541" spans="5:5">
      <c r="E4541"/>
    </row>
    <row r="4542" spans="5:5">
      <c r="E4542"/>
    </row>
    <row r="4543" spans="5:5">
      <c r="E4543"/>
    </row>
    <row r="4544" spans="5:5">
      <c r="E4544"/>
    </row>
    <row r="4545" spans="5:5">
      <c r="E4545"/>
    </row>
    <row r="4546" spans="5:5">
      <c r="E4546"/>
    </row>
    <row r="4547" spans="5:5">
      <c r="E4547"/>
    </row>
    <row r="4548" spans="5:5">
      <c r="E4548"/>
    </row>
    <row r="4549" spans="5:5">
      <c r="E4549"/>
    </row>
    <row r="4550" spans="5:5">
      <c r="E4550"/>
    </row>
    <row r="4551" spans="5:5">
      <c r="E4551"/>
    </row>
    <row r="4552" spans="5:5">
      <c r="E4552"/>
    </row>
    <row r="4553" spans="5:5">
      <c r="E4553"/>
    </row>
    <row r="4554" spans="5:5">
      <c r="E4554"/>
    </row>
    <row r="4555" spans="5:5">
      <c r="E4555"/>
    </row>
    <row r="4556" spans="5:5">
      <c r="E4556"/>
    </row>
    <row r="4557" spans="5:5">
      <c r="E4557"/>
    </row>
    <row r="4558" spans="5:5">
      <c r="E4558"/>
    </row>
    <row r="4559" spans="5:5">
      <c r="E4559"/>
    </row>
    <row r="4560" spans="5:5">
      <c r="E4560"/>
    </row>
    <row r="4561" spans="5:5">
      <c r="E4561"/>
    </row>
    <row r="4562" spans="5:5">
      <c r="E4562"/>
    </row>
    <row r="4563" spans="5:5">
      <c r="E4563"/>
    </row>
    <row r="4564" spans="5:5">
      <c r="E4564"/>
    </row>
    <row r="4565" spans="5:5">
      <c r="E4565"/>
    </row>
    <row r="4566" spans="5:5">
      <c r="E4566"/>
    </row>
    <row r="4567" spans="5:5">
      <c r="E4567"/>
    </row>
    <row r="4568" spans="5:5">
      <c r="E4568"/>
    </row>
    <row r="4569" spans="5:5">
      <c r="E4569"/>
    </row>
    <row r="4570" spans="5:5">
      <c r="E4570"/>
    </row>
    <row r="4571" spans="5:5">
      <c r="E4571"/>
    </row>
    <row r="4572" spans="5:5">
      <c r="E4572"/>
    </row>
    <row r="4573" spans="5:5">
      <c r="E4573"/>
    </row>
    <row r="4574" spans="5:5">
      <c r="E4574"/>
    </row>
    <row r="4575" spans="5:5">
      <c r="E4575"/>
    </row>
    <row r="4576" spans="5:5">
      <c r="E4576"/>
    </row>
    <row r="4577" spans="5:5">
      <c r="E4577"/>
    </row>
    <row r="4578" spans="5:5">
      <c r="E4578"/>
    </row>
    <row r="4579" spans="5:5">
      <c r="E4579"/>
    </row>
    <row r="4580" spans="5:5">
      <c r="E4580"/>
    </row>
    <row r="4581" spans="5:5">
      <c r="E4581"/>
    </row>
    <row r="4582" spans="5:5">
      <c r="E4582"/>
    </row>
    <row r="4583" spans="5:5">
      <c r="E4583"/>
    </row>
    <row r="4584" spans="5:5">
      <c r="E4584"/>
    </row>
    <row r="4585" spans="5:5">
      <c r="E4585"/>
    </row>
    <row r="4586" spans="5:5">
      <c r="E4586"/>
    </row>
    <row r="4587" spans="5:5">
      <c r="E4587"/>
    </row>
    <row r="4588" spans="5:5">
      <c r="E4588"/>
    </row>
    <row r="4589" spans="5:5">
      <c r="E4589"/>
    </row>
    <row r="4590" spans="5:5">
      <c r="E4590"/>
    </row>
    <row r="4591" spans="5:5">
      <c r="E4591"/>
    </row>
    <row r="4592" spans="5:5">
      <c r="E4592"/>
    </row>
    <row r="4593" spans="5:5">
      <c r="E4593"/>
    </row>
    <row r="4594" spans="5:5">
      <c r="E4594"/>
    </row>
    <row r="4595" spans="5:5">
      <c r="E4595"/>
    </row>
    <row r="4596" spans="5:5">
      <c r="E4596"/>
    </row>
    <row r="4597" spans="5:5">
      <c r="E4597"/>
    </row>
    <row r="4598" spans="5:5">
      <c r="E4598"/>
    </row>
    <row r="4599" spans="5:5">
      <c r="E4599"/>
    </row>
    <row r="4600" spans="5:5">
      <c r="E4600"/>
    </row>
    <row r="4601" spans="5:5">
      <c r="E4601"/>
    </row>
    <row r="4602" spans="5:5">
      <c r="E4602"/>
    </row>
    <row r="4603" spans="5:5">
      <c r="E4603"/>
    </row>
    <row r="4604" spans="5:5">
      <c r="E4604"/>
    </row>
    <row r="4605" spans="5:5">
      <c r="E4605"/>
    </row>
    <row r="4606" spans="5:5">
      <c r="E4606"/>
    </row>
    <row r="4607" spans="5:5">
      <c r="E4607"/>
    </row>
    <row r="4608" spans="5:5">
      <c r="E4608"/>
    </row>
    <row r="4609" spans="5:5">
      <c r="E4609"/>
    </row>
    <row r="4610" spans="5:5">
      <c r="E4610"/>
    </row>
    <row r="4611" spans="5:5">
      <c r="E4611"/>
    </row>
    <row r="4612" spans="5:5">
      <c r="E4612"/>
    </row>
    <row r="4613" spans="5:5">
      <c r="E4613"/>
    </row>
    <row r="4614" spans="5:5">
      <c r="E4614"/>
    </row>
    <row r="4615" spans="5:5">
      <c r="E4615"/>
    </row>
    <row r="4616" spans="5:5">
      <c r="E4616"/>
    </row>
    <row r="4617" spans="5:5">
      <c r="E4617"/>
    </row>
    <row r="4618" spans="5:5">
      <c r="E4618"/>
    </row>
    <row r="4619" spans="5:5">
      <c r="E4619"/>
    </row>
    <row r="4620" spans="5:5">
      <c r="E4620"/>
    </row>
    <row r="4621" spans="5:5">
      <c r="E4621"/>
    </row>
    <row r="4622" spans="5:5">
      <c r="E4622"/>
    </row>
    <row r="4623" spans="5:5">
      <c r="E4623"/>
    </row>
    <row r="4624" spans="5:5">
      <c r="E4624"/>
    </row>
    <row r="4625" spans="5:5">
      <c r="E4625"/>
    </row>
    <row r="4626" spans="5:5">
      <c r="E4626"/>
    </row>
    <row r="4627" spans="5:5">
      <c r="E4627"/>
    </row>
    <row r="4628" spans="5:5">
      <c r="E4628"/>
    </row>
    <row r="4629" spans="5:5">
      <c r="E4629"/>
    </row>
    <row r="4630" spans="5:5">
      <c r="E4630"/>
    </row>
    <row r="4631" spans="5:5">
      <c r="E4631"/>
    </row>
    <row r="4632" spans="5:5">
      <c r="E4632"/>
    </row>
    <row r="4633" spans="5:5">
      <c r="E4633"/>
    </row>
    <row r="4634" spans="5:5">
      <c r="E4634"/>
    </row>
    <row r="4635" spans="5:5">
      <c r="E4635"/>
    </row>
    <row r="4636" spans="5:5">
      <c r="E4636"/>
    </row>
    <row r="4637" spans="5:5">
      <c r="E4637"/>
    </row>
    <row r="4638" spans="5:5">
      <c r="E4638"/>
    </row>
    <row r="4639" spans="5:5">
      <c r="E4639"/>
    </row>
    <row r="4640" spans="5:5">
      <c r="E4640"/>
    </row>
    <row r="4641" spans="5:5">
      <c r="E4641"/>
    </row>
    <row r="4642" spans="5:5">
      <c r="E4642"/>
    </row>
    <row r="4643" spans="5:5">
      <c r="E4643"/>
    </row>
    <row r="4644" spans="5:5">
      <c r="E4644"/>
    </row>
    <row r="4645" spans="5:5">
      <c r="E4645"/>
    </row>
    <row r="4646" spans="5:5">
      <c r="E4646"/>
    </row>
    <row r="4647" spans="5:5">
      <c r="E4647"/>
    </row>
    <row r="4648" spans="5:5">
      <c r="E4648"/>
    </row>
    <row r="4649" spans="5:5">
      <c r="E4649"/>
    </row>
    <row r="4650" spans="5:5">
      <c r="E4650"/>
    </row>
    <row r="4651" spans="5:5">
      <c r="E4651"/>
    </row>
    <row r="4652" spans="5:5">
      <c r="E4652"/>
    </row>
    <row r="4653" spans="5:5">
      <c r="E4653"/>
    </row>
    <row r="4654" spans="5:5">
      <c r="E4654"/>
    </row>
    <row r="4655" spans="5:5">
      <c r="E4655"/>
    </row>
    <row r="4656" spans="5:5">
      <c r="E4656"/>
    </row>
    <row r="4657" spans="5:5">
      <c r="E4657"/>
    </row>
    <row r="4658" spans="5:5">
      <c r="E4658"/>
    </row>
    <row r="4659" spans="5:5">
      <c r="E4659"/>
    </row>
    <row r="4660" spans="5:5">
      <c r="E4660"/>
    </row>
    <row r="4661" spans="5:5">
      <c r="E4661"/>
    </row>
    <row r="4662" spans="5:5">
      <c r="E4662"/>
    </row>
    <row r="4663" spans="5:5">
      <c r="E4663"/>
    </row>
    <row r="4664" spans="5:5">
      <c r="E4664"/>
    </row>
    <row r="4665" spans="5:5">
      <c r="E4665"/>
    </row>
    <row r="4666" spans="5:5">
      <c r="E4666"/>
    </row>
    <row r="4667" spans="5:5">
      <c r="E4667"/>
    </row>
    <row r="4668" spans="5:5">
      <c r="E4668"/>
    </row>
    <row r="4669" spans="5:5">
      <c r="E4669"/>
    </row>
    <row r="4670" spans="5:5">
      <c r="E4670"/>
    </row>
    <row r="4671" spans="5:5">
      <c r="E4671"/>
    </row>
    <row r="4672" spans="5:5">
      <c r="E4672"/>
    </row>
    <row r="4673" spans="5:5">
      <c r="E4673"/>
    </row>
    <row r="4674" spans="5:5">
      <c r="E4674"/>
    </row>
    <row r="4675" spans="5:5">
      <c r="E4675"/>
    </row>
    <row r="4676" spans="5:5">
      <c r="E4676"/>
    </row>
    <row r="4677" spans="5:5">
      <c r="E4677"/>
    </row>
    <row r="4678" spans="5:5">
      <c r="E4678"/>
    </row>
    <row r="4679" spans="5:5">
      <c r="E4679"/>
    </row>
    <row r="4680" spans="5:5">
      <c r="E4680"/>
    </row>
    <row r="4681" spans="5:5">
      <c r="E4681"/>
    </row>
    <row r="4682" spans="5:5">
      <c r="E4682"/>
    </row>
    <row r="4683" spans="5:5">
      <c r="E4683"/>
    </row>
    <row r="4684" spans="5:5">
      <c r="E4684"/>
    </row>
    <row r="4685" spans="5:5">
      <c r="E4685"/>
    </row>
    <row r="4686" spans="5:5">
      <c r="E4686"/>
    </row>
    <row r="4687" spans="5:5">
      <c r="E4687"/>
    </row>
    <row r="4688" spans="5:5">
      <c r="E4688"/>
    </row>
    <row r="4689" spans="5:5">
      <c r="E4689"/>
    </row>
    <row r="4690" spans="5:5">
      <c r="E4690"/>
    </row>
    <row r="4691" spans="5:5">
      <c r="E4691"/>
    </row>
    <row r="4692" spans="5:5">
      <c r="E4692"/>
    </row>
    <row r="4693" spans="5:5">
      <c r="E4693"/>
    </row>
    <row r="4694" spans="5:5">
      <c r="E4694"/>
    </row>
    <row r="4695" spans="5:5">
      <c r="E4695"/>
    </row>
    <row r="4696" spans="5:5">
      <c r="E4696"/>
    </row>
    <row r="4697" spans="5:5">
      <c r="E4697"/>
    </row>
    <row r="4698" spans="5:5">
      <c r="E4698"/>
    </row>
    <row r="4699" spans="5:5">
      <c r="E4699"/>
    </row>
    <row r="4700" spans="5:5">
      <c r="E4700"/>
    </row>
    <row r="4701" spans="5:5">
      <c r="E4701"/>
    </row>
    <row r="4702" spans="5:5">
      <c r="E4702"/>
    </row>
    <row r="4703" spans="5:5">
      <c r="E4703"/>
    </row>
    <row r="4704" spans="5:5">
      <c r="E4704"/>
    </row>
    <row r="4705" spans="5:5">
      <c r="E4705"/>
    </row>
    <row r="4706" spans="5:5">
      <c r="E4706"/>
    </row>
    <row r="4707" spans="5:5">
      <c r="E4707"/>
    </row>
    <row r="4708" spans="5:5">
      <c r="E4708"/>
    </row>
    <row r="4709" spans="5:5">
      <c r="E4709"/>
    </row>
    <row r="4710" spans="5:5">
      <c r="E4710"/>
    </row>
    <row r="4711" spans="5:5">
      <c r="E4711"/>
    </row>
    <row r="4712" spans="5:5">
      <c r="E4712"/>
    </row>
    <row r="4713" spans="5:5">
      <c r="E4713"/>
    </row>
    <row r="4714" spans="5:5">
      <c r="E4714"/>
    </row>
    <row r="4715" spans="5:5">
      <c r="E4715"/>
    </row>
    <row r="4716" spans="5:5">
      <c r="E4716"/>
    </row>
    <row r="4717" spans="5:5">
      <c r="E4717"/>
    </row>
    <row r="4718" spans="5:5">
      <c r="E4718"/>
    </row>
    <row r="4719" spans="5:5">
      <c r="E4719"/>
    </row>
    <row r="4720" spans="5:5">
      <c r="E4720"/>
    </row>
    <row r="4721" spans="5:5">
      <c r="E4721"/>
    </row>
    <row r="4722" spans="5:5">
      <c r="E4722"/>
    </row>
    <row r="4723" spans="5:5">
      <c r="E4723"/>
    </row>
    <row r="4724" spans="5:5">
      <c r="E4724"/>
    </row>
    <row r="4725" spans="5:5">
      <c r="E4725"/>
    </row>
    <row r="4726" spans="5:5">
      <c r="E4726"/>
    </row>
    <row r="4727" spans="5:5">
      <c r="E4727"/>
    </row>
    <row r="4728" spans="5:5">
      <c r="E4728"/>
    </row>
    <row r="4729" spans="5:5">
      <c r="E4729"/>
    </row>
    <row r="4730" spans="5:5">
      <c r="E4730"/>
    </row>
    <row r="4731" spans="5:5">
      <c r="E4731"/>
    </row>
    <row r="4732" spans="5:5">
      <c r="E4732"/>
    </row>
    <row r="4733" spans="5:5">
      <c r="E4733"/>
    </row>
    <row r="4734" spans="5:5">
      <c r="E4734"/>
    </row>
    <row r="4735" spans="5:5">
      <c r="E4735"/>
    </row>
    <row r="4736" spans="5:5">
      <c r="E4736"/>
    </row>
    <row r="4737" spans="5:5">
      <c r="E4737"/>
    </row>
    <row r="4738" spans="5:5">
      <c r="E4738"/>
    </row>
    <row r="4739" spans="5:5">
      <c r="E4739"/>
    </row>
    <row r="4740" spans="5:5">
      <c r="E4740"/>
    </row>
    <row r="4741" spans="5:5">
      <c r="E4741"/>
    </row>
    <row r="4742" spans="5:5">
      <c r="E4742"/>
    </row>
    <row r="4743" spans="5:5">
      <c r="E4743"/>
    </row>
    <row r="4744" spans="5:5">
      <c r="E4744"/>
    </row>
    <row r="4745" spans="5:5">
      <c r="E4745"/>
    </row>
    <row r="4746" spans="5:5">
      <c r="E4746"/>
    </row>
    <row r="4747" spans="5:5">
      <c r="E4747"/>
    </row>
    <row r="4748" spans="5:5">
      <c r="E4748"/>
    </row>
    <row r="4749" spans="5:5">
      <c r="E4749"/>
    </row>
    <row r="4750" spans="5:5">
      <c r="E4750"/>
    </row>
    <row r="4751" spans="5:5">
      <c r="E4751"/>
    </row>
    <row r="4752" spans="5:5">
      <c r="E4752"/>
    </row>
    <row r="4753" spans="5:5">
      <c r="E4753"/>
    </row>
    <row r="4754" spans="5:5">
      <c r="E4754"/>
    </row>
    <row r="4755" spans="5:5">
      <c r="E4755"/>
    </row>
    <row r="4756" spans="5:5">
      <c r="E4756"/>
    </row>
    <row r="4757" spans="5:5">
      <c r="E4757"/>
    </row>
    <row r="4758" spans="5:5">
      <c r="E4758"/>
    </row>
    <row r="4759" spans="5:5">
      <c r="E4759"/>
    </row>
    <row r="4760" spans="5:5">
      <c r="E4760"/>
    </row>
    <row r="4761" spans="5:5">
      <c r="E4761"/>
    </row>
    <row r="4762" spans="5:5">
      <c r="E4762"/>
    </row>
    <row r="4763" spans="5:5">
      <c r="E4763"/>
    </row>
    <row r="4764" spans="5:5">
      <c r="E4764"/>
    </row>
    <row r="4765" spans="5:5">
      <c r="E4765"/>
    </row>
    <row r="4766" spans="5:5">
      <c r="E4766"/>
    </row>
    <row r="4767" spans="5:5">
      <c r="E4767"/>
    </row>
    <row r="4768" spans="5:5">
      <c r="E4768"/>
    </row>
    <row r="4769" spans="5:5">
      <c r="E4769"/>
    </row>
    <row r="4770" spans="5:5">
      <c r="E4770"/>
    </row>
    <row r="4771" spans="5:5">
      <c r="E4771"/>
    </row>
    <row r="4772" spans="5:5">
      <c r="E4772"/>
    </row>
    <row r="4773" spans="5:5">
      <c r="E4773"/>
    </row>
    <row r="4774" spans="5:5">
      <c r="E4774"/>
    </row>
    <row r="4775" spans="5:5">
      <c r="E4775"/>
    </row>
    <row r="4776" spans="5:5">
      <c r="E4776"/>
    </row>
    <row r="4777" spans="5:5">
      <c r="E4777"/>
    </row>
    <row r="4778" spans="5:5">
      <c r="E4778"/>
    </row>
    <row r="4779" spans="5:5">
      <c r="E4779"/>
    </row>
    <row r="4780" spans="5:5">
      <c r="E4780"/>
    </row>
    <row r="4781" spans="5:5">
      <c r="E4781"/>
    </row>
    <row r="4782" spans="5:5">
      <c r="E4782"/>
    </row>
    <row r="4783" spans="5:5">
      <c r="E4783"/>
    </row>
    <row r="4784" spans="5:5">
      <c r="E4784"/>
    </row>
    <row r="4785" spans="5:5">
      <c r="E4785"/>
    </row>
    <row r="4786" spans="5:5">
      <c r="E4786"/>
    </row>
    <row r="4787" spans="5:5">
      <c r="E4787"/>
    </row>
    <row r="4788" spans="5:5">
      <c r="E4788"/>
    </row>
    <row r="4789" spans="5:5">
      <c r="E4789"/>
    </row>
    <row r="4790" spans="5:5">
      <c r="E4790"/>
    </row>
    <row r="4791" spans="5:5">
      <c r="E4791"/>
    </row>
    <row r="4792" spans="5:5">
      <c r="E4792"/>
    </row>
    <row r="4793" spans="5:5">
      <c r="E4793"/>
    </row>
    <row r="4794" spans="5:5">
      <c r="E4794"/>
    </row>
    <row r="4795" spans="5:5">
      <c r="E4795"/>
    </row>
    <row r="4796" spans="5:5">
      <c r="E4796"/>
    </row>
    <row r="4797" spans="5:5">
      <c r="E4797"/>
    </row>
    <row r="4798" spans="5:5">
      <c r="E4798"/>
    </row>
    <row r="4799" spans="5:5">
      <c r="E4799"/>
    </row>
    <row r="4800" spans="5:5">
      <c r="E4800"/>
    </row>
    <row r="4801" spans="5:5">
      <c r="E4801"/>
    </row>
    <row r="4802" spans="5:5">
      <c r="E4802"/>
    </row>
    <row r="4803" spans="5:5">
      <c r="E4803"/>
    </row>
    <row r="4804" spans="5:5">
      <c r="E4804"/>
    </row>
    <row r="4805" spans="5:5">
      <c r="E4805"/>
    </row>
    <row r="4806" spans="5:5">
      <c r="E4806"/>
    </row>
    <row r="4807" spans="5:5">
      <c r="E4807"/>
    </row>
    <row r="4808" spans="5:5">
      <c r="E4808"/>
    </row>
    <row r="4809" spans="5:5">
      <c r="E4809"/>
    </row>
    <row r="4810" spans="5:5">
      <c r="E4810"/>
    </row>
    <row r="4811" spans="5:5">
      <c r="E4811"/>
    </row>
    <row r="4812" spans="5:5">
      <c r="E4812"/>
    </row>
    <row r="4813" spans="5:5">
      <c r="E4813"/>
    </row>
    <row r="4814" spans="5:5">
      <c r="E4814"/>
    </row>
    <row r="4815" spans="5:5">
      <c r="E4815"/>
    </row>
    <row r="4816" spans="5:5">
      <c r="E4816"/>
    </row>
    <row r="4817" spans="5:5">
      <c r="E4817"/>
    </row>
    <row r="4818" spans="5:5">
      <c r="E4818"/>
    </row>
    <row r="4819" spans="5:5">
      <c r="E4819"/>
    </row>
    <row r="4820" spans="5:5">
      <c r="E4820"/>
    </row>
    <row r="4821" spans="5:5">
      <c r="E4821"/>
    </row>
    <row r="4822" spans="5:5">
      <c r="E4822"/>
    </row>
    <row r="4823" spans="5:5">
      <c r="E4823"/>
    </row>
    <row r="4824" spans="5:5">
      <c r="E4824"/>
    </row>
    <row r="4825" spans="5:5">
      <c r="E4825"/>
    </row>
    <row r="4826" spans="5:5">
      <c r="E4826"/>
    </row>
    <row r="4827" spans="5:5">
      <c r="E4827"/>
    </row>
    <row r="4828" spans="5:5">
      <c r="E4828"/>
    </row>
    <row r="4829" spans="5:5">
      <c r="E4829"/>
    </row>
    <row r="4830" spans="5:5">
      <c r="E4830"/>
    </row>
    <row r="4831" spans="5:5">
      <c r="E4831"/>
    </row>
    <row r="4832" spans="5:5">
      <c r="E4832"/>
    </row>
    <row r="4833" spans="5:5">
      <c r="E4833"/>
    </row>
    <row r="4834" spans="5:5">
      <c r="E4834"/>
    </row>
    <row r="4835" spans="5:5">
      <c r="E4835"/>
    </row>
    <row r="4836" spans="5:5">
      <c r="E4836"/>
    </row>
    <row r="4837" spans="5:5">
      <c r="E4837"/>
    </row>
    <row r="4838" spans="5:5">
      <c r="E4838"/>
    </row>
    <row r="4839" spans="5:5">
      <c r="E4839"/>
    </row>
    <row r="4840" spans="5:5">
      <c r="E4840"/>
    </row>
    <row r="4841" spans="5:5">
      <c r="E4841"/>
    </row>
    <row r="4842" spans="5:5">
      <c r="E4842"/>
    </row>
    <row r="4843" spans="5:5">
      <c r="E4843"/>
    </row>
    <row r="4844" spans="5:5">
      <c r="E4844"/>
    </row>
    <row r="4845" spans="5:5">
      <c r="E4845"/>
    </row>
    <row r="4846" spans="5:5">
      <c r="E4846"/>
    </row>
    <row r="4847" spans="5:5">
      <c r="E4847"/>
    </row>
    <row r="4848" spans="5:5">
      <c r="E4848"/>
    </row>
    <row r="4849" spans="5:5">
      <c r="E4849"/>
    </row>
    <row r="4850" spans="5:5">
      <c r="E4850"/>
    </row>
    <row r="4851" spans="5:5">
      <c r="E4851"/>
    </row>
    <row r="4852" spans="5:5">
      <c r="E4852"/>
    </row>
    <row r="4853" spans="5:5">
      <c r="E4853"/>
    </row>
    <row r="4854" spans="5:5">
      <c r="E4854"/>
    </row>
    <row r="4855" spans="5:5">
      <c r="E4855"/>
    </row>
    <row r="4856" spans="5:5">
      <c r="E4856"/>
    </row>
    <row r="4857" spans="5:5">
      <c r="E4857"/>
    </row>
    <row r="4858" spans="5:5">
      <c r="E4858"/>
    </row>
    <row r="4859" spans="5:5">
      <c r="E4859"/>
    </row>
    <row r="4860" spans="5:5">
      <c r="E4860"/>
    </row>
    <row r="4861" spans="5:5">
      <c r="E4861"/>
    </row>
    <row r="4862" spans="5:5">
      <c r="E4862"/>
    </row>
    <row r="4863" spans="5:5">
      <c r="E4863"/>
    </row>
    <row r="4864" spans="5:5">
      <c r="E4864"/>
    </row>
    <row r="4865" spans="5:5">
      <c r="E4865"/>
    </row>
    <row r="4866" spans="5:5">
      <c r="E4866"/>
    </row>
    <row r="4867" spans="5:5">
      <c r="E4867"/>
    </row>
    <row r="4868" spans="5:5">
      <c r="E4868"/>
    </row>
    <row r="4869" spans="5:5">
      <c r="E4869"/>
    </row>
    <row r="4870" spans="5:5">
      <c r="E4870"/>
    </row>
    <row r="4871" spans="5:5">
      <c r="E4871"/>
    </row>
    <row r="4872" spans="5:5">
      <c r="E4872"/>
    </row>
    <row r="4873" spans="5:5">
      <c r="E4873"/>
    </row>
    <row r="4874" spans="5:5">
      <c r="E4874"/>
    </row>
    <row r="4875" spans="5:5">
      <c r="E4875"/>
    </row>
    <row r="4876" spans="5:5">
      <c r="E4876"/>
    </row>
    <row r="4877" spans="5:5">
      <c r="E4877"/>
    </row>
    <row r="4878" spans="5:5">
      <c r="E4878"/>
    </row>
    <row r="4879" spans="5:5">
      <c r="E4879"/>
    </row>
    <row r="4880" spans="5:5">
      <c r="E4880"/>
    </row>
    <row r="4881" spans="5:5">
      <c r="E4881"/>
    </row>
    <row r="4882" spans="5:5">
      <c r="E4882"/>
    </row>
    <row r="4883" spans="5:5">
      <c r="E4883"/>
    </row>
    <row r="4884" spans="5:5">
      <c r="E4884"/>
    </row>
    <row r="4885" spans="5:5">
      <c r="E4885"/>
    </row>
    <row r="4886" spans="5:5">
      <c r="E4886"/>
    </row>
    <row r="4887" spans="5:5">
      <c r="E4887"/>
    </row>
    <row r="4888" spans="5:5">
      <c r="E4888"/>
    </row>
    <row r="4889" spans="5:5">
      <c r="E4889"/>
    </row>
    <row r="4890" spans="5:5">
      <c r="E4890"/>
    </row>
    <row r="4891" spans="5:5">
      <c r="E4891"/>
    </row>
    <row r="4892" spans="5:5">
      <c r="E4892"/>
    </row>
    <row r="4893" spans="5:5">
      <c r="E4893"/>
    </row>
    <row r="4894" spans="5:5">
      <c r="E4894"/>
    </row>
    <row r="4895" spans="5:5">
      <c r="E4895"/>
    </row>
    <row r="4896" spans="5:5">
      <c r="E4896"/>
    </row>
    <row r="4897" spans="5:5">
      <c r="E4897"/>
    </row>
    <row r="4898" spans="5:5">
      <c r="E4898"/>
    </row>
    <row r="4899" spans="5:5">
      <c r="E4899"/>
    </row>
    <row r="4900" spans="5:5">
      <c r="E4900"/>
    </row>
    <row r="4901" spans="5:5">
      <c r="E4901"/>
    </row>
    <row r="4902" spans="5:5">
      <c r="E4902"/>
    </row>
    <row r="4903" spans="5:5">
      <c r="E4903"/>
    </row>
    <row r="4904" spans="5:5">
      <c r="E4904"/>
    </row>
    <row r="4905" spans="5:5">
      <c r="E4905"/>
    </row>
    <row r="4906" spans="5:5">
      <c r="E4906"/>
    </row>
    <row r="4907" spans="5:5">
      <c r="E4907"/>
    </row>
    <row r="4908" spans="5:5">
      <c r="E4908"/>
    </row>
    <row r="4909" spans="5:5">
      <c r="E4909"/>
    </row>
    <row r="4910" spans="5:5">
      <c r="E4910"/>
    </row>
    <row r="4911" spans="5:5">
      <c r="E4911"/>
    </row>
    <row r="4912" spans="5:5">
      <c r="E4912"/>
    </row>
    <row r="4913" spans="5:5">
      <c r="E4913"/>
    </row>
    <row r="4914" spans="5:5">
      <c r="E4914"/>
    </row>
    <row r="4915" spans="5:5">
      <c r="E4915"/>
    </row>
    <row r="4916" spans="5:5">
      <c r="E4916"/>
    </row>
    <row r="4917" spans="5:5">
      <c r="E4917"/>
    </row>
    <row r="4918" spans="5:5">
      <c r="E4918"/>
    </row>
    <row r="4919" spans="5:5">
      <c r="E4919"/>
    </row>
    <row r="4920" spans="5:5">
      <c r="E4920"/>
    </row>
    <row r="4921" spans="5:5">
      <c r="E4921"/>
    </row>
    <row r="4922" spans="5:5">
      <c r="E4922"/>
    </row>
    <row r="4923" spans="5:5">
      <c r="E4923"/>
    </row>
    <row r="4924" spans="5:5">
      <c r="E4924"/>
    </row>
    <row r="4925" spans="5:5">
      <c r="E4925"/>
    </row>
    <row r="4926" spans="5:5">
      <c r="E4926"/>
    </row>
    <row r="4927" spans="5:5">
      <c r="E4927"/>
    </row>
    <row r="4928" spans="5:5">
      <c r="E4928"/>
    </row>
    <row r="4929" spans="5:5">
      <c r="E4929"/>
    </row>
    <row r="4930" spans="5:5">
      <c r="E4930"/>
    </row>
    <row r="4931" spans="5:5">
      <c r="E4931"/>
    </row>
    <row r="4932" spans="5:5">
      <c r="E4932"/>
    </row>
    <row r="4933" spans="5:5">
      <c r="E4933"/>
    </row>
    <row r="4934" spans="5:5">
      <c r="E4934"/>
    </row>
    <row r="4935" spans="5:5">
      <c r="E4935"/>
    </row>
    <row r="4936" spans="5:5">
      <c r="E4936"/>
    </row>
    <row r="4937" spans="5:5">
      <c r="E4937"/>
    </row>
    <row r="4938" spans="5:5">
      <c r="E4938"/>
    </row>
    <row r="4939" spans="5:5">
      <c r="E4939"/>
    </row>
    <row r="4940" spans="5:5">
      <c r="E4940"/>
    </row>
    <row r="4941" spans="5:5">
      <c r="E4941"/>
    </row>
    <row r="4942" spans="5:5">
      <c r="E4942"/>
    </row>
    <row r="4943" spans="5:5">
      <c r="E4943"/>
    </row>
    <row r="4944" spans="5:5">
      <c r="E4944"/>
    </row>
    <row r="4945" spans="5:5">
      <c r="E4945"/>
    </row>
    <row r="4946" spans="5:5">
      <c r="E4946"/>
    </row>
    <row r="4947" spans="5:5">
      <c r="E4947"/>
    </row>
    <row r="4948" spans="5:5">
      <c r="E4948"/>
    </row>
    <row r="4949" spans="5:5">
      <c r="E4949"/>
    </row>
    <row r="4950" spans="5:5">
      <c r="E4950"/>
    </row>
    <row r="4951" spans="5:5">
      <c r="E4951"/>
    </row>
    <row r="4952" spans="5:5">
      <c r="E4952"/>
    </row>
    <row r="4953" spans="5:5">
      <c r="E4953"/>
    </row>
    <row r="4954" spans="5:5">
      <c r="E4954"/>
    </row>
    <row r="4955" spans="5:5">
      <c r="E4955"/>
    </row>
    <row r="4956" spans="5:5">
      <c r="E4956"/>
    </row>
    <row r="4957" spans="5:5">
      <c r="E4957"/>
    </row>
    <row r="4958" spans="5:5">
      <c r="E4958"/>
    </row>
    <row r="4959" spans="5:5">
      <c r="E4959"/>
    </row>
    <row r="4960" spans="5:5">
      <c r="E4960"/>
    </row>
    <row r="4961" spans="5:5">
      <c r="E4961"/>
    </row>
    <row r="4962" spans="5:5">
      <c r="E4962"/>
    </row>
    <row r="4963" spans="5:5">
      <c r="E4963"/>
    </row>
    <row r="4964" spans="5:5">
      <c r="E4964"/>
    </row>
    <row r="4965" spans="5:5">
      <c r="E4965"/>
    </row>
    <row r="4966" spans="5:5">
      <c r="E4966"/>
    </row>
    <row r="4967" spans="5:5">
      <c r="E4967"/>
    </row>
    <row r="4968" spans="5:5">
      <c r="E4968"/>
    </row>
    <row r="4969" spans="5:5">
      <c r="E4969"/>
    </row>
    <row r="4970" spans="5:5">
      <c r="E4970"/>
    </row>
    <row r="4971" spans="5:5">
      <c r="E4971"/>
    </row>
    <row r="4972" spans="5:5">
      <c r="E4972"/>
    </row>
    <row r="4973" spans="5:5">
      <c r="E4973"/>
    </row>
    <row r="4974" spans="5:5">
      <c r="E4974"/>
    </row>
    <row r="4975" spans="5:5">
      <c r="E4975"/>
    </row>
    <row r="4976" spans="5:5">
      <c r="E4976"/>
    </row>
    <row r="4977" spans="5:5">
      <c r="E4977"/>
    </row>
    <row r="4978" spans="5:5">
      <c r="E4978"/>
    </row>
    <row r="4979" spans="5:5">
      <c r="E4979"/>
    </row>
    <row r="4980" spans="5:5">
      <c r="E4980"/>
    </row>
    <row r="4981" spans="5:5">
      <c r="E4981"/>
    </row>
    <row r="4982" spans="5:5">
      <c r="E4982"/>
    </row>
    <row r="4983" spans="5:5">
      <c r="E4983"/>
    </row>
    <row r="4984" spans="5:5">
      <c r="E4984"/>
    </row>
    <row r="4985" spans="5:5">
      <c r="E4985"/>
    </row>
    <row r="4986" spans="5:5">
      <c r="E4986"/>
    </row>
    <row r="4987" spans="5:5">
      <c r="E4987"/>
    </row>
    <row r="4988" spans="5:5">
      <c r="E4988"/>
    </row>
    <row r="4989" spans="5:5">
      <c r="E4989"/>
    </row>
    <row r="4990" spans="5:5">
      <c r="E4990"/>
    </row>
    <row r="4991" spans="5:5">
      <c r="E4991"/>
    </row>
    <row r="4992" spans="5:5">
      <c r="E4992"/>
    </row>
    <row r="4993" spans="5:5">
      <c r="E4993"/>
    </row>
    <row r="4994" spans="5:5">
      <c r="E4994"/>
    </row>
    <row r="4995" spans="5:5">
      <c r="E4995"/>
    </row>
    <row r="4996" spans="5:5">
      <c r="E4996"/>
    </row>
    <row r="4997" spans="5:5">
      <c r="E4997"/>
    </row>
    <row r="4998" spans="5:5">
      <c r="E4998"/>
    </row>
    <row r="4999" spans="5:5">
      <c r="E4999"/>
    </row>
    <row r="5000" spans="5:5">
      <c r="E5000"/>
    </row>
    <row r="5001" spans="5:5">
      <c r="E5001"/>
    </row>
    <row r="5002" spans="5:5">
      <c r="E5002"/>
    </row>
    <row r="5003" spans="5:5">
      <c r="E5003"/>
    </row>
    <row r="5004" spans="5:5">
      <c r="E5004"/>
    </row>
    <row r="5005" spans="5:5">
      <c r="E5005"/>
    </row>
    <row r="5006" spans="5:5">
      <c r="E5006"/>
    </row>
    <row r="5007" spans="5:5">
      <c r="E5007"/>
    </row>
    <row r="5008" spans="5:5">
      <c r="E5008"/>
    </row>
    <row r="5009" spans="5:5">
      <c r="E5009"/>
    </row>
    <row r="5010" spans="5:5">
      <c r="E5010"/>
    </row>
    <row r="5011" spans="5:5">
      <c r="E5011"/>
    </row>
    <row r="5012" spans="5:5">
      <c r="E5012"/>
    </row>
    <row r="5013" spans="5:5">
      <c r="E5013"/>
    </row>
    <row r="5014" spans="5:5">
      <c r="E5014"/>
    </row>
    <row r="5015" spans="5:5">
      <c r="E5015"/>
    </row>
    <row r="5016" spans="5:5">
      <c r="E5016"/>
    </row>
    <row r="5017" spans="5:5">
      <c r="E5017"/>
    </row>
    <row r="5018" spans="5:5">
      <c r="E5018"/>
    </row>
    <row r="5019" spans="5:5">
      <c r="E5019"/>
    </row>
    <row r="5020" spans="5:5">
      <c r="E5020"/>
    </row>
    <row r="5021" spans="5:5">
      <c r="E5021"/>
    </row>
    <row r="5022" spans="5:5">
      <c r="E5022"/>
    </row>
    <row r="5023" spans="5:5">
      <c r="E5023"/>
    </row>
    <row r="5024" spans="5:5">
      <c r="E5024"/>
    </row>
    <row r="5025" spans="5:5">
      <c r="E5025"/>
    </row>
    <row r="5026" spans="5:5">
      <c r="E5026"/>
    </row>
    <row r="5027" spans="5:5">
      <c r="E5027"/>
    </row>
    <row r="5028" spans="5:5">
      <c r="E5028"/>
    </row>
    <row r="5029" spans="5:5">
      <c r="E5029"/>
    </row>
    <row r="5030" spans="5:5">
      <c r="E5030"/>
    </row>
    <row r="5031" spans="5:5">
      <c r="E5031"/>
    </row>
    <row r="5032" spans="5:5">
      <c r="E5032"/>
    </row>
    <row r="5033" spans="5:5">
      <c r="E5033"/>
    </row>
    <row r="5034" spans="5:5">
      <c r="E5034"/>
    </row>
    <row r="5035" spans="5:5">
      <c r="E5035"/>
    </row>
    <row r="5036" spans="5:5">
      <c r="E5036"/>
    </row>
    <row r="5037" spans="5:5">
      <c r="E5037"/>
    </row>
    <row r="5038" spans="5:5">
      <c r="E5038"/>
    </row>
    <row r="5039" spans="5:5">
      <c r="E5039"/>
    </row>
    <row r="5040" spans="5:5">
      <c r="E5040"/>
    </row>
    <row r="5041" spans="5:5">
      <c r="E5041"/>
    </row>
    <row r="5042" spans="5:5">
      <c r="E5042"/>
    </row>
    <row r="5043" spans="5:5">
      <c r="E5043"/>
    </row>
    <row r="5044" spans="5:5">
      <c r="E5044"/>
    </row>
    <row r="5045" spans="5:5">
      <c r="E5045"/>
    </row>
    <row r="5046" spans="5:5">
      <c r="E5046"/>
    </row>
    <row r="5047" spans="5:5">
      <c r="E5047"/>
    </row>
    <row r="5048" spans="5:5">
      <c r="E5048"/>
    </row>
    <row r="5049" spans="5:5">
      <c r="E5049"/>
    </row>
    <row r="5050" spans="5:5">
      <c r="E5050"/>
    </row>
    <row r="5051" spans="5:5">
      <c r="E5051"/>
    </row>
    <row r="5052" spans="5:5">
      <c r="E5052"/>
    </row>
    <row r="5053" spans="5:5">
      <c r="E5053"/>
    </row>
    <row r="5054" spans="5:5">
      <c r="E5054"/>
    </row>
    <row r="5055" spans="5:5">
      <c r="E5055"/>
    </row>
    <row r="5056" spans="5:5">
      <c r="E5056"/>
    </row>
    <row r="5057" spans="5:5">
      <c r="E5057"/>
    </row>
    <row r="5058" spans="5:5">
      <c r="E5058"/>
    </row>
    <row r="5059" spans="5:5">
      <c r="E5059"/>
    </row>
    <row r="5060" spans="5:5">
      <c r="E5060"/>
    </row>
    <row r="5061" spans="5:5">
      <c r="E5061"/>
    </row>
    <row r="5062" spans="5:5">
      <c r="E5062"/>
    </row>
    <row r="5063" spans="5:5">
      <c r="E5063"/>
    </row>
    <row r="5064" spans="5:5">
      <c r="E5064"/>
    </row>
    <row r="5065" spans="5:5">
      <c r="E5065"/>
    </row>
    <row r="5066" spans="5:5">
      <c r="E5066"/>
    </row>
    <row r="5067" spans="5:5">
      <c r="E5067"/>
    </row>
    <row r="5068" spans="5:5">
      <c r="E5068"/>
    </row>
    <row r="5069" spans="5:5">
      <c r="E5069"/>
    </row>
    <row r="5070" spans="5:5">
      <c r="E5070"/>
    </row>
    <row r="5071" spans="5:5">
      <c r="E5071"/>
    </row>
    <row r="5072" spans="5:5">
      <c r="E5072"/>
    </row>
    <row r="5073" spans="5:5">
      <c r="E5073"/>
    </row>
    <row r="5074" spans="5:5">
      <c r="E5074"/>
    </row>
    <row r="5075" spans="5:5">
      <c r="E5075"/>
    </row>
    <row r="5076" spans="5:5">
      <c r="E5076"/>
    </row>
    <row r="5077" spans="5:5">
      <c r="E5077"/>
    </row>
    <row r="5078" spans="5:5">
      <c r="E5078"/>
    </row>
    <row r="5079" spans="5:5">
      <c r="E5079"/>
    </row>
    <row r="5080" spans="5:5">
      <c r="E5080"/>
    </row>
    <row r="5081" spans="5:5">
      <c r="E5081"/>
    </row>
    <row r="5082" spans="5:5">
      <c r="E5082"/>
    </row>
    <row r="5083" spans="5:5">
      <c r="E5083"/>
    </row>
    <row r="5084" spans="5:5">
      <c r="E5084"/>
    </row>
    <row r="5085" spans="5:5">
      <c r="E5085"/>
    </row>
    <row r="5086" spans="5:5">
      <c r="E5086"/>
    </row>
    <row r="5087" spans="5:5">
      <c r="E5087"/>
    </row>
    <row r="5088" spans="5:5">
      <c r="E5088"/>
    </row>
    <row r="5089" spans="5:5">
      <c r="E5089"/>
    </row>
    <row r="5090" spans="5:5">
      <c r="E5090"/>
    </row>
    <row r="5091" spans="5:5">
      <c r="E5091"/>
    </row>
    <row r="5092" spans="5:5">
      <c r="E5092"/>
    </row>
    <row r="5093" spans="5:5">
      <c r="E5093"/>
    </row>
    <row r="5094" spans="5:5">
      <c r="E5094"/>
    </row>
    <row r="5095" spans="5:5">
      <c r="E5095"/>
    </row>
    <row r="5096" spans="5:5">
      <c r="E5096"/>
    </row>
    <row r="5097" spans="5:5">
      <c r="E5097"/>
    </row>
    <row r="5098" spans="5:5">
      <c r="E5098"/>
    </row>
    <row r="5099" spans="5:5">
      <c r="E5099"/>
    </row>
    <row r="5100" spans="5:5">
      <c r="E5100"/>
    </row>
    <row r="5101" spans="5:5">
      <c r="E5101"/>
    </row>
    <row r="5102" spans="5:5">
      <c r="E5102"/>
    </row>
    <row r="5103" spans="5:5">
      <c r="E5103"/>
    </row>
    <row r="5104" spans="5:5">
      <c r="E5104"/>
    </row>
    <row r="5105" spans="5:5">
      <c r="E5105"/>
    </row>
    <row r="5106" spans="5:5">
      <c r="E5106"/>
    </row>
    <row r="5107" spans="5:5">
      <c r="E5107"/>
    </row>
    <row r="5108" spans="5:5">
      <c r="E5108"/>
    </row>
    <row r="5109" spans="5:5">
      <c r="E5109"/>
    </row>
    <row r="5110" spans="5:5">
      <c r="E5110"/>
    </row>
    <row r="5111" spans="5:5">
      <c r="E5111"/>
    </row>
    <row r="5112" spans="5:5">
      <c r="E5112"/>
    </row>
    <row r="5113" spans="5:5">
      <c r="E5113"/>
    </row>
    <row r="5114" spans="5:5">
      <c r="E5114"/>
    </row>
    <row r="5115" spans="5:5">
      <c r="E5115"/>
    </row>
    <row r="5116" spans="5:5">
      <c r="E5116"/>
    </row>
    <row r="5117" spans="5:5">
      <c r="E5117"/>
    </row>
    <row r="5118" spans="5:5">
      <c r="E5118"/>
    </row>
    <row r="5119" spans="5:5">
      <c r="E5119"/>
    </row>
    <row r="5120" spans="5:5">
      <c r="E5120"/>
    </row>
    <row r="5121" spans="5:5">
      <c r="E5121"/>
    </row>
    <row r="5122" spans="5:5">
      <c r="E5122"/>
    </row>
    <row r="5123" spans="5:5">
      <c r="E5123"/>
    </row>
    <row r="5124" spans="5:5">
      <c r="E5124"/>
    </row>
    <row r="5125" spans="5:5">
      <c r="E5125"/>
    </row>
    <row r="5126" spans="5:5">
      <c r="E5126"/>
    </row>
    <row r="5127" spans="5:5">
      <c r="E5127"/>
    </row>
    <row r="5128" spans="5:5">
      <c r="E5128"/>
    </row>
    <row r="5129" spans="5:5">
      <c r="E5129"/>
    </row>
    <row r="5130" spans="5:5">
      <c r="E5130"/>
    </row>
    <row r="5131" spans="5:5">
      <c r="E5131"/>
    </row>
    <row r="5132" spans="5:5">
      <c r="E5132"/>
    </row>
    <row r="5133" spans="5:5">
      <c r="E5133"/>
    </row>
    <row r="5134" spans="5:5">
      <c r="E5134"/>
    </row>
    <row r="5135" spans="5:5">
      <c r="E5135"/>
    </row>
    <row r="5136" spans="5:5">
      <c r="E5136"/>
    </row>
    <row r="5137" spans="5:5">
      <c r="E5137"/>
    </row>
    <row r="5138" spans="5:5">
      <c r="E5138"/>
    </row>
    <row r="5139" spans="5:5">
      <c r="E5139"/>
    </row>
    <row r="5140" spans="5:5">
      <c r="E5140"/>
    </row>
    <row r="5141" spans="5:5">
      <c r="E5141"/>
    </row>
    <row r="5142" spans="5:5">
      <c r="E5142"/>
    </row>
    <row r="5143" spans="5:5">
      <c r="E5143"/>
    </row>
    <row r="5144" spans="5:5">
      <c r="E5144"/>
    </row>
    <row r="5145" spans="5:5">
      <c r="E5145"/>
    </row>
    <row r="5146" spans="5:5">
      <c r="E5146"/>
    </row>
    <row r="5147" spans="5:5">
      <c r="E5147"/>
    </row>
    <row r="5148" spans="5:5">
      <c r="E5148"/>
    </row>
    <row r="5149" spans="5:5">
      <c r="E5149"/>
    </row>
    <row r="5150" spans="5:5">
      <c r="E5150"/>
    </row>
    <row r="5151" spans="5:5">
      <c r="E5151"/>
    </row>
    <row r="5152" spans="5:5">
      <c r="E5152"/>
    </row>
    <row r="5153" spans="5:5">
      <c r="E5153"/>
    </row>
    <row r="5154" spans="5:5">
      <c r="E5154"/>
    </row>
    <row r="5155" spans="5:5">
      <c r="E5155"/>
    </row>
    <row r="5156" spans="5:5">
      <c r="E5156"/>
    </row>
    <row r="5157" spans="5:5">
      <c r="E5157"/>
    </row>
    <row r="5158" spans="5:5">
      <c r="E5158"/>
    </row>
    <row r="5159" spans="5:5">
      <c r="E5159"/>
    </row>
    <row r="5160" spans="5:5">
      <c r="E5160"/>
    </row>
    <row r="5161" spans="5:5">
      <c r="E5161"/>
    </row>
    <row r="5162" spans="5:5">
      <c r="E5162"/>
    </row>
    <row r="5163" spans="5:5">
      <c r="E5163"/>
    </row>
    <row r="5164" spans="5:5">
      <c r="E5164"/>
    </row>
    <row r="5165" spans="5:5">
      <c r="E5165"/>
    </row>
    <row r="5166" spans="5:5">
      <c r="E5166"/>
    </row>
    <row r="5167" spans="5:5">
      <c r="E5167"/>
    </row>
    <row r="5168" spans="5:5">
      <c r="E5168"/>
    </row>
    <row r="5169" spans="5:5">
      <c r="E5169"/>
    </row>
    <row r="5170" spans="5:5">
      <c r="E5170"/>
    </row>
    <row r="5171" spans="5:5">
      <c r="E5171"/>
    </row>
    <row r="5172" spans="5:5">
      <c r="E5172"/>
    </row>
    <row r="5173" spans="5:5">
      <c r="E5173"/>
    </row>
    <row r="5174" spans="5:5">
      <c r="E5174"/>
    </row>
    <row r="5175" spans="5:5">
      <c r="E5175"/>
    </row>
    <row r="5176" spans="5:5">
      <c r="E5176"/>
    </row>
    <row r="5177" spans="5:5">
      <c r="E5177"/>
    </row>
    <row r="5178" spans="5:5">
      <c r="E5178"/>
    </row>
    <row r="5179" spans="5:5">
      <c r="E5179"/>
    </row>
    <row r="5180" spans="5:5">
      <c r="E5180"/>
    </row>
    <row r="5181" spans="5:5">
      <c r="E5181"/>
    </row>
    <row r="5182" spans="5:5">
      <c r="E5182"/>
    </row>
    <row r="5183" spans="5:5">
      <c r="E5183"/>
    </row>
    <row r="5184" spans="5:5">
      <c r="E5184"/>
    </row>
    <row r="5185" spans="5:5">
      <c r="E5185"/>
    </row>
    <row r="5186" spans="5:5">
      <c r="E5186"/>
    </row>
    <row r="5187" spans="5:5">
      <c r="E5187"/>
    </row>
    <row r="5188" spans="5:5">
      <c r="E5188"/>
    </row>
    <row r="5189" spans="5:5">
      <c r="E5189"/>
    </row>
    <row r="5190" spans="5:5">
      <c r="E5190"/>
    </row>
    <row r="5191" spans="5:5">
      <c r="E5191"/>
    </row>
    <row r="5192" spans="5:5">
      <c r="E5192"/>
    </row>
    <row r="5193" spans="5:5">
      <c r="E5193"/>
    </row>
    <row r="5194" spans="5:5">
      <c r="E5194"/>
    </row>
    <row r="5195" spans="5:5">
      <c r="E5195"/>
    </row>
    <row r="5196" spans="5:5">
      <c r="E5196"/>
    </row>
    <row r="5197" spans="5:5">
      <c r="E5197"/>
    </row>
    <row r="5198" spans="5:5">
      <c r="E5198"/>
    </row>
    <row r="5199" spans="5:5">
      <c r="E5199"/>
    </row>
    <row r="5200" spans="5:5">
      <c r="E5200"/>
    </row>
    <row r="5201" spans="5:5">
      <c r="E5201"/>
    </row>
    <row r="5202" spans="5:5">
      <c r="E5202"/>
    </row>
    <row r="5203" spans="5:5">
      <c r="E5203"/>
    </row>
    <row r="5204" spans="5:5">
      <c r="E5204"/>
    </row>
    <row r="5205" spans="5:5">
      <c r="E5205"/>
    </row>
    <row r="5206" spans="5:5">
      <c r="E5206"/>
    </row>
    <row r="5207" spans="5:5">
      <c r="E5207"/>
    </row>
    <row r="5208" spans="5:5">
      <c r="E5208"/>
    </row>
    <row r="5209" spans="5:5">
      <c r="E5209"/>
    </row>
    <row r="5210" spans="5:5">
      <c r="E5210"/>
    </row>
    <row r="5211" spans="5:5">
      <c r="E5211"/>
    </row>
    <row r="5212" spans="5:5">
      <c r="E5212"/>
    </row>
    <row r="5213" spans="5:5">
      <c r="E5213"/>
    </row>
    <row r="5214" spans="5:5">
      <c r="E5214"/>
    </row>
    <row r="5215" spans="5:5">
      <c r="E5215"/>
    </row>
    <row r="5216" spans="5:5">
      <c r="E5216"/>
    </row>
    <row r="5217" spans="5:5">
      <c r="E5217"/>
    </row>
    <row r="5218" spans="5:5">
      <c r="E5218"/>
    </row>
    <row r="5219" spans="5:5">
      <c r="E5219"/>
    </row>
    <row r="5220" spans="5:5">
      <c r="E5220"/>
    </row>
    <row r="5221" spans="5:5">
      <c r="E5221"/>
    </row>
    <row r="5222" spans="5:5">
      <c r="E5222"/>
    </row>
    <row r="5223" spans="5:5">
      <c r="E5223"/>
    </row>
    <row r="5224" spans="5:5">
      <c r="E5224"/>
    </row>
    <row r="5225" spans="5:5">
      <c r="E5225"/>
    </row>
    <row r="5226" spans="5:5">
      <c r="E5226"/>
    </row>
    <row r="5227" spans="5:5">
      <c r="E5227"/>
    </row>
    <row r="5228" spans="5:5">
      <c r="E5228"/>
    </row>
    <row r="5229" spans="5:5">
      <c r="E5229"/>
    </row>
    <row r="5230" spans="5:5">
      <c r="E5230"/>
    </row>
    <row r="5231" spans="5:5">
      <c r="E5231"/>
    </row>
    <row r="5232" spans="5:5">
      <c r="E5232"/>
    </row>
    <row r="5233" spans="5:5">
      <c r="E5233"/>
    </row>
    <row r="5234" spans="5:5">
      <c r="E5234"/>
    </row>
    <row r="5235" spans="5:5">
      <c r="E5235"/>
    </row>
    <row r="5236" spans="5:5">
      <c r="E5236"/>
    </row>
    <row r="5237" spans="5:5">
      <c r="E5237"/>
    </row>
    <row r="5238" spans="5:5">
      <c r="E5238"/>
    </row>
    <row r="5239" spans="5:5">
      <c r="E5239"/>
    </row>
    <row r="5240" spans="5:5">
      <c r="E5240"/>
    </row>
    <row r="5241" spans="5:5">
      <c r="E5241"/>
    </row>
    <row r="5242" spans="5:5">
      <c r="E5242"/>
    </row>
    <row r="5243" spans="5:5">
      <c r="E5243"/>
    </row>
    <row r="5244" spans="5:5">
      <c r="E5244"/>
    </row>
    <row r="5245" spans="5:5">
      <c r="E5245"/>
    </row>
    <row r="5246" spans="5:5">
      <c r="E5246"/>
    </row>
    <row r="5247" spans="5:5">
      <c r="E5247"/>
    </row>
    <row r="5248" spans="5:5">
      <c r="E5248"/>
    </row>
    <row r="5249" spans="5:5">
      <c r="E5249"/>
    </row>
    <row r="5250" spans="5:5">
      <c r="E5250"/>
    </row>
    <row r="5251" spans="5:5">
      <c r="E5251"/>
    </row>
    <row r="5252" spans="5:5">
      <c r="E5252"/>
    </row>
    <row r="5253" spans="5:5">
      <c r="E5253"/>
    </row>
    <row r="5254" spans="5:5">
      <c r="E5254"/>
    </row>
    <row r="5255" spans="5:5">
      <c r="E5255"/>
    </row>
    <row r="5256" spans="5:5">
      <c r="E5256"/>
    </row>
    <row r="5257" spans="5:5">
      <c r="E5257"/>
    </row>
    <row r="5258" spans="5:5">
      <c r="E5258"/>
    </row>
    <row r="5259" spans="5:5">
      <c r="E5259"/>
    </row>
    <row r="5260" spans="5:5">
      <c r="E5260"/>
    </row>
    <row r="5261" spans="5:5">
      <c r="E5261"/>
    </row>
    <row r="5262" spans="5:5">
      <c r="E5262"/>
    </row>
    <row r="5263" spans="5:5">
      <c r="E5263"/>
    </row>
    <row r="5264" spans="5:5">
      <c r="E5264"/>
    </row>
    <row r="5265" spans="5:5">
      <c r="E5265"/>
    </row>
    <row r="5266" spans="5:5">
      <c r="E5266"/>
    </row>
    <row r="5267" spans="5:5">
      <c r="E5267"/>
    </row>
    <row r="5268" spans="5:5">
      <c r="E5268"/>
    </row>
    <row r="5269" spans="5:5">
      <c r="E5269"/>
    </row>
    <row r="5270" spans="5:5">
      <c r="E5270"/>
    </row>
    <row r="5271" spans="5:5">
      <c r="E5271"/>
    </row>
    <row r="5272" spans="5:5">
      <c r="E5272"/>
    </row>
    <row r="5273" spans="5:5">
      <c r="E5273"/>
    </row>
    <row r="5274" spans="5:5">
      <c r="E5274"/>
    </row>
    <row r="5275" spans="5:5">
      <c r="E5275"/>
    </row>
    <row r="5276" spans="5:5">
      <c r="E5276"/>
    </row>
    <row r="5277" spans="5:5">
      <c r="E5277"/>
    </row>
    <row r="5278" spans="5:5">
      <c r="E5278"/>
    </row>
    <row r="5279" spans="5:5">
      <c r="E5279"/>
    </row>
    <row r="5280" spans="5:5">
      <c r="E5280"/>
    </row>
    <row r="5281" spans="5:5">
      <c r="E5281"/>
    </row>
    <row r="5282" spans="5:5">
      <c r="E5282"/>
    </row>
    <row r="5283" spans="5:5">
      <c r="E5283"/>
    </row>
    <row r="5284" spans="5:5">
      <c r="E5284"/>
    </row>
    <row r="5285" spans="5:5">
      <c r="E5285"/>
    </row>
    <row r="5286" spans="5:5">
      <c r="E5286"/>
    </row>
    <row r="5287" spans="5:5">
      <c r="E5287"/>
    </row>
    <row r="5288" spans="5:5">
      <c r="E5288"/>
    </row>
    <row r="5289" spans="5:5">
      <c r="E5289"/>
    </row>
    <row r="5290" spans="5:5">
      <c r="E5290"/>
    </row>
    <row r="5291" spans="5:5">
      <c r="E5291"/>
    </row>
    <row r="5292" spans="5:5">
      <c r="E5292"/>
    </row>
    <row r="5293" spans="5:5">
      <c r="E5293"/>
    </row>
    <row r="5294" spans="5:5">
      <c r="E5294"/>
    </row>
    <row r="5295" spans="5:5">
      <c r="E5295"/>
    </row>
    <row r="5296" spans="5:5">
      <c r="E5296"/>
    </row>
    <row r="5297" spans="5:5">
      <c r="E5297"/>
    </row>
    <row r="5298" spans="5:5">
      <c r="E5298"/>
    </row>
    <row r="5299" spans="5:5">
      <c r="E5299"/>
    </row>
    <row r="5300" spans="5:5">
      <c r="E5300"/>
    </row>
    <row r="5301" spans="5:5">
      <c r="E5301"/>
    </row>
    <row r="5302" spans="5:5">
      <c r="E5302"/>
    </row>
    <row r="5303" spans="5:5">
      <c r="E5303"/>
    </row>
    <row r="5304" spans="5:5">
      <c r="E5304"/>
    </row>
    <row r="5305" spans="5:5">
      <c r="E5305"/>
    </row>
    <row r="5306" spans="5:5">
      <c r="E5306"/>
    </row>
    <row r="5307" spans="5:5">
      <c r="E5307"/>
    </row>
    <row r="5308" spans="5:5">
      <c r="E5308"/>
    </row>
    <row r="5309" spans="5:5">
      <c r="E5309"/>
    </row>
    <row r="5310" spans="5:5">
      <c r="E5310"/>
    </row>
    <row r="5311" spans="5:5">
      <c r="E5311"/>
    </row>
    <row r="5312" spans="5:5">
      <c r="E5312"/>
    </row>
    <row r="5313" spans="5:5">
      <c r="E5313"/>
    </row>
    <row r="5314" spans="5:5">
      <c r="E5314"/>
    </row>
    <row r="5315" spans="5:5">
      <c r="E5315"/>
    </row>
    <row r="5316" spans="5:5">
      <c r="E5316"/>
    </row>
    <row r="5317" spans="5:5">
      <c r="E5317"/>
    </row>
    <row r="5318" spans="5:5">
      <c r="E5318"/>
    </row>
    <row r="5319" spans="5:5">
      <c r="E5319"/>
    </row>
    <row r="5320" spans="5:5">
      <c r="E5320"/>
    </row>
    <row r="5321" spans="5:5">
      <c r="E5321"/>
    </row>
    <row r="5322" spans="5:5">
      <c r="E5322"/>
    </row>
    <row r="5323" spans="5:5">
      <c r="E5323"/>
    </row>
    <row r="5324" spans="5:5">
      <c r="E5324"/>
    </row>
    <row r="5325" spans="5:5">
      <c r="E5325"/>
    </row>
    <row r="5326" spans="5:5">
      <c r="E5326"/>
    </row>
    <row r="5327" spans="5:5">
      <c r="E5327"/>
    </row>
    <row r="5328" spans="5:5">
      <c r="E5328"/>
    </row>
    <row r="5329" spans="5:5">
      <c r="E5329"/>
    </row>
    <row r="5330" spans="5:5">
      <c r="E5330"/>
    </row>
    <row r="5331" spans="5:5">
      <c r="E5331"/>
    </row>
    <row r="5332" spans="5:5">
      <c r="E5332"/>
    </row>
    <row r="5333" spans="5:5">
      <c r="E5333"/>
    </row>
    <row r="5334" spans="5:5">
      <c r="E5334"/>
    </row>
    <row r="5335" spans="5:5">
      <c r="E5335"/>
    </row>
    <row r="5336" spans="5:5">
      <c r="E5336"/>
    </row>
    <row r="5337" spans="5:5">
      <c r="E5337"/>
    </row>
    <row r="5338" spans="5:5">
      <c r="E5338"/>
    </row>
    <row r="5339" spans="5:5">
      <c r="E5339"/>
    </row>
    <row r="5340" spans="5:5">
      <c r="E5340"/>
    </row>
    <row r="5341" spans="5:5">
      <c r="E5341"/>
    </row>
    <row r="5342" spans="5:5">
      <c r="E5342"/>
    </row>
    <row r="5343" spans="5:5">
      <c r="E5343"/>
    </row>
    <row r="5344" spans="5:5">
      <c r="E5344"/>
    </row>
    <row r="5345" spans="5:5">
      <c r="E5345"/>
    </row>
    <row r="5346" spans="5:5">
      <c r="E5346"/>
    </row>
    <row r="5347" spans="5:5">
      <c r="E5347"/>
    </row>
    <row r="5348" spans="5:5">
      <c r="E5348"/>
    </row>
    <row r="5349" spans="5:5">
      <c r="E5349"/>
    </row>
    <row r="5350" spans="5:5">
      <c r="E5350"/>
    </row>
    <row r="5351" spans="5:5">
      <c r="E5351"/>
    </row>
    <row r="5352" spans="5:5">
      <c r="E5352"/>
    </row>
    <row r="5353" spans="5:5">
      <c r="E5353"/>
    </row>
    <row r="5354" spans="5:5">
      <c r="E5354"/>
    </row>
    <row r="5355" spans="5:5">
      <c r="E5355"/>
    </row>
    <row r="5356" spans="5:5">
      <c r="E5356"/>
    </row>
    <row r="5357" spans="5:5">
      <c r="E5357"/>
    </row>
    <row r="5358" spans="5:5">
      <c r="E5358"/>
    </row>
    <row r="5359" spans="5:5">
      <c r="E5359"/>
    </row>
    <row r="5360" spans="5:5">
      <c r="E5360"/>
    </row>
    <row r="5361" spans="5:5">
      <c r="E5361"/>
    </row>
    <row r="5362" spans="5:5">
      <c r="E5362"/>
    </row>
    <row r="5363" spans="5:5">
      <c r="E5363"/>
    </row>
    <row r="5364" spans="5:5">
      <c r="E5364"/>
    </row>
    <row r="5365" spans="5:5">
      <c r="E5365"/>
    </row>
    <row r="5366" spans="5:5">
      <c r="E5366"/>
    </row>
    <row r="5367" spans="5:5">
      <c r="E5367"/>
    </row>
    <row r="5368" spans="5:5">
      <c r="E5368"/>
    </row>
    <row r="5369" spans="5:5">
      <c r="E5369"/>
    </row>
    <row r="5370" spans="5:5">
      <c r="E5370"/>
    </row>
    <row r="5371" spans="5:5">
      <c r="E5371"/>
    </row>
    <row r="5372" spans="5:5">
      <c r="E5372"/>
    </row>
    <row r="5373" spans="5:5">
      <c r="E5373"/>
    </row>
    <row r="5374" spans="5:5">
      <c r="E5374"/>
    </row>
    <row r="5375" spans="5:5">
      <c r="E5375"/>
    </row>
    <row r="5376" spans="5:5">
      <c r="E5376"/>
    </row>
    <row r="5377" spans="5:5">
      <c r="E5377"/>
    </row>
    <row r="5378" spans="5:5">
      <c r="E5378"/>
    </row>
    <row r="5379" spans="5:5">
      <c r="E5379"/>
    </row>
    <row r="5380" spans="5:5">
      <c r="E5380"/>
    </row>
    <row r="5381" spans="5:5">
      <c r="E5381"/>
    </row>
    <row r="5382" spans="5:5">
      <c r="E5382"/>
    </row>
    <row r="5383" spans="5:5">
      <c r="E5383"/>
    </row>
    <row r="5384" spans="5:5">
      <c r="E5384"/>
    </row>
    <row r="5385" spans="5:5">
      <c r="E5385"/>
    </row>
    <row r="5386" spans="5:5">
      <c r="E5386"/>
    </row>
    <row r="5387" spans="5:5">
      <c r="E5387"/>
    </row>
    <row r="5388" spans="5:5">
      <c r="E5388"/>
    </row>
    <row r="5389" spans="5:5">
      <c r="E5389"/>
    </row>
    <row r="5390" spans="5:5">
      <c r="E5390"/>
    </row>
    <row r="5391" spans="5:5">
      <c r="E5391"/>
    </row>
    <row r="5392" spans="5:5">
      <c r="E5392"/>
    </row>
    <row r="5393" spans="5:5">
      <c r="E5393"/>
    </row>
    <row r="5394" spans="5:5">
      <c r="E5394"/>
    </row>
    <row r="5395" spans="5:5">
      <c r="E5395"/>
    </row>
    <row r="5396" spans="5:5">
      <c r="E5396"/>
    </row>
    <row r="5397" spans="5:5">
      <c r="E5397"/>
    </row>
    <row r="5398" spans="5:5">
      <c r="E5398"/>
    </row>
    <row r="5399" spans="5:5">
      <c r="E5399"/>
    </row>
    <row r="5400" spans="5:5">
      <c r="E5400"/>
    </row>
    <row r="5401" spans="5:5">
      <c r="E5401"/>
    </row>
    <row r="5402" spans="5:5">
      <c r="E5402"/>
    </row>
    <row r="5403" spans="5:5">
      <c r="E5403"/>
    </row>
    <row r="5404" spans="5:5">
      <c r="E5404"/>
    </row>
    <row r="5405" spans="5:5">
      <c r="E5405"/>
    </row>
    <row r="5406" spans="5:5">
      <c r="E5406"/>
    </row>
    <row r="5407" spans="5:5">
      <c r="E5407"/>
    </row>
    <row r="5408" spans="5:5">
      <c r="E5408"/>
    </row>
    <row r="5409" spans="5:5">
      <c r="E5409"/>
    </row>
    <row r="5410" spans="5:5">
      <c r="E5410"/>
    </row>
    <row r="5411" spans="5:5">
      <c r="E5411"/>
    </row>
    <row r="5412" spans="5:5">
      <c r="E5412"/>
    </row>
    <row r="5413" spans="5:5">
      <c r="E5413"/>
    </row>
    <row r="5414" spans="5:5">
      <c r="E5414"/>
    </row>
    <row r="5415" spans="5:5">
      <c r="E5415"/>
    </row>
    <row r="5416" spans="5:5">
      <c r="E5416"/>
    </row>
    <row r="5417" spans="5:5">
      <c r="E5417"/>
    </row>
    <row r="5418" spans="5:5">
      <c r="E5418"/>
    </row>
    <row r="5419" spans="5:5">
      <c r="E5419"/>
    </row>
    <row r="5420" spans="5:5">
      <c r="E5420"/>
    </row>
    <row r="5421" spans="5:5">
      <c r="E5421"/>
    </row>
    <row r="5422" spans="5:5">
      <c r="E5422"/>
    </row>
    <row r="5423" spans="5:5">
      <c r="E5423"/>
    </row>
    <row r="5424" spans="5:5">
      <c r="E5424"/>
    </row>
    <row r="5425" spans="5:5">
      <c r="E5425"/>
    </row>
    <row r="5426" spans="5:5">
      <c r="E5426"/>
    </row>
    <row r="5427" spans="5:5">
      <c r="E5427"/>
    </row>
    <row r="5428" spans="5:5">
      <c r="E5428"/>
    </row>
    <row r="5429" spans="5:5">
      <c r="E5429"/>
    </row>
    <row r="5430" spans="5:5">
      <c r="E5430"/>
    </row>
    <row r="5431" spans="5:5">
      <c r="E5431"/>
    </row>
    <row r="5432" spans="5:5">
      <c r="E5432"/>
    </row>
    <row r="5433" spans="5:5">
      <c r="E5433"/>
    </row>
    <row r="5434" spans="5:5">
      <c r="E5434"/>
    </row>
    <row r="5435" spans="5:5">
      <c r="E5435"/>
    </row>
    <row r="5436" spans="5:5">
      <c r="E5436"/>
    </row>
    <row r="5437" spans="5:5">
      <c r="E5437"/>
    </row>
    <row r="5438" spans="5:5">
      <c r="E5438"/>
    </row>
    <row r="5439" spans="5:5">
      <c r="E5439"/>
    </row>
    <row r="5440" spans="5:5">
      <c r="E5440"/>
    </row>
    <row r="5441" spans="5:5">
      <c r="E5441"/>
    </row>
    <row r="5442" spans="5:5">
      <c r="E5442"/>
    </row>
    <row r="5443" spans="5:5">
      <c r="E5443"/>
    </row>
    <row r="5444" spans="5:5">
      <c r="E5444"/>
    </row>
    <row r="5445" spans="5:5">
      <c r="E5445"/>
    </row>
    <row r="5446" spans="5:5">
      <c r="E5446"/>
    </row>
    <row r="5447" spans="5:5">
      <c r="E5447"/>
    </row>
    <row r="5448" spans="5:5">
      <c r="E5448"/>
    </row>
    <row r="5449" spans="5:5">
      <c r="E5449"/>
    </row>
    <row r="5450" spans="5:5">
      <c r="E5450"/>
    </row>
    <row r="5451" spans="5:5">
      <c r="E5451"/>
    </row>
    <row r="5452" spans="5:5">
      <c r="E5452"/>
    </row>
    <row r="5453" spans="5:5">
      <c r="E5453"/>
    </row>
    <row r="5454" spans="5:5">
      <c r="E5454"/>
    </row>
    <row r="5455" spans="5:5">
      <c r="E5455"/>
    </row>
    <row r="5456" spans="5:5">
      <c r="E5456"/>
    </row>
    <row r="5457" spans="5:5">
      <c r="E5457"/>
    </row>
    <row r="5458" spans="5:5">
      <c r="E5458"/>
    </row>
    <row r="5459" spans="5:5">
      <c r="E5459"/>
    </row>
    <row r="5460" spans="5:5">
      <c r="E5460"/>
    </row>
    <row r="5461" spans="5:5">
      <c r="E5461"/>
    </row>
    <row r="5462" spans="5:5">
      <c r="E5462"/>
    </row>
    <row r="5463" spans="5:5">
      <c r="E5463"/>
    </row>
    <row r="5464" spans="5:5">
      <c r="E5464"/>
    </row>
    <row r="5465" spans="5:5">
      <c r="E5465"/>
    </row>
    <row r="5466" spans="5:5">
      <c r="E5466"/>
    </row>
    <row r="5467" spans="5:5">
      <c r="E5467"/>
    </row>
    <row r="5468" spans="5:5">
      <c r="E5468"/>
    </row>
    <row r="5469" spans="5:5">
      <c r="E5469"/>
    </row>
    <row r="5470" spans="5:5">
      <c r="E5470"/>
    </row>
    <row r="5471" spans="5:5">
      <c r="E5471"/>
    </row>
    <row r="5472" spans="5:5">
      <c r="E5472"/>
    </row>
    <row r="5473" spans="5:5">
      <c r="E5473"/>
    </row>
    <row r="5474" spans="5:5">
      <c r="E5474"/>
    </row>
    <row r="5475" spans="5:5">
      <c r="E5475"/>
    </row>
    <row r="5476" spans="5:5">
      <c r="E5476"/>
    </row>
    <row r="5477" spans="5:5">
      <c r="E5477"/>
    </row>
    <row r="5478" spans="5:5">
      <c r="E5478"/>
    </row>
    <row r="5479" spans="5:5">
      <c r="E5479"/>
    </row>
    <row r="5480" spans="5:5">
      <c r="E5480"/>
    </row>
    <row r="5481" spans="5:5">
      <c r="E5481"/>
    </row>
    <row r="5482" spans="5:5">
      <c r="E5482"/>
    </row>
    <row r="5483" spans="5:5">
      <c r="E5483"/>
    </row>
    <row r="5484" spans="5:5">
      <c r="E5484"/>
    </row>
    <row r="5485" spans="5:5">
      <c r="E5485"/>
    </row>
    <row r="5486" spans="5:5">
      <c r="E5486"/>
    </row>
    <row r="5487" spans="5:5">
      <c r="E5487"/>
    </row>
    <row r="5488" spans="5:5">
      <c r="E5488"/>
    </row>
    <row r="5489" spans="5:5">
      <c r="E5489"/>
    </row>
    <row r="5490" spans="5:5">
      <c r="E5490"/>
    </row>
    <row r="5491" spans="5:5">
      <c r="E5491"/>
    </row>
    <row r="5492" spans="5:5">
      <c r="E5492"/>
    </row>
    <row r="5493" spans="5:5">
      <c r="E5493"/>
    </row>
    <row r="5494" spans="5:5">
      <c r="E5494"/>
    </row>
    <row r="5495" spans="5:5">
      <c r="E5495"/>
    </row>
    <row r="5496" spans="5:5">
      <c r="E5496"/>
    </row>
    <row r="5497" spans="5:5">
      <c r="E5497"/>
    </row>
    <row r="5498" spans="5:5">
      <c r="E5498"/>
    </row>
    <row r="5499" spans="5:5">
      <c r="E5499"/>
    </row>
    <row r="5500" spans="5:5">
      <c r="E5500"/>
    </row>
    <row r="5501" spans="5:5">
      <c r="E5501"/>
    </row>
    <row r="5502" spans="5:5">
      <c r="E5502"/>
    </row>
    <row r="5503" spans="5:5">
      <c r="E5503"/>
    </row>
    <row r="5504" spans="5:5">
      <c r="E5504"/>
    </row>
    <row r="5505" spans="5:5">
      <c r="E5505"/>
    </row>
    <row r="5506" spans="5:5">
      <c r="E5506"/>
    </row>
    <row r="5507" spans="5:5">
      <c r="E5507"/>
    </row>
    <row r="5508" spans="5:5">
      <c r="E5508"/>
    </row>
    <row r="5509" spans="5:5">
      <c r="E5509"/>
    </row>
    <row r="5510" spans="5:5">
      <c r="E5510"/>
    </row>
    <row r="5511" spans="5:5">
      <c r="E5511"/>
    </row>
    <row r="5512" spans="5:5">
      <c r="E5512"/>
    </row>
    <row r="5513" spans="5:5">
      <c r="E5513"/>
    </row>
    <row r="5514" spans="5:5">
      <c r="E5514"/>
    </row>
    <row r="5515" spans="5:5">
      <c r="E5515"/>
    </row>
    <row r="5516" spans="5:5">
      <c r="E5516"/>
    </row>
    <row r="5517" spans="5:5">
      <c r="E5517"/>
    </row>
    <row r="5518" spans="5:5">
      <c r="E5518"/>
    </row>
    <row r="5519" spans="5:5">
      <c r="E5519"/>
    </row>
    <row r="5520" spans="5:5">
      <c r="E5520"/>
    </row>
    <row r="5521" spans="5:5">
      <c r="E5521"/>
    </row>
    <row r="5522" spans="5:5">
      <c r="E5522"/>
    </row>
    <row r="5523" spans="5:5">
      <c r="E5523"/>
    </row>
    <row r="5524" spans="5:5">
      <c r="E5524"/>
    </row>
    <row r="5525" spans="5:5">
      <c r="E5525"/>
    </row>
    <row r="5526" spans="5:5">
      <c r="E5526"/>
    </row>
    <row r="5527" spans="5:5">
      <c r="E5527"/>
    </row>
    <row r="5528" spans="5:5">
      <c r="E5528"/>
    </row>
    <row r="5529" spans="5:5">
      <c r="E5529"/>
    </row>
    <row r="5530" spans="5:5">
      <c r="E5530"/>
    </row>
    <row r="5531" spans="5:5">
      <c r="E5531"/>
    </row>
    <row r="5532" spans="5:5">
      <c r="E5532"/>
    </row>
    <row r="5533" spans="5:5">
      <c r="E5533"/>
    </row>
    <row r="5534" spans="5:5">
      <c r="E5534"/>
    </row>
    <row r="5535" spans="5:5">
      <c r="E5535"/>
    </row>
    <row r="5536" spans="5:5">
      <c r="E5536"/>
    </row>
    <row r="5537" spans="5:5">
      <c r="E5537"/>
    </row>
    <row r="5538" spans="5:5">
      <c r="E5538"/>
    </row>
    <row r="5539" spans="5:5">
      <c r="E5539"/>
    </row>
    <row r="5540" spans="5:5">
      <c r="E5540"/>
    </row>
    <row r="5541" spans="5:5">
      <c r="E5541"/>
    </row>
    <row r="5542" spans="5:5">
      <c r="E5542"/>
    </row>
    <row r="5543" spans="5:5">
      <c r="E5543"/>
    </row>
    <row r="5544" spans="5:5">
      <c r="E5544"/>
    </row>
    <row r="5545" spans="5:5">
      <c r="E5545"/>
    </row>
    <row r="5546" spans="5:5">
      <c r="E5546"/>
    </row>
    <row r="5547" spans="5:5">
      <c r="E5547"/>
    </row>
    <row r="5548" spans="5:5">
      <c r="E5548"/>
    </row>
    <row r="5549" spans="5:5">
      <c r="E5549"/>
    </row>
    <row r="5550" spans="5:5">
      <c r="E5550"/>
    </row>
    <row r="5551" spans="5:5">
      <c r="E5551"/>
    </row>
    <row r="5552" spans="5:5">
      <c r="E5552"/>
    </row>
    <row r="5553" spans="5:5">
      <c r="E5553"/>
    </row>
    <row r="5554" spans="5:5">
      <c r="E5554"/>
    </row>
    <row r="5555" spans="5:5">
      <c r="E5555"/>
    </row>
    <row r="5556" spans="5:5">
      <c r="E5556"/>
    </row>
    <row r="5557" spans="5:5">
      <c r="E5557"/>
    </row>
    <row r="5558" spans="5:5">
      <c r="E5558"/>
    </row>
    <row r="5559" spans="5:5">
      <c r="E5559"/>
    </row>
    <row r="5560" spans="5:5">
      <c r="E5560"/>
    </row>
    <row r="5561" spans="5:5">
      <c r="E5561"/>
    </row>
    <row r="5562" spans="5:5">
      <c r="E5562"/>
    </row>
    <row r="5563" spans="5:5">
      <c r="E5563"/>
    </row>
    <row r="5564" spans="5:5">
      <c r="E5564"/>
    </row>
    <row r="5565" spans="5:5">
      <c r="E5565"/>
    </row>
    <row r="5566" spans="5:5">
      <c r="E5566"/>
    </row>
    <row r="5567" spans="5:5">
      <c r="E5567"/>
    </row>
    <row r="5568" spans="5:5">
      <c r="E5568"/>
    </row>
    <row r="5569" spans="5:5">
      <c r="E5569"/>
    </row>
    <row r="5570" spans="5:5">
      <c r="E5570"/>
    </row>
    <row r="5571" spans="5:5">
      <c r="E5571"/>
    </row>
    <row r="5572" spans="5:5">
      <c r="E5572"/>
    </row>
    <row r="5573" spans="5:5">
      <c r="E5573"/>
    </row>
    <row r="5574" spans="5:5">
      <c r="E5574"/>
    </row>
    <row r="5575" spans="5:5">
      <c r="E5575"/>
    </row>
    <row r="5576" spans="5:5">
      <c r="E5576"/>
    </row>
    <row r="5577" spans="5:5">
      <c r="E5577"/>
    </row>
    <row r="5578" spans="5:5">
      <c r="E5578"/>
    </row>
    <row r="5579" spans="5:5">
      <c r="E5579"/>
    </row>
    <row r="5580" spans="5:5">
      <c r="E5580"/>
    </row>
    <row r="5581" spans="5:5">
      <c r="E5581"/>
    </row>
    <row r="5582" spans="5:5">
      <c r="E5582"/>
    </row>
    <row r="5583" spans="5:5">
      <c r="E5583"/>
    </row>
    <row r="5584" spans="5:5">
      <c r="E5584"/>
    </row>
    <row r="5585" spans="5:5">
      <c r="E5585"/>
    </row>
    <row r="5586" spans="5:5">
      <c r="E5586"/>
    </row>
    <row r="5587" spans="5:5">
      <c r="E5587"/>
    </row>
    <row r="5588" spans="5:5">
      <c r="E5588"/>
    </row>
    <row r="5589" spans="5:5">
      <c r="E5589"/>
    </row>
    <row r="5590" spans="5:5">
      <c r="E5590"/>
    </row>
    <row r="5591" spans="5:5">
      <c r="E5591"/>
    </row>
    <row r="5592" spans="5:5">
      <c r="E5592"/>
    </row>
    <row r="5593" spans="5:5">
      <c r="E5593"/>
    </row>
    <row r="5594" spans="5:5">
      <c r="E5594"/>
    </row>
    <row r="5595" spans="5:5">
      <c r="E5595"/>
    </row>
    <row r="5596" spans="5:5">
      <c r="E5596"/>
    </row>
    <row r="5597" spans="5:5">
      <c r="E5597"/>
    </row>
    <row r="5598" spans="5:5">
      <c r="E5598"/>
    </row>
    <row r="5599" spans="5:5">
      <c r="E5599"/>
    </row>
    <row r="5600" spans="5:5">
      <c r="E5600"/>
    </row>
    <row r="5601" spans="5:5">
      <c r="E5601"/>
    </row>
    <row r="5602" spans="5:5">
      <c r="E5602"/>
    </row>
    <row r="5603" spans="5:5">
      <c r="E5603"/>
    </row>
    <row r="5604" spans="5:5">
      <c r="E5604"/>
    </row>
    <row r="5605" spans="5:5">
      <c r="E5605"/>
    </row>
    <row r="5606" spans="5:5">
      <c r="E5606"/>
    </row>
    <row r="5607" spans="5:5">
      <c r="E5607"/>
    </row>
    <row r="5608" spans="5:5">
      <c r="E5608"/>
    </row>
    <row r="5609" spans="5:5">
      <c r="E5609"/>
    </row>
    <row r="5610" spans="5:5">
      <c r="E5610"/>
    </row>
    <row r="5611" spans="5:5">
      <c r="E5611"/>
    </row>
    <row r="5612" spans="5:5">
      <c r="E5612"/>
    </row>
    <row r="5613" spans="5:5">
      <c r="E5613"/>
    </row>
    <row r="5614" spans="5:5">
      <c r="E5614"/>
    </row>
    <row r="5615" spans="5:5">
      <c r="E5615"/>
    </row>
    <row r="5616" spans="5:5">
      <c r="E5616"/>
    </row>
    <row r="5617" spans="5:5">
      <c r="E5617"/>
    </row>
    <row r="5618" spans="5:5">
      <c r="E5618"/>
    </row>
    <row r="5619" spans="5:5">
      <c r="E5619"/>
    </row>
    <row r="5620" spans="5:5">
      <c r="E5620"/>
    </row>
    <row r="5621" spans="5:5">
      <c r="E5621"/>
    </row>
    <row r="5622" spans="5:5">
      <c r="E5622"/>
    </row>
    <row r="5623" spans="5:5">
      <c r="E5623"/>
    </row>
    <row r="5624" spans="5:5">
      <c r="E5624"/>
    </row>
    <row r="5625" spans="5:5">
      <c r="E5625"/>
    </row>
    <row r="5626" spans="5:5">
      <c r="E5626"/>
    </row>
    <row r="5627" spans="5:5">
      <c r="E5627"/>
    </row>
    <row r="5628" spans="5:5">
      <c r="E5628"/>
    </row>
    <row r="5629" spans="5:5">
      <c r="E5629"/>
    </row>
    <row r="5630" spans="5:5">
      <c r="E5630"/>
    </row>
    <row r="5631" spans="5:5">
      <c r="E5631"/>
    </row>
    <row r="5632" spans="5:5">
      <c r="E5632"/>
    </row>
    <row r="5633" spans="5:5">
      <c r="E5633"/>
    </row>
    <row r="5634" spans="5:5">
      <c r="E5634"/>
    </row>
    <row r="5635" spans="5:5">
      <c r="E5635"/>
    </row>
    <row r="5636" spans="5:5">
      <c r="E5636"/>
    </row>
    <row r="5637" spans="5:5">
      <c r="E5637"/>
    </row>
    <row r="5638" spans="5:5">
      <c r="E5638"/>
    </row>
    <row r="5639" spans="5:5">
      <c r="E5639"/>
    </row>
    <row r="5640" spans="5:5">
      <c r="E5640"/>
    </row>
    <row r="5641" spans="5:5">
      <c r="E5641"/>
    </row>
    <row r="5642" spans="5:5">
      <c r="E5642"/>
    </row>
    <row r="5643" spans="5:5">
      <c r="E5643"/>
    </row>
    <row r="5644" spans="5:5">
      <c r="E5644"/>
    </row>
    <row r="5645" spans="5:5">
      <c r="E5645"/>
    </row>
    <row r="5646" spans="5:5">
      <c r="E5646"/>
    </row>
    <row r="5647" spans="5:5">
      <c r="E5647"/>
    </row>
    <row r="5648" spans="5:5">
      <c r="E5648"/>
    </row>
    <row r="5649" spans="5:5">
      <c r="E5649"/>
    </row>
    <row r="5650" spans="5:5">
      <c r="E5650"/>
    </row>
    <row r="5651" spans="5:5">
      <c r="E5651"/>
    </row>
    <row r="5652" spans="5:5">
      <c r="E5652"/>
    </row>
    <row r="5653" spans="5:5">
      <c r="E5653"/>
    </row>
    <row r="5654" spans="5:5">
      <c r="E5654"/>
    </row>
    <row r="5655" spans="5:5">
      <c r="E5655"/>
    </row>
    <row r="5656" spans="5:5">
      <c r="E5656"/>
    </row>
    <row r="5657" spans="5:5">
      <c r="E5657"/>
    </row>
    <row r="5658" spans="5:5">
      <c r="E5658"/>
    </row>
    <row r="5659" spans="5:5">
      <c r="E5659"/>
    </row>
    <row r="5660" spans="5:5">
      <c r="E5660"/>
    </row>
    <row r="5661" spans="5:5">
      <c r="E5661"/>
    </row>
    <row r="5662" spans="5:5">
      <c r="E5662"/>
    </row>
    <row r="5663" spans="5:5">
      <c r="E5663"/>
    </row>
    <row r="5664" spans="5:5">
      <c r="E5664"/>
    </row>
    <row r="5665" spans="5:5">
      <c r="E5665"/>
    </row>
    <row r="5666" spans="5:5">
      <c r="E5666"/>
    </row>
    <row r="5667" spans="5:5">
      <c r="E5667"/>
    </row>
    <row r="5668" spans="5:5">
      <c r="E5668"/>
    </row>
    <row r="5669" spans="5:5">
      <c r="E5669"/>
    </row>
    <row r="5670" spans="5:5">
      <c r="E5670"/>
    </row>
    <row r="5671" spans="5:5">
      <c r="E5671"/>
    </row>
    <row r="5672" spans="5:5">
      <c r="E5672"/>
    </row>
    <row r="5673" spans="5:5">
      <c r="E5673"/>
    </row>
    <row r="5674" spans="5:5">
      <c r="E5674"/>
    </row>
    <row r="5675" spans="5:5">
      <c r="E5675"/>
    </row>
    <row r="5676" spans="5:5">
      <c r="E5676"/>
    </row>
    <row r="5677" spans="5:5">
      <c r="E5677"/>
    </row>
    <row r="5678" spans="5:5">
      <c r="E5678"/>
    </row>
    <row r="5679" spans="5:5">
      <c r="E5679"/>
    </row>
    <row r="5680" spans="5:5">
      <c r="E5680"/>
    </row>
    <row r="5681" spans="5:5">
      <c r="E5681"/>
    </row>
    <row r="5682" spans="5:5">
      <c r="E5682"/>
    </row>
    <row r="5683" spans="5:5">
      <c r="E5683"/>
    </row>
    <row r="5684" spans="5:5">
      <c r="E5684"/>
    </row>
    <row r="5685" spans="5:5">
      <c r="E5685"/>
    </row>
    <row r="5686" spans="5:5">
      <c r="E5686"/>
    </row>
    <row r="5687" spans="5:5">
      <c r="E5687"/>
    </row>
    <row r="5688" spans="5:5">
      <c r="E5688"/>
    </row>
    <row r="5689" spans="5:5">
      <c r="E5689"/>
    </row>
    <row r="5690" spans="5:5">
      <c r="E5690"/>
    </row>
    <row r="5691" spans="5:5">
      <c r="E5691"/>
    </row>
    <row r="5692" spans="5:5">
      <c r="E5692"/>
    </row>
    <row r="5693" spans="5:5">
      <c r="E5693"/>
    </row>
    <row r="5694" spans="5:5">
      <c r="E5694"/>
    </row>
    <row r="5695" spans="5:5">
      <c r="E5695"/>
    </row>
    <row r="5696" spans="5:5">
      <c r="E5696"/>
    </row>
    <row r="5697" spans="5:5">
      <c r="E5697"/>
    </row>
    <row r="5698" spans="5:5">
      <c r="E5698"/>
    </row>
    <row r="5699" spans="5:5">
      <c r="E5699"/>
    </row>
    <row r="5700" spans="5:5">
      <c r="E5700"/>
    </row>
    <row r="5701" spans="5:5">
      <c r="E5701"/>
    </row>
    <row r="5702" spans="5:5">
      <c r="E5702"/>
    </row>
    <row r="5703" spans="5:5">
      <c r="E5703"/>
    </row>
    <row r="5704" spans="5:5">
      <c r="E5704"/>
    </row>
    <row r="5705" spans="5:5">
      <c r="E5705"/>
    </row>
    <row r="5706" spans="5:5">
      <c r="E5706"/>
    </row>
    <row r="5707" spans="5:5">
      <c r="E5707"/>
    </row>
    <row r="5708" spans="5:5">
      <c r="E5708"/>
    </row>
    <row r="5709" spans="5:5">
      <c r="E5709"/>
    </row>
    <row r="5710" spans="5:5">
      <c r="E5710"/>
    </row>
    <row r="5711" spans="5:5">
      <c r="E5711"/>
    </row>
    <row r="5712" spans="5:5">
      <c r="E5712"/>
    </row>
    <row r="5713" spans="5:5">
      <c r="E5713"/>
    </row>
    <row r="5714" spans="5:5">
      <c r="E5714"/>
    </row>
    <row r="5715" spans="5:5">
      <c r="E5715"/>
    </row>
    <row r="5716" spans="5:5">
      <c r="E5716"/>
    </row>
    <row r="5717" spans="5:5">
      <c r="E5717"/>
    </row>
    <row r="5718" spans="5:5">
      <c r="E5718"/>
    </row>
    <row r="5719" spans="5:5">
      <c r="E5719"/>
    </row>
    <row r="5720" spans="5:5">
      <c r="E5720"/>
    </row>
    <row r="5721" spans="5:5">
      <c r="E5721"/>
    </row>
    <row r="5722" spans="5:5">
      <c r="E5722"/>
    </row>
    <row r="5723" spans="5:5">
      <c r="E5723"/>
    </row>
    <row r="5724" spans="5:5">
      <c r="E5724"/>
    </row>
    <row r="5725" spans="5:5">
      <c r="E5725"/>
    </row>
    <row r="5726" spans="5:5">
      <c r="E5726"/>
    </row>
    <row r="5727" spans="5:5">
      <c r="E5727"/>
    </row>
    <row r="5728" spans="5:5">
      <c r="E5728"/>
    </row>
    <row r="5729" spans="5:5">
      <c r="E5729"/>
    </row>
    <row r="5730" spans="5:5">
      <c r="E5730"/>
    </row>
    <row r="5731" spans="5:5">
      <c r="E5731"/>
    </row>
    <row r="5732" spans="5:5">
      <c r="E5732"/>
    </row>
    <row r="5733" spans="5:5">
      <c r="E5733"/>
    </row>
    <row r="5734" spans="5:5">
      <c r="E5734"/>
    </row>
    <row r="5735" spans="5:5">
      <c r="E5735"/>
    </row>
    <row r="5736" spans="5:5">
      <c r="E5736"/>
    </row>
    <row r="5737" spans="5:5">
      <c r="E5737"/>
    </row>
    <row r="5738" spans="5:5">
      <c r="E5738"/>
    </row>
    <row r="5739" spans="5:5">
      <c r="E5739"/>
    </row>
    <row r="5740" spans="5:5">
      <c r="E5740"/>
    </row>
    <row r="5741" spans="5:5">
      <c r="E5741"/>
    </row>
    <row r="5742" spans="5:5">
      <c r="E5742"/>
    </row>
    <row r="5743" spans="5:5">
      <c r="E5743"/>
    </row>
    <row r="5744" spans="5:5">
      <c r="E5744"/>
    </row>
    <row r="5745" spans="5:5">
      <c r="E5745"/>
    </row>
    <row r="5746" spans="5:5">
      <c r="E5746"/>
    </row>
    <row r="5747" spans="5:5">
      <c r="E5747"/>
    </row>
    <row r="5748" spans="5:5">
      <c r="E5748"/>
    </row>
    <row r="5749" spans="5:5">
      <c r="E5749"/>
    </row>
    <row r="5750" spans="5:5">
      <c r="E5750"/>
    </row>
    <row r="5751" spans="5:5">
      <c r="E5751"/>
    </row>
    <row r="5752" spans="5:5">
      <c r="E5752"/>
    </row>
    <row r="5753" spans="5:5">
      <c r="E5753"/>
    </row>
    <row r="5754" spans="5:5">
      <c r="E5754"/>
    </row>
    <row r="5755" spans="5:5">
      <c r="E5755"/>
    </row>
    <row r="5756" spans="5:5">
      <c r="E5756"/>
    </row>
    <row r="5757" spans="5:5">
      <c r="E5757"/>
    </row>
    <row r="5758" spans="5:5">
      <c r="E5758"/>
    </row>
    <row r="5759" spans="5:5">
      <c r="E5759"/>
    </row>
    <row r="5760" spans="5:5">
      <c r="E5760"/>
    </row>
    <row r="5761" spans="5:5">
      <c r="E5761"/>
    </row>
    <row r="5762" spans="5:5">
      <c r="E5762"/>
    </row>
    <row r="5763" spans="5:5">
      <c r="E5763"/>
    </row>
    <row r="5764" spans="5:5">
      <c r="E5764"/>
    </row>
    <row r="5765" spans="5:5">
      <c r="E5765"/>
    </row>
    <row r="5766" spans="5:5">
      <c r="E5766"/>
    </row>
    <row r="5767" spans="5:5">
      <c r="E5767"/>
    </row>
    <row r="5768" spans="5:5">
      <c r="E5768"/>
    </row>
    <row r="5769" spans="5:5">
      <c r="E5769"/>
    </row>
    <row r="5770" spans="5:5">
      <c r="E5770"/>
    </row>
    <row r="5771" spans="5:5">
      <c r="E5771"/>
    </row>
    <row r="5772" spans="5:5">
      <c r="E5772"/>
    </row>
    <row r="5773" spans="5:5">
      <c r="E5773"/>
    </row>
    <row r="5774" spans="5:5">
      <c r="E5774"/>
    </row>
    <row r="5775" spans="5:5">
      <c r="E5775"/>
    </row>
    <row r="5776" spans="5:5">
      <c r="E5776"/>
    </row>
    <row r="5777" spans="5:5">
      <c r="E5777"/>
    </row>
    <row r="5778" spans="5:5">
      <c r="E5778"/>
    </row>
    <row r="5779" spans="5:5">
      <c r="E5779"/>
    </row>
    <row r="5780" spans="5:5">
      <c r="E5780"/>
    </row>
    <row r="5781" spans="5:5">
      <c r="E5781"/>
    </row>
    <row r="5782" spans="5:5">
      <c r="E5782"/>
    </row>
    <row r="5783" spans="5:5">
      <c r="E5783"/>
    </row>
    <row r="5784" spans="5:5">
      <c r="E5784"/>
    </row>
    <row r="5785" spans="5:5">
      <c r="E5785"/>
    </row>
    <row r="5786" spans="5:5">
      <c r="E5786"/>
    </row>
    <row r="5787" spans="5:5">
      <c r="E5787"/>
    </row>
    <row r="5788" spans="5:5">
      <c r="E5788"/>
    </row>
    <row r="5789" spans="5:5">
      <c r="E5789"/>
    </row>
    <row r="5790" spans="5:5">
      <c r="E5790"/>
    </row>
    <row r="5791" spans="5:5">
      <c r="E5791"/>
    </row>
    <row r="5792" spans="5:5">
      <c r="E5792"/>
    </row>
    <row r="5793" spans="5:5">
      <c r="E5793"/>
    </row>
    <row r="5794" spans="5:5">
      <c r="E5794"/>
    </row>
    <row r="5795" spans="5:5">
      <c r="E5795"/>
    </row>
    <row r="5796" spans="5:5">
      <c r="E5796"/>
    </row>
    <row r="5797" spans="5:5">
      <c r="E5797"/>
    </row>
    <row r="5798" spans="5:5">
      <c r="E5798"/>
    </row>
    <row r="5799" spans="5:5">
      <c r="E5799"/>
    </row>
    <row r="5800" spans="5:5">
      <c r="E5800"/>
    </row>
    <row r="5801" spans="5:5">
      <c r="E5801"/>
    </row>
    <row r="5802" spans="5:5">
      <c r="E5802"/>
    </row>
    <row r="5803" spans="5:5">
      <c r="E5803"/>
    </row>
    <row r="5804" spans="5:5">
      <c r="E5804"/>
    </row>
    <row r="5805" spans="5:5">
      <c r="E5805"/>
    </row>
    <row r="5806" spans="5:5">
      <c r="E5806"/>
    </row>
    <row r="5807" spans="5:5">
      <c r="E5807"/>
    </row>
    <row r="5808" spans="5:5">
      <c r="E5808"/>
    </row>
    <row r="5809" spans="5:5">
      <c r="E5809"/>
    </row>
    <row r="5810" spans="5:5">
      <c r="E5810"/>
    </row>
    <row r="5811" spans="5:5">
      <c r="E5811"/>
    </row>
    <row r="5812" spans="5:5">
      <c r="E5812"/>
    </row>
    <row r="5813" spans="5:5">
      <c r="E5813"/>
    </row>
    <row r="5814" spans="5:5">
      <c r="E5814"/>
    </row>
    <row r="5815" spans="5:5">
      <c r="E5815"/>
    </row>
    <row r="5816" spans="5:5">
      <c r="E5816"/>
    </row>
    <row r="5817" spans="5:5">
      <c r="E5817"/>
    </row>
    <row r="5818" spans="5:5">
      <c r="E5818"/>
    </row>
    <row r="5819" spans="5:5">
      <c r="E5819"/>
    </row>
    <row r="5820" spans="5:5">
      <c r="E5820"/>
    </row>
    <row r="5821" spans="5:5">
      <c r="E5821"/>
    </row>
    <row r="5822" spans="5:5">
      <c r="E5822"/>
    </row>
    <row r="5823" spans="5:5">
      <c r="E5823"/>
    </row>
    <row r="5824" spans="5:5">
      <c r="E5824"/>
    </row>
    <row r="5825" spans="5:5">
      <c r="E5825"/>
    </row>
    <row r="5826" spans="5:5">
      <c r="E5826"/>
    </row>
    <row r="5827" spans="5:5">
      <c r="E5827"/>
    </row>
    <row r="5828" spans="5:5">
      <c r="E5828"/>
    </row>
    <row r="5829" spans="5:5">
      <c r="E5829"/>
    </row>
    <row r="5830" spans="5:5">
      <c r="E5830"/>
    </row>
    <row r="5831" spans="5:5">
      <c r="E5831"/>
    </row>
    <row r="5832" spans="5:5">
      <c r="E5832"/>
    </row>
    <row r="5833" spans="5:5">
      <c r="E5833"/>
    </row>
    <row r="5834" spans="5:5">
      <c r="E5834"/>
    </row>
    <row r="5835" spans="5:5">
      <c r="E5835"/>
    </row>
    <row r="5836" spans="5:5">
      <c r="E5836"/>
    </row>
    <row r="5837" spans="5:5">
      <c r="E5837"/>
    </row>
    <row r="5838" spans="5:5">
      <c r="E5838"/>
    </row>
    <row r="5839" spans="5:5">
      <c r="E5839"/>
    </row>
    <row r="5840" spans="5:5">
      <c r="E5840"/>
    </row>
    <row r="5841" spans="5:5">
      <c r="E5841"/>
    </row>
    <row r="5842" spans="5:5">
      <c r="E5842"/>
    </row>
    <row r="5843" spans="5:5">
      <c r="E5843"/>
    </row>
    <row r="5844" spans="5:5">
      <c r="E5844"/>
    </row>
    <row r="5845" spans="5:5">
      <c r="E5845"/>
    </row>
    <row r="5846" spans="5:5">
      <c r="E5846"/>
    </row>
    <row r="5847" spans="5:5">
      <c r="E5847"/>
    </row>
    <row r="5848" spans="5:5">
      <c r="E5848"/>
    </row>
    <row r="5849" spans="5:5">
      <c r="E5849"/>
    </row>
    <row r="5850" spans="5:5">
      <c r="E5850"/>
    </row>
    <row r="5851" spans="5:5">
      <c r="E5851"/>
    </row>
    <row r="5852" spans="5:5">
      <c r="E5852"/>
    </row>
    <row r="5853" spans="5:5">
      <c r="E5853"/>
    </row>
    <row r="5854" spans="5:5">
      <c r="E5854"/>
    </row>
    <row r="5855" spans="5:5">
      <c r="E5855"/>
    </row>
    <row r="5856" spans="5:5">
      <c r="E5856"/>
    </row>
    <row r="5857" spans="5:5">
      <c r="E5857"/>
    </row>
    <row r="5858" spans="5:5">
      <c r="E5858"/>
    </row>
    <row r="5859" spans="5:5">
      <c r="E5859"/>
    </row>
    <row r="5860" spans="5:5">
      <c r="E5860"/>
    </row>
    <row r="5861" spans="5:5">
      <c r="E5861"/>
    </row>
    <row r="5862" spans="5:5">
      <c r="E5862"/>
    </row>
    <row r="5863" spans="5:5">
      <c r="E5863"/>
    </row>
    <row r="5864" spans="5:5">
      <c r="E5864"/>
    </row>
    <row r="5865" spans="5:5">
      <c r="E5865"/>
    </row>
    <row r="5866" spans="5:5">
      <c r="E5866"/>
    </row>
    <row r="5867" spans="5:5">
      <c r="E5867"/>
    </row>
    <row r="5868" spans="5:5">
      <c r="E5868"/>
    </row>
    <row r="5869" spans="5:5">
      <c r="E5869"/>
    </row>
    <row r="5870" spans="5:5">
      <c r="E5870"/>
    </row>
    <row r="5871" spans="5:5">
      <c r="E5871"/>
    </row>
    <row r="5872" spans="5:5">
      <c r="E5872"/>
    </row>
    <row r="5873" spans="5:5">
      <c r="E5873"/>
    </row>
    <row r="5874" spans="5:5">
      <c r="E5874"/>
    </row>
    <row r="5875" spans="5:5">
      <c r="E5875"/>
    </row>
    <row r="5876" spans="5:5">
      <c r="E5876"/>
    </row>
    <row r="5877" spans="5:5">
      <c r="E5877"/>
    </row>
    <row r="5878" spans="5:5">
      <c r="E5878"/>
    </row>
    <row r="5879" spans="5:5">
      <c r="E5879"/>
    </row>
    <row r="5880" spans="5:5">
      <c r="E5880"/>
    </row>
    <row r="5881" spans="5:5">
      <c r="E5881"/>
    </row>
    <row r="5882" spans="5:5">
      <c r="E5882"/>
    </row>
    <row r="5883" spans="5:5">
      <c r="E5883"/>
    </row>
    <row r="5884" spans="5:5">
      <c r="E5884"/>
    </row>
    <row r="5885" spans="5:5">
      <c r="E5885"/>
    </row>
    <row r="5886" spans="5:5">
      <c r="E5886"/>
    </row>
    <row r="5887" spans="5:5">
      <c r="E5887"/>
    </row>
    <row r="5888" spans="5:5">
      <c r="E5888"/>
    </row>
    <row r="5889" spans="5:5">
      <c r="E5889"/>
    </row>
    <row r="5890" spans="5:5">
      <c r="E5890"/>
    </row>
    <row r="5891" spans="5:5">
      <c r="E5891"/>
    </row>
    <row r="5892" spans="5:5">
      <c r="E5892"/>
    </row>
    <row r="5893" spans="5:5">
      <c r="E5893"/>
    </row>
    <row r="5894" spans="5:5">
      <c r="E5894"/>
    </row>
    <row r="5895" spans="5:5">
      <c r="E5895"/>
    </row>
    <row r="5896" spans="5:5">
      <c r="E5896"/>
    </row>
    <row r="5897" spans="5:5">
      <c r="E5897"/>
    </row>
    <row r="5898" spans="5:5">
      <c r="E5898"/>
    </row>
    <row r="5899" spans="5:5">
      <c r="E5899"/>
    </row>
    <row r="5900" spans="5:5">
      <c r="E5900"/>
    </row>
    <row r="5901" spans="5:5">
      <c r="E5901"/>
    </row>
    <row r="5902" spans="5:5">
      <c r="E5902"/>
    </row>
    <row r="5903" spans="5:5">
      <c r="E5903"/>
    </row>
    <row r="5904" spans="5:5">
      <c r="E5904"/>
    </row>
    <row r="5905" spans="5:5">
      <c r="E5905"/>
    </row>
    <row r="5906" spans="5:5">
      <c r="E5906"/>
    </row>
    <row r="5907" spans="5:5">
      <c r="E5907"/>
    </row>
    <row r="5908" spans="5:5">
      <c r="E5908"/>
    </row>
    <row r="5909" spans="5:5">
      <c r="E5909"/>
    </row>
    <row r="5910" spans="5:5">
      <c r="E5910"/>
    </row>
    <row r="5911" spans="5:5">
      <c r="E5911"/>
    </row>
    <row r="5912" spans="5:5">
      <c r="E5912"/>
    </row>
    <row r="5913" spans="5:5">
      <c r="E5913"/>
    </row>
    <row r="5914" spans="5:5">
      <c r="E5914"/>
    </row>
    <row r="5915" spans="5:5">
      <c r="E5915"/>
    </row>
    <row r="5916" spans="5:5">
      <c r="E5916"/>
    </row>
    <row r="5917" spans="5:5">
      <c r="E5917"/>
    </row>
    <row r="5918" spans="5:5">
      <c r="E5918"/>
    </row>
    <row r="5919" spans="5:5">
      <c r="E5919"/>
    </row>
    <row r="5920" spans="5:5">
      <c r="E5920"/>
    </row>
    <row r="5921" spans="5:5">
      <c r="E5921"/>
    </row>
    <row r="5922" spans="5:5">
      <c r="E5922"/>
    </row>
    <row r="5923" spans="5:5">
      <c r="E5923"/>
    </row>
    <row r="5924" spans="5:5">
      <c r="E5924"/>
    </row>
    <row r="5925" spans="5:5">
      <c r="E5925"/>
    </row>
    <row r="5926" spans="5:5">
      <c r="E5926"/>
    </row>
    <row r="5927" spans="5:5">
      <c r="E5927"/>
    </row>
    <row r="5928" spans="5:5">
      <c r="E5928"/>
    </row>
    <row r="5929" spans="5:5">
      <c r="E5929"/>
    </row>
    <row r="5930" spans="5:5">
      <c r="E5930"/>
    </row>
    <row r="5931" spans="5:5">
      <c r="E5931"/>
    </row>
    <row r="5932" spans="5:5">
      <c r="E5932"/>
    </row>
    <row r="5933" spans="5:5">
      <c r="E5933"/>
    </row>
    <row r="5934" spans="5:5">
      <c r="E5934"/>
    </row>
    <row r="5935" spans="5:5">
      <c r="E5935"/>
    </row>
    <row r="5936" spans="5:5">
      <c r="E5936"/>
    </row>
    <row r="5937" spans="5:5">
      <c r="E5937"/>
    </row>
    <row r="5938" spans="5:5">
      <c r="E5938"/>
    </row>
    <row r="5939" spans="5:5">
      <c r="E5939"/>
    </row>
    <row r="5940" spans="5:5">
      <c r="E5940"/>
    </row>
    <row r="5941" spans="5:5">
      <c r="E5941"/>
    </row>
    <row r="5942" spans="5:5">
      <c r="E5942"/>
    </row>
    <row r="5943" spans="5:5">
      <c r="E5943"/>
    </row>
    <row r="5944" spans="5:5">
      <c r="E5944"/>
    </row>
    <row r="5945" spans="5:5">
      <c r="E5945"/>
    </row>
    <row r="5946" spans="5:5">
      <c r="E5946"/>
    </row>
    <row r="5947" spans="5:5">
      <c r="E5947"/>
    </row>
    <row r="5948" spans="5:5">
      <c r="E5948"/>
    </row>
    <row r="5949" spans="5:5">
      <c r="E5949"/>
    </row>
    <row r="5950" spans="5:5">
      <c r="E5950"/>
    </row>
    <row r="5951" spans="5:5">
      <c r="E5951"/>
    </row>
    <row r="5952" spans="5:5">
      <c r="E5952"/>
    </row>
    <row r="5953" spans="5:5">
      <c r="E5953"/>
    </row>
    <row r="5954" spans="5:5">
      <c r="E5954"/>
    </row>
    <row r="5955" spans="5:5">
      <c r="E5955"/>
    </row>
    <row r="5956" spans="5:5">
      <c r="E5956"/>
    </row>
    <row r="5957" spans="5:5">
      <c r="E5957"/>
    </row>
    <row r="5958" spans="5:5">
      <c r="E5958"/>
    </row>
    <row r="5959" spans="5:5">
      <c r="E5959"/>
    </row>
    <row r="5960" spans="5:5">
      <c r="E5960"/>
    </row>
    <row r="5961" spans="5:5">
      <c r="E5961"/>
    </row>
    <row r="5962" spans="5:5">
      <c r="E5962"/>
    </row>
    <row r="5963" spans="5:5">
      <c r="E5963"/>
    </row>
    <row r="5964" spans="5:5">
      <c r="E5964"/>
    </row>
    <row r="5965" spans="5:5">
      <c r="E5965"/>
    </row>
    <row r="5966" spans="5:5">
      <c r="E5966"/>
    </row>
    <row r="5967" spans="5:5">
      <c r="E5967"/>
    </row>
    <row r="5968" spans="5:5">
      <c r="E5968"/>
    </row>
    <row r="5969" spans="5:5">
      <c r="E5969"/>
    </row>
    <row r="5970" spans="5:5">
      <c r="E5970"/>
    </row>
    <row r="5971" spans="5:5">
      <c r="E5971"/>
    </row>
    <row r="5972" spans="5:5">
      <c r="E5972"/>
    </row>
    <row r="5973" spans="5:5">
      <c r="E5973"/>
    </row>
    <row r="5974" spans="5:5">
      <c r="E5974"/>
    </row>
    <row r="5975" spans="5:5">
      <c r="E5975"/>
    </row>
    <row r="5976" spans="5:5">
      <c r="E5976"/>
    </row>
    <row r="5977" spans="5:5">
      <c r="E5977"/>
    </row>
    <row r="5978" spans="5:5">
      <c r="E5978"/>
    </row>
    <row r="5979" spans="5:5">
      <c r="E5979"/>
    </row>
    <row r="5980" spans="5:5">
      <c r="E5980"/>
    </row>
    <row r="5981" spans="5:5">
      <c r="E5981"/>
    </row>
    <row r="5982" spans="5:5">
      <c r="E5982"/>
    </row>
    <row r="5983" spans="5:5">
      <c r="E5983"/>
    </row>
    <row r="5984" spans="5:5">
      <c r="E5984"/>
    </row>
    <row r="5985" spans="5:5">
      <c r="E5985"/>
    </row>
    <row r="5986" spans="5:5">
      <c r="E5986"/>
    </row>
    <row r="5987" spans="5:5">
      <c r="E5987"/>
    </row>
    <row r="5988" spans="5:5">
      <c r="E5988"/>
    </row>
    <row r="5989" spans="5:5">
      <c r="E5989"/>
    </row>
    <row r="5990" spans="5:5">
      <c r="E5990"/>
    </row>
    <row r="5991" spans="5:5">
      <c r="E5991"/>
    </row>
    <row r="5992" spans="5:5">
      <c r="E5992"/>
    </row>
    <row r="5993" spans="5:5">
      <c r="E5993"/>
    </row>
    <row r="5994" spans="5:5">
      <c r="E5994"/>
    </row>
    <row r="5995" spans="5:5">
      <c r="E5995"/>
    </row>
    <row r="5996" spans="5:5">
      <c r="E5996"/>
    </row>
    <row r="5997" spans="5:5">
      <c r="E5997"/>
    </row>
    <row r="5998" spans="5:5">
      <c r="E5998"/>
    </row>
    <row r="5999" spans="5:5">
      <c r="E5999"/>
    </row>
    <row r="6000" spans="5:5">
      <c r="E6000"/>
    </row>
    <row r="6001" spans="5:5">
      <c r="E6001"/>
    </row>
    <row r="6002" spans="5:5">
      <c r="E6002"/>
    </row>
    <row r="6003" spans="5:5">
      <c r="E6003"/>
    </row>
    <row r="6004" spans="5:5">
      <c r="E6004"/>
    </row>
    <row r="6005" spans="5:5">
      <c r="E6005"/>
    </row>
    <row r="6006" spans="5:5">
      <c r="E6006"/>
    </row>
    <row r="6007" spans="5:5">
      <c r="E6007"/>
    </row>
    <row r="6008" spans="5:5">
      <c r="E6008"/>
    </row>
    <row r="6009" spans="5:5">
      <c r="E6009"/>
    </row>
    <row r="6010" spans="5:5">
      <c r="E6010"/>
    </row>
    <row r="6011" spans="5:5">
      <c r="E6011"/>
    </row>
    <row r="6012" spans="5:5">
      <c r="E6012"/>
    </row>
    <row r="6013" spans="5:5">
      <c r="E6013"/>
    </row>
    <row r="6014" spans="5:5">
      <c r="E6014"/>
    </row>
    <row r="6015" spans="5:5">
      <c r="E6015"/>
    </row>
    <row r="6016" spans="5:5">
      <c r="E6016"/>
    </row>
    <row r="6017" spans="5:5">
      <c r="E6017"/>
    </row>
    <row r="6018" spans="5:5">
      <c r="E6018"/>
    </row>
    <row r="6019" spans="5:5">
      <c r="E6019"/>
    </row>
    <row r="6020" spans="5:5">
      <c r="E6020"/>
    </row>
    <row r="6021" spans="5:5">
      <c r="E6021"/>
    </row>
    <row r="6022" spans="5:5">
      <c r="E6022"/>
    </row>
    <row r="6023" spans="5:5">
      <c r="E6023"/>
    </row>
    <row r="6024" spans="5:5">
      <c r="E6024"/>
    </row>
    <row r="6025" spans="5:5">
      <c r="E6025"/>
    </row>
    <row r="6026" spans="5:5">
      <c r="E6026"/>
    </row>
    <row r="6027" spans="5:5">
      <c r="E6027"/>
    </row>
    <row r="6028" spans="5:5">
      <c r="E6028"/>
    </row>
    <row r="6029" spans="5:5">
      <c r="E6029"/>
    </row>
    <row r="6030" spans="5:5">
      <c r="E6030"/>
    </row>
    <row r="6031" spans="5:5">
      <c r="E6031"/>
    </row>
    <row r="6032" spans="5:5">
      <c r="E6032"/>
    </row>
    <row r="6033" spans="5:5">
      <c r="E6033"/>
    </row>
    <row r="6034" spans="5:5">
      <c r="E6034"/>
    </row>
    <row r="6035" spans="5:5">
      <c r="E6035"/>
    </row>
    <row r="6036" spans="5:5">
      <c r="E6036"/>
    </row>
    <row r="6037" spans="5:5">
      <c r="E6037"/>
    </row>
    <row r="6038" spans="5:5">
      <c r="E6038"/>
    </row>
    <row r="6039" spans="5:5">
      <c r="E6039"/>
    </row>
    <row r="6040" spans="5:5">
      <c r="E6040"/>
    </row>
    <row r="6041" spans="5:5">
      <c r="E6041"/>
    </row>
    <row r="6042" spans="5:5">
      <c r="E6042"/>
    </row>
    <row r="6043" spans="5:5">
      <c r="E6043"/>
    </row>
    <row r="6044" spans="5:5">
      <c r="E6044"/>
    </row>
    <row r="6045" spans="5:5">
      <c r="E6045"/>
    </row>
    <row r="6046" spans="5:5">
      <c r="E6046"/>
    </row>
    <row r="6047" spans="5:5">
      <c r="E6047"/>
    </row>
    <row r="6048" spans="5:5">
      <c r="E6048"/>
    </row>
    <row r="6049" spans="5:5">
      <c r="E6049"/>
    </row>
    <row r="6050" spans="5:5">
      <c r="E6050"/>
    </row>
    <row r="6051" spans="5:5">
      <c r="E6051"/>
    </row>
    <row r="6052" spans="5:5">
      <c r="E6052"/>
    </row>
    <row r="6053" spans="5:5">
      <c r="E6053"/>
    </row>
    <row r="6054" spans="5:5">
      <c r="E6054"/>
    </row>
    <row r="6055" spans="5:5">
      <c r="E6055"/>
    </row>
    <row r="6056" spans="5:5">
      <c r="E6056"/>
    </row>
    <row r="6057" spans="5:5">
      <c r="E6057"/>
    </row>
    <row r="6058" spans="5:5">
      <c r="E6058"/>
    </row>
    <row r="6059" spans="5:5">
      <c r="E6059"/>
    </row>
    <row r="6060" spans="5:5">
      <c r="E6060"/>
    </row>
    <row r="6061" spans="5:5">
      <c r="E6061"/>
    </row>
    <row r="6062" spans="5:5">
      <c r="E6062"/>
    </row>
    <row r="6063" spans="5:5">
      <c r="E6063"/>
    </row>
    <row r="6064" spans="5:5">
      <c r="E6064"/>
    </row>
    <row r="6065" spans="5:5">
      <c r="E6065"/>
    </row>
    <row r="6066" spans="5:5">
      <c r="E6066"/>
    </row>
    <row r="6067" spans="5:5">
      <c r="E6067"/>
    </row>
    <row r="6068" spans="5:5">
      <c r="E6068"/>
    </row>
    <row r="6069" spans="5:5">
      <c r="E6069"/>
    </row>
    <row r="6070" spans="5:5">
      <c r="E6070"/>
    </row>
    <row r="6071" spans="5:5">
      <c r="E6071"/>
    </row>
    <row r="6072" spans="5:5">
      <c r="E6072"/>
    </row>
    <row r="6073" spans="5:5">
      <c r="E6073"/>
    </row>
    <row r="6074" spans="5:5">
      <c r="E6074"/>
    </row>
    <row r="6075" spans="5:5">
      <c r="E6075"/>
    </row>
    <row r="6076" spans="5:5">
      <c r="E6076"/>
    </row>
    <row r="6077" spans="5:5">
      <c r="E6077"/>
    </row>
    <row r="6078" spans="5:5">
      <c r="E6078"/>
    </row>
    <row r="6079" spans="5:5">
      <c r="E6079"/>
    </row>
    <row r="6080" spans="5:5">
      <c r="E6080"/>
    </row>
    <row r="6081" spans="5:5">
      <c r="E6081"/>
    </row>
    <row r="6082" spans="5:5">
      <c r="E6082"/>
    </row>
    <row r="6083" spans="5:5">
      <c r="E6083"/>
    </row>
    <row r="6084" spans="5:5">
      <c r="E6084"/>
    </row>
    <row r="6085" spans="5:5">
      <c r="E6085"/>
    </row>
    <row r="6086" spans="5:5">
      <c r="E6086"/>
    </row>
    <row r="6087" spans="5:5">
      <c r="E6087"/>
    </row>
    <row r="6088" spans="5:5">
      <c r="E6088"/>
    </row>
    <row r="6089" spans="5:5">
      <c r="E6089"/>
    </row>
    <row r="6090" spans="5:5">
      <c r="E6090"/>
    </row>
    <row r="6091" spans="5:5">
      <c r="E6091"/>
    </row>
    <row r="6092" spans="5:5">
      <c r="E6092"/>
    </row>
    <row r="6093" spans="5:5">
      <c r="E6093"/>
    </row>
    <row r="6094" spans="5:5">
      <c r="E6094"/>
    </row>
    <row r="6095" spans="5:5">
      <c r="E6095"/>
    </row>
    <row r="6096" spans="5:5">
      <c r="E6096"/>
    </row>
    <row r="6097" spans="5:5">
      <c r="E6097"/>
    </row>
    <row r="6098" spans="5:5">
      <c r="E6098"/>
    </row>
    <row r="6099" spans="5:5">
      <c r="E6099"/>
    </row>
    <row r="6100" spans="5:5">
      <c r="E6100"/>
    </row>
    <row r="6101" spans="5:5">
      <c r="E6101"/>
    </row>
    <row r="6102" spans="5:5">
      <c r="E6102"/>
    </row>
    <row r="6103" spans="5:5">
      <c r="E6103"/>
    </row>
    <row r="6104" spans="5:5">
      <c r="E6104"/>
    </row>
    <row r="6105" spans="5:5">
      <c r="E6105"/>
    </row>
    <row r="6106" spans="5:5">
      <c r="E6106"/>
    </row>
    <row r="6107" spans="5:5">
      <c r="E6107"/>
    </row>
    <row r="6108" spans="5:5">
      <c r="E6108"/>
    </row>
    <row r="6109" spans="5:5">
      <c r="E6109"/>
    </row>
    <row r="6110" spans="5:5">
      <c r="E6110"/>
    </row>
    <row r="6111" spans="5:5">
      <c r="E6111"/>
    </row>
    <row r="6112" spans="5:5">
      <c r="E6112"/>
    </row>
    <row r="6113" spans="5:5">
      <c r="E6113"/>
    </row>
    <row r="6114" spans="5:5">
      <c r="E6114"/>
    </row>
    <row r="6115" spans="5:5">
      <c r="E6115"/>
    </row>
    <row r="6116" spans="5:5">
      <c r="E6116"/>
    </row>
    <row r="6117" spans="5:5">
      <c r="E6117"/>
    </row>
    <row r="6118" spans="5:5">
      <c r="E6118"/>
    </row>
    <row r="6119" spans="5:5">
      <c r="E6119"/>
    </row>
    <row r="6120" spans="5:5">
      <c r="E6120"/>
    </row>
    <row r="6121" spans="5:5">
      <c r="E6121"/>
    </row>
    <row r="6122" spans="5:5">
      <c r="E6122"/>
    </row>
    <row r="6123" spans="5:5">
      <c r="E6123"/>
    </row>
    <row r="6124" spans="5:5">
      <c r="E6124"/>
    </row>
    <row r="6125" spans="5:5">
      <c r="E6125"/>
    </row>
    <row r="6126" spans="5:5">
      <c r="E6126"/>
    </row>
    <row r="6127" spans="5:5">
      <c r="E6127"/>
    </row>
    <row r="6128" spans="5:5">
      <c r="E6128"/>
    </row>
    <row r="6129" spans="5:5">
      <c r="E6129"/>
    </row>
    <row r="6130" spans="5:5">
      <c r="E6130"/>
    </row>
    <row r="6131" spans="5:5">
      <c r="E6131"/>
    </row>
    <row r="6132" spans="5:5">
      <c r="E6132"/>
    </row>
    <row r="6133" spans="5:5">
      <c r="E6133"/>
    </row>
    <row r="6134" spans="5:5">
      <c r="E6134"/>
    </row>
    <row r="6135" spans="5:5">
      <c r="E6135"/>
    </row>
    <row r="6136" spans="5:5">
      <c r="E6136"/>
    </row>
    <row r="6137" spans="5:5">
      <c r="E6137"/>
    </row>
    <row r="6138" spans="5:5">
      <c r="E6138"/>
    </row>
    <row r="6139" spans="5:5">
      <c r="E6139"/>
    </row>
    <row r="6140" spans="5:5">
      <c r="E6140"/>
    </row>
    <row r="6141" spans="5:5">
      <c r="E6141"/>
    </row>
    <row r="6142" spans="5:5">
      <c r="E6142"/>
    </row>
    <row r="6143" spans="5:5">
      <c r="E6143"/>
    </row>
    <row r="6144" spans="5:5">
      <c r="E6144"/>
    </row>
    <row r="6145" spans="5:5">
      <c r="E6145"/>
    </row>
    <row r="6146" spans="5:5">
      <c r="E6146"/>
    </row>
    <row r="6147" spans="5:5">
      <c r="E6147"/>
    </row>
    <row r="6148" spans="5:5">
      <c r="E6148"/>
    </row>
    <row r="6149" spans="5:5">
      <c r="E6149"/>
    </row>
    <row r="6150" spans="5:5">
      <c r="E6150"/>
    </row>
    <row r="6151" spans="5:5">
      <c r="E6151"/>
    </row>
    <row r="6152" spans="5:5">
      <c r="E6152"/>
    </row>
    <row r="6153" spans="5:5">
      <c r="E6153"/>
    </row>
    <row r="6154" spans="5:5">
      <c r="E6154"/>
    </row>
    <row r="6155" spans="5:5">
      <c r="E6155"/>
    </row>
    <row r="6156" spans="5:5">
      <c r="E6156"/>
    </row>
    <row r="6157" spans="5:5">
      <c r="E6157"/>
    </row>
    <row r="6158" spans="5:5">
      <c r="E6158"/>
    </row>
    <row r="6159" spans="5:5">
      <c r="E6159"/>
    </row>
    <row r="6160" spans="5:5">
      <c r="E6160"/>
    </row>
    <row r="6161" spans="5:5">
      <c r="E6161"/>
    </row>
    <row r="6162" spans="5:5">
      <c r="E6162"/>
    </row>
    <row r="6163" spans="5:5">
      <c r="E6163"/>
    </row>
    <row r="6164" spans="5:5">
      <c r="E6164"/>
    </row>
    <row r="6165" spans="5:5">
      <c r="E6165"/>
    </row>
    <row r="6166" spans="5:5">
      <c r="E6166"/>
    </row>
    <row r="6167" spans="5:5">
      <c r="E6167"/>
    </row>
    <row r="6168" spans="5:5">
      <c r="E6168"/>
    </row>
    <row r="6169" spans="5:5">
      <c r="E6169"/>
    </row>
    <row r="6170" spans="5:5">
      <c r="E6170"/>
    </row>
    <row r="6171" spans="5:5">
      <c r="E6171"/>
    </row>
    <row r="6172" spans="5:5">
      <c r="E6172"/>
    </row>
    <row r="6173" spans="5:5">
      <c r="E6173"/>
    </row>
    <row r="6174" spans="5:5">
      <c r="E6174"/>
    </row>
    <row r="6175" spans="5:5">
      <c r="E6175"/>
    </row>
    <row r="6176" spans="5:5">
      <c r="E6176"/>
    </row>
    <row r="6177" spans="5:5">
      <c r="E6177"/>
    </row>
    <row r="6178" spans="5:5">
      <c r="E6178"/>
    </row>
    <row r="6179" spans="5:5">
      <c r="E6179"/>
    </row>
    <row r="6180" spans="5:5">
      <c r="E6180"/>
    </row>
    <row r="6181" spans="5:5">
      <c r="E6181"/>
    </row>
    <row r="6182" spans="5:5">
      <c r="E6182"/>
    </row>
    <row r="6183" spans="5:5">
      <c r="E6183"/>
    </row>
    <row r="6184" spans="5:5">
      <c r="E6184"/>
    </row>
    <row r="6185" spans="5:5">
      <c r="E6185"/>
    </row>
    <row r="6186" spans="5:5">
      <c r="E6186"/>
    </row>
    <row r="6187" spans="5:5">
      <c r="E6187"/>
    </row>
    <row r="6188" spans="5:5">
      <c r="E6188"/>
    </row>
    <row r="6189" spans="5:5">
      <c r="E6189"/>
    </row>
    <row r="6190" spans="5:5">
      <c r="E6190"/>
    </row>
    <row r="6191" spans="5:5">
      <c r="E6191"/>
    </row>
    <row r="6192" spans="5:5">
      <c r="E6192"/>
    </row>
    <row r="6193" spans="5:5">
      <c r="E6193"/>
    </row>
    <row r="6194" spans="5:5">
      <c r="E6194"/>
    </row>
    <row r="6195" spans="5:5">
      <c r="E6195"/>
    </row>
    <row r="6196" spans="5:5">
      <c r="E6196"/>
    </row>
    <row r="6197" spans="5:5">
      <c r="E6197"/>
    </row>
    <row r="6198" spans="5:5">
      <c r="E6198"/>
    </row>
    <row r="6199" spans="5:5">
      <c r="E6199"/>
    </row>
    <row r="6200" spans="5:5">
      <c r="E6200"/>
    </row>
    <row r="6201" spans="5:5">
      <c r="E6201"/>
    </row>
    <row r="6202" spans="5:5">
      <c r="E6202"/>
    </row>
    <row r="6203" spans="5:5">
      <c r="E6203"/>
    </row>
    <row r="6204" spans="5:5">
      <c r="E6204"/>
    </row>
    <row r="6205" spans="5:5">
      <c r="E6205"/>
    </row>
    <row r="6206" spans="5:5">
      <c r="E6206"/>
    </row>
    <row r="6207" spans="5:5">
      <c r="E6207"/>
    </row>
    <row r="6208" spans="5:5">
      <c r="E6208"/>
    </row>
    <row r="6209" spans="5:5">
      <c r="E6209"/>
    </row>
    <row r="6210" spans="5:5">
      <c r="E6210"/>
    </row>
    <row r="6211" spans="5:5">
      <c r="E6211"/>
    </row>
    <row r="6212" spans="5:5">
      <c r="E6212"/>
    </row>
    <row r="6213" spans="5:5">
      <c r="E6213"/>
    </row>
    <row r="6214" spans="5:5">
      <c r="E6214"/>
    </row>
    <row r="6215" spans="5:5">
      <c r="E6215"/>
    </row>
    <row r="6216" spans="5:5">
      <c r="E6216"/>
    </row>
    <row r="6217" spans="5:5">
      <c r="E6217"/>
    </row>
    <row r="6218" spans="5:5">
      <c r="E6218"/>
    </row>
    <row r="6219" spans="5:5">
      <c r="E6219"/>
    </row>
    <row r="6220" spans="5:5">
      <c r="E6220"/>
    </row>
    <row r="6221" spans="5:5">
      <c r="E6221"/>
    </row>
    <row r="6222" spans="5:5">
      <c r="E6222"/>
    </row>
    <row r="6223" spans="5:5">
      <c r="E6223"/>
    </row>
    <row r="6224" spans="5:5">
      <c r="E6224"/>
    </row>
    <row r="6225" spans="5:5">
      <c r="E6225"/>
    </row>
    <row r="6226" spans="5:5">
      <c r="E6226"/>
    </row>
    <row r="6227" spans="5:5">
      <c r="E6227"/>
    </row>
    <row r="6228" spans="5:5">
      <c r="E6228"/>
    </row>
    <row r="6229" spans="5:5">
      <c r="E6229"/>
    </row>
    <row r="6230" spans="5:5">
      <c r="E6230"/>
    </row>
    <row r="6231" spans="5:5">
      <c r="E6231"/>
    </row>
    <row r="6232" spans="5:5">
      <c r="E6232"/>
    </row>
    <row r="6233" spans="5:5">
      <c r="E6233"/>
    </row>
    <row r="6234" spans="5:5">
      <c r="E6234"/>
    </row>
    <row r="6235" spans="5:5">
      <c r="E6235"/>
    </row>
    <row r="6236" spans="5:5">
      <c r="E6236"/>
    </row>
    <row r="6237" spans="5:5">
      <c r="E6237"/>
    </row>
    <row r="6238" spans="5:5">
      <c r="E6238"/>
    </row>
    <row r="6239" spans="5:5">
      <c r="E6239"/>
    </row>
    <row r="6240" spans="5:5">
      <c r="E6240"/>
    </row>
    <row r="6241" spans="5:5">
      <c r="E6241"/>
    </row>
    <row r="6242" spans="5:5">
      <c r="E6242"/>
    </row>
    <row r="6243" spans="5:5">
      <c r="E6243"/>
    </row>
    <row r="6244" spans="5:5">
      <c r="E6244"/>
    </row>
    <row r="6245" spans="5:5">
      <c r="E6245"/>
    </row>
    <row r="6246" spans="5:5">
      <c r="E6246"/>
    </row>
    <row r="6247" spans="5:5">
      <c r="E6247"/>
    </row>
    <row r="6248" spans="5:5">
      <c r="E6248"/>
    </row>
    <row r="6249" spans="5:5">
      <c r="E6249"/>
    </row>
    <row r="6250" spans="5:5">
      <c r="E6250"/>
    </row>
    <row r="6251" spans="5:5">
      <c r="E6251"/>
    </row>
    <row r="6252" spans="5:5">
      <c r="E6252"/>
    </row>
    <row r="6253" spans="5:5">
      <c r="E6253"/>
    </row>
    <row r="6254" spans="5:5">
      <c r="E6254"/>
    </row>
    <row r="6255" spans="5:5">
      <c r="E6255"/>
    </row>
    <row r="6256" spans="5:5">
      <c r="E6256"/>
    </row>
    <row r="6257" spans="5:5">
      <c r="E6257"/>
    </row>
    <row r="6258" spans="5:5">
      <c r="E6258"/>
    </row>
    <row r="6259" spans="5:5">
      <c r="E6259"/>
    </row>
    <row r="6260" spans="5:5">
      <c r="E6260"/>
    </row>
    <row r="6261" spans="5:5">
      <c r="E6261"/>
    </row>
    <row r="6262" spans="5:5">
      <c r="E6262"/>
    </row>
    <row r="6263" spans="5:5">
      <c r="E6263"/>
    </row>
    <row r="6264" spans="5:5">
      <c r="E6264"/>
    </row>
    <row r="6265" spans="5:5">
      <c r="E6265"/>
    </row>
    <row r="6266" spans="5:5">
      <c r="E6266"/>
    </row>
    <row r="6267" spans="5:5">
      <c r="E6267"/>
    </row>
    <row r="6268" spans="5:5">
      <c r="E6268"/>
    </row>
    <row r="6269" spans="5:5">
      <c r="E6269"/>
    </row>
    <row r="6270" spans="5:5">
      <c r="E6270"/>
    </row>
    <row r="6271" spans="5:5">
      <c r="E6271"/>
    </row>
    <row r="6272" spans="5:5">
      <c r="E6272"/>
    </row>
    <row r="6273" spans="5:5">
      <c r="E6273"/>
    </row>
    <row r="6274" spans="5:5">
      <c r="E6274"/>
    </row>
    <row r="6275" spans="5:5">
      <c r="E6275"/>
    </row>
    <row r="6276" spans="5:5">
      <c r="E6276"/>
    </row>
    <row r="6277" spans="5:5">
      <c r="E6277"/>
    </row>
    <row r="6278" spans="5:5">
      <c r="E6278"/>
    </row>
    <row r="6279" spans="5:5">
      <c r="E6279"/>
    </row>
    <row r="6280" spans="5:5">
      <c r="E6280"/>
    </row>
    <row r="6281" spans="5:5">
      <c r="E6281"/>
    </row>
    <row r="6282" spans="5:5">
      <c r="E6282"/>
    </row>
    <row r="6283" spans="5:5">
      <c r="E6283"/>
    </row>
    <row r="6284" spans="5:5">
      <c r="E6284"/>
    </row>
    <row r="6285" spans="5:5">
      <c r="E6285"/>
    </row>
    <row r="6286" spans="5:5">
      <c r="E6286"/>
    </row>
    <row r="6287" spans="5:5">
      <c r="E6287"/>
    </row>
    <row r="6288" spans="5:5">
      <c r="E6288"/>
    </row>
    <row r="6289" spans="5:5">
      <c r="E6289"/>
    </row>
    <row r="6290" spans="5:5">
      <c r="E6290"/>
    </row>
    <row r="6291" spans="5:5">
      <c r="E6291"/>
    </row>
    <row r="6292" spans="5:5">
      <c r="E6292"/>
    </row>
    <row r="6293" spans="5:5">
      <c r="E6293"/>
    </row>
    <row r="6294" spans="5:5">
      <c r="E6294"/>
    </row>
    <row r="6295" spans="5:5">
      <c r="E6295"/>
    </row>
    <row r="6296" spans="5:5">
      <c r="E6296"/>
    </row>
    <row r="6297" spans="5:5">
      <c r="E6297"/>
    </row>
    <row r="6298" spans="5:5">
      <c r="E6298"/>
    </row>
    <row r="6299" spans="5:5">
      <c r="E6299"/>
    </row>
    <row r="6300" spans="5:5">
      <c r="E6300"/>
    </row>
    <row r="6301" spans="5:5">
      <c r="E6301"/>
    </row>
    <row r="6302" spans="5:5">
      <c r="E6302"/>
    </row>
    <row r="6303" spans="5:5">
      <c r="E6303"/>
    </row>
    <row r="6304" spans="5:5">
      <c r="E6304"/>
    </row>
    <row r="6305" spans="5:5">
      <c r="E6305"/>
    </row>
    <row r="6306" spans="5:5">
      <c r="E6306"/>
    </row>
    <row r="6307" spans="5:5">
      <c r="E6307"/>
    </row>
    <row r="6308" spans="5:5">
      <c r="E6308"/>
    </row>
    <row r="6309" spans="5:5">
      <c r="E6309"/>
    </row>
    <row r="6310" spans="5:5">
      <c r="E6310"/>
    </row>
    <row r="6311" spans="5:5">
      <c r="E6311"/>
    </row>
    <row r="6312" spans="5:5">
      <c r="E6312"/>
    </row>
    <row r="6313" spans="5:5">
      <c r="E6313"/>
    </row>
    <row r="6314" spans="5:5">
      <c r="E6314"/>
    </row>
    <row r="6315" spans="5:5">
      <c r="E6315"/>
    </row>
    <row r="6316" spans="5:5">
      <c r="E6316"/>
    </row>
    <row r="6317" spans="5:5">
      <c r="E6317"/>
    </row>
    <row r="6318" spans="5:5">
      <c r="E6318"/>
    </row>
    <row r="6319" spans="5:5">
      <c r="E6319"/>
    </row>
    <row r="6320" spans="5:5">
      <c r="E6320"/>
    </row>
    <row r="6321" spans="5:5">
      <c r="E6321"/>
    </row>
    <row r="6322" spans="5:5">
      <c r="E6322"/>
    </row>
    <row r="6323" spans="5:5">
      <c r="E6323"/>
    </row>
    <row r="6324" spans="5:5">
      <c r="E6324"/>
    </row>
    <row r="6325" spans="5:5">
      <c r="E6325"/>
    </row>
    <row r="6326" spans="5:5">
      <c r="E6326"/>
    </row>
    <row r="6327" spans="5:5">
      <c r="E6327"/>
    </row>
    <row r="6328" spans="5:5">
      <c r="E6328"/>
    </row>
    <row r="6329" spans="5:5">
      <c r="E6329"/>
    </row>
    <row r="6330" spans="5:5">
      <c r="E6330"/>
    </row>
    <row r="6331" spans="5:5">
      <c r="E6331"/>
    </row>
    <row r="6332" spans="5:5">
      <c r="E6332"/>
    </row>
    <row r="6333" spans="5:5">
      <c r="E6333"/>
    </row>
    <row r="6334" spans="5:5">
      <c r="E6334"/>
    </row>
    <row r="6335" spans="5:5">
      <c r="E6335"/>
    </row>
    <row r="6336" spans="5:5">
      <c r="E6336"/>
    </row>
    <row r="6337" spans="5:5">
      <c r="E6337"/>
    </row>
    <row r="6338" spans="5:5">
      <c r="E6338"/>
    </row>
    <row r="6339" spans="5:5">
      <c r="E6339"/>
    </row>
    <row r="6340" spans="5:5">
      <c r="E6340"/>
    </row>
    <row r="6341" spans="5:5">
      <c r="E6341"/>
    </row>
    <row r="6342" spans="5:5">
      <c r="E6342"/>
    </row>
    <row r="6343" spans="5:5">
      <c r="E6343"/>
    </row>
    <row r="6344" spans="5:5">
      <c r="E6344"/>
    </row>
    <row r="6345" spans="5:5">
      <c r="E6345"/>
    </row>
    <row r="6346" spans="5:5">
      <c r="E6346"/>
    </row>
    <row r="6347" spans="5:5">
      <c r="E6347"/>
    </row>
    <row r="6348" spans="5:5">
      <c r="E6348"/>
    </row>
    <row r="6349" spans="5:5">
      <c r="E6349"/>
    </row>
    <row r="6350" spans="5:5">
      <c r="E6350"/>
    </row>
    <row r="6351" spans="5:5">
      <c r="E6351"/>
    </row>
    <row r="6352" spans="5:5">
      <c r="E6352"/>
    </row>
    <row r="6353" spans="5:5">
      <c r="E6353"/>
    </row>
    <row r="6354" spans="5:5">
      <c r="E6354"/>
    </row>
    <row r="6355" spans="5:5">
      <c r="E6355"/>
    </row>
    <row r="6356" spans="5:5">
      <c r="E6356"/>
    </row>
    <row r="6357" spans="5:5">
      <c r="E6357"/>
    </row>
    <row r="6358" spans="5:5">
      <c r="E6358"/>
    </row>
    <row r="6359" spans="5:5">
      <c r="E6359"/>
    </row>
    <row r="6360" spans="5:5">
      <c r="E6360"/>
    </row>
    <row r="6361" spans="5:5">
      <c r="E6361"/>
    </row>
    <row r="6362" spans="5:5">
      <c r="E6362"/>
    </row>
    <row r="6363" spans="5:5">
      <c r="E6363"/>
    </row>
    <row r="6364" spans="5:5">
      <c r="E6364"/>
    </row>
    <row r="6365" spans="5:5">
      <c r="E6365"/>
    </row>
    <row r="6366" spans="5:5">
      <c r="E6366"/>
    </row>
    <row r="6367" spans="5:5">
      <c r="E6367"/>
    </row>
    <row r="6368" spans="5:5">
      <c r="E6368"/>
    </row>
    <row r="6369" spans="5:5">
      <c r="E6369"/>
    </row>
    <row r="6370" spans="5:5">
      <c r="E6370"/>
    </row>
    <row r="6371" spans="5:5">
      <c r="E6371"/>
    </row>
    <row r="6372" spans="5:5">
      <c r="E6372"/>
    </row>
    <row r="6373" spans="5:5">
      <c r="E6373"/>
    </row>
    <row r="6374" spans="5:5">
      <c r="E6374"/>
    </row>
    <row r="6375" spans="5:5">
      <c r="E6375"/>
    </row>
    <row r="6376" spans="5:5">
      <c r="E6376"/>
    </row>
    <row r="6377" spans="5:5">
      <c r="E6377"/>
    </row>
    <row r="6378" spans="5:5">
      <c r="E6378"/>
    </row>
    <row r="6379" spans="5:5">
      <c r="E6379"/>
    </row>
    <row r="6380" spans="5:5">
      <c r="E6380"/>
    </row>
    <row r="6381" spans="5:5">
      <c r="E6381"/>
    </row>
    <row r="6382" spans="5:5">
      <c r="E6382"/>
    </row>
    <row r="6383" spans="5:5">
      <c r="E6383"/>
    </row>
    <row r="6384" spans="5:5">
      <c r="E6384"/>
    </row>
    <row r="6385" spans="5:5">
      <c r="E6385"/>
    </row>
    <row r="6386" spans="5:5">
      <c r="E6386"/>
    </row>
    <row r="6387" spans="5:5">
      <c r="E6387"/>
    </row>
    <row r="6388" spans="5:5">
      <c r="E6388"/>
    </row>
    <row r="6389" spans="5:5">
      <c r="E6389"/>
    </row>
    <row r="6390" spans="5:5">
      <c r="E6390"/>
    </row>
    <row r="6391" spans="5:5">
      <c r="E6391"/>
    </row>
    <row r="6392" spans="5:5">
      <c r="E6392"/>
    </row>
    <row r="6393" spans="5:5">
      <c r="E6393"/>
    </row>
    <row r="6394" spans="5:5">
      <c r="E6394"/>
    </row>
    <row r="6395" spans="5:5">
      <c r="E6395"/>
    </row>
    <row r="6396" spans="5:5">
      <c r="E6396"/>
    </row>
    <row r="6397" spans="5:5">
      <c r="E6397"/>
    </row>
    <row r="6398" spans="5:5">
      <c r="E6398"/>
    </row>
    <row r="6399" spans="5:5">
      <c r="E6399"/>
    </row>
    <row r="6400" spans="5:5">
      <c r="E6400"/>
    </row>
    <row r="6401" spans="5:5">
      <c r="E6401"/>
    </row>
    <row r="6402" spans="5:5">
      <c r="E6402"/>
    </row>
    <row r="6403" spans="5:5">
      <c r="E6403"/>
    </row>
    <row r="6404" spans="5:5">
      <c r="E6404"/>
    </row>
    <row r="6405" spans="5:5">
      <c r="E6405"/>
    </row>
    <row r="6406" spans="5:5">
      <c r="E6406"/>
    </row>
    <row r="6407" spans="5:5">
      <c r="E6407"/>
    </row>
    <row r="6408" spans="5:5">
      <c r="E6408"/>
    </row>
    <row r="6409" spans="5:5">
      <c r="E6409"/>
    </row>
    <row r="6410" spans="5:5">
      <c r="E6410"/>
    </row>
    <row r="6411" spans="5:5">
      <c r="E6411"/>
    </row>
    <row r="6412" spans="5:5">
      <c r="E6412"/>
    </row>
    <row r="6413" spans="5:5">
      <c r="E6413"/>
    </row>
    <row r="6414" spans="5:5">
      <c r="E6414"/>
    </row>
    <row r="6415" spans="5:5">
      <c r="E6415"/>
    </row>
    <row r="6416" spans="5:5">
      <c r="E6416"/>
    </row>
    <row r="6417" spans="5:5">
      <c r="E6417"/>
    </row>
    <row r="6418" spans="5:5">
      <c r="E6418"/>
    </row>
    <row r="6419" spans="5:5">
      <c r="E6419"/>
    </row>
    <row r="6420" spans="5:5">
      <c r="E6420"/>
    </row>
    <row r="6421" spans="5:5">
      <c r="E6421"/>
    </row>
    <row r="6422" spans="5:5">
      <c r="E6422"/>
    </row>
    <row r="6423" spans="5:5">
      <c r="E6423"/>
    </row>
    <row r="6424" spans="5:5">
      <c r="E6424"/>
    </row>
    <row r="6425" spans="5:5">
      <c r="E6425"/>
    </row>
    <row r="6426" spans="5:5">
      <c r="E6426"/>
    </row>
    <row r="6427" spans="5:5">
      <c r="E6427"/>
    </row>
    <row r="6428" spans="5:5">
      <c r="E6428"/>
    </row>
    <row r="6429" spans="5:5">
      <c r="E6429"/>
    </row>
    <row r="6430" spans="5:5">
      <c r="E6430"/>
    </row>
    <row r="6431" spans="5:5">
      <c r="E6431"/>
    </row>
    <row r="6432" spans="5:5">
      <c r="E6432"/>
    </row>
    <row r="6433" spans="5:5">
      <c r="E6433"/>
    </row>
    <row r="6434" spans="5:5">
      <c r="E6434"/>
    </row>
    <row r="6435" spans="5:5">
      <c r="E6435"/>
    </row>
    <row r="6436" spans="5:5">
      <c r="E6436"/>
    </row>
    <row r="6437" spans="5:5">
      <c r="E6437"/>
    </row>
    <row r="6438" spans="5:5">
      <c r="E6438"/>
    </row>
    <row r="6439" spans="5:5">
      <c r="E6439"/>
    </row>
    <row r="6440" spans="5:5">
      <c r="E6440"/>
    </row>
    <row r="6441" spans="5:5">
      <c r="E6441"/>
    </row>
    <row r="6442" spans="5:5">
      <c r="E6442"/>
    </row>
    <row r="6443" spans="5:5">
      <c r="E6443"/>
    </row>
    <row r="6444" spans="5:5">
      <c r="E6444"/>
    </row>
    <row r="6445" spans="5:5">
      <c r="E6445"/>
    </row>
    <row r="6446" spans="5:5">
      <c r="E6446"/>
    </row>
    <row r="6447" spans="5:5">
      <c r="E6447"/>
    </row>
    <row r="6448" spans="5:5">
      <c r="E6448"/>
    </row>
    <row r="6449" spans="5:5">
      <c r="E6449"/>
    </row>
    <row r="6450" spans="5:5">
      <c r="E6450"/>
    </row>
    <row r="6451" spans="5:5">
      <c r="E6451"/>
    </row>
    <row r="6452" spans="5:5">
      <c r="E6452"/>
    </row>
    <row r="6453" spans="5:5">
      <c r="E6453"/>
    </row>
    <row r="6454" spans="5:5">
      <c r="E6454"/>
    </row>
    <row r="6455" spans="5:5">
      <c r="E6455"/>
    </row>
    <row r="6456" spans="5:5">
      <c r="E6456"/>
    </row>
    <row r="6457" spans="5:5">
      <c r="E6457"/>
    </row>
    <row r="6458" spans="5:5">
      <c r="E6458"/>
    </row>
    <row r="6459" spans="5:5">
      <c r="E6459"/>
    </row>
    <row r="6460" spans="5:5">
      <c r="E6460"/>
    </row>
    <row r="6461" spans="5:5">
      <c r="E6461"/>
    </row>
    <row r="6462" spans="5:5">
      <c r="E6462"/>
    </row>
    <row r="6463" spans="5:5">
      <c r="E6463"/>
    </row>
    <row r="6464" spans="5:5">
      <c r="E6464"/>
    </row>
    <row r="6465" spans="5:5">
      <c r="E6465"/>
    </row>
    <row r="6466" spans="5:5">
      <c r="E6466"/>
    </row>
    <row r="6467" spans="5:5">
      <c r="E6467"/>
    </row>
    <row r="6468" spans="5:5">
      <c r="E6468"/>
    </row>
    <row r="6469" spans="5:5">
      <c r="E6469"/>
    </row>
    <row r="6470" spans="5:5">
      <c r="E6470"/>
    </row>
    <row r="6471" spans="5:5">
      <c r="E6471"/>
    </row>
    <row r="6472" spans="5:5">
      <c r="E6472"/>
    </row>
    <row r="6473" spans="5:5">
      <c r="E6473"/>
    </row>
    <row r="6474" spans="5:5">
      <c r="E6474"/>
    </row>
    <row r="6475" spans="5:5">
      <c r="E6475"/>
    </row>
    <row r="6476" spans="5:5">
      <c r="E6476"/>
    </row>
    <row r="6477" spans="5:5">
      <c r="E6477"/>
    </row>
    <row r="6478" spans="5:5">
      <c r="E6478"/>
    </row>
    <row r="6479" spans="5:5">
      <c r="E6479"/>
    </row>
    <row r="6480" spans="5:5">
      <c r="E6480"/>
    </row>
    <row r="6481" spans="5:5">
      <c r="E6481"/>
    </row>
    <row r="6482" spans="5:5">
      <c r="E6482"/>
    </row>
    <row r="6483" spans="5:5">
      <c r="E6483"/>
    </row>
    <row r="6484" spans="5:5">
      <c r="E6484"/>
    </row>
    <row r="6485" spans="5:5">
      <c r="E6485"/>
    </row>
    <row r="6486" spans="5:5">
      <c r="E6486"/>
    </row>
    <row r="6487" spans="5:5">
      <c r="E6487"/>
    </row>
    <row r="6488" spans="5:5">
      <c r="E6488"/>
    </row>
    <row r="6489" spans="5:5">
      <c r="E6489"/>
    </row>
    <row r="6490" spans="5:5">
      <c r="E6490"/>
    </row>
    <row r="6491" spans="5:5">
      <c r="E6491"/>
    </row>
    <row r="6492" spans="5:5">
      <c r="E6492"/>
    </row>
    <row r="6493" spans="5:5">
      <c r="E6493"/>
    </row>
    <row r="6494" spans="5:5">
      <c r="E6494"/>
    </row>
    <row r="6495" spans="5:5">
      <c r="E6495"/>
    </row>
    <row r="6496" spans="5:5">
      <c r="E6496"/>
    </row>
    <row r="6497" spans="5:5">
      <c r="E6497"/>
    </row>
    <row r="6498" spans="5:5">
      <c r="E6498"/>
    </row>
    <row r="6499" spans="5:5">
      <c r="E6499"/>
    </row>
    <row r="6500" spans="5:5">
      <c r="E6500"/>
    </row>
    <row r="6501" spans="5:5">
      <c r="E6501"/>
    </row>
    <row r="6502" spans="5:5">
      <c r="E6502"/>
    </row>
    <row r="6503" spans="5:5">
      <c r="E6503"/>
    </row>
    <row r="6504" spans="5:5">
      <c r="E6504"/>
    </row>
    <row r="6505" spans="5:5">
      <c r="E6505"/>
    </row>
    <row r="6506" spans="5:5">
      <c r="E6506"/>
    </row>
    <row r="6507" spans="5:5">
      <c r="E6507"/>
    </row>
    <row r="6508" spans="5:5">
      <c r="E6508"/>
    </row>
    <row r="6509" spans="5:5">
      <c r="E6509"/>
    </row>
    <row r="6510" spans="5:5">
      <c r="E6510"/>
    </row>
    <row r="6511" spans="5:5">
      <c r="E6511"/>
    </row>
    <row r="6512" spans="5:5">
      <c r="E6512"/>
    </row>
    <row r="6513" spans="5:5">
      <c r="E6513"/>
    </row>
    <row r="6514" spans="5:5">
      <c r="E6514"/>
    </row>
    <row r="6515" spans="5:5">
      <c r="E6515"/>
    </row>
    <row r="6516" spans="5:5">
      <c r="E6516"/>
    </row>
    <row r="6517" spans="5:5">
      <c r="E6517"/>
    </row>
    <row r="6518" spans="5:5">
      <c r="E6518"/>
    </row>
    <row r="6519" spans="5:5">
      <c r="E6519"/>
    </row>
    <row r="6520" spans="5:5">
      <c r="E6520"/>
    </row>
    <row r="6521" spans="5:5">
      <c r="E6521"/>
    </row>
    <row r="6522" spans="5:5">
      <c r="E6522"/>
    </row>
    <row r="6523" spans="5:5">
      <c r="E6523"/>
    </row>
    <row r="6524" spans="5:5">
      <c r="E6524"/>
    </row>
    <row r="6525" spans="5:5">
      <c r="E6525"/>
    </row>
    <row r="6526" spans="5:5">
      <c r="E6526"/>
    </row>
    <row r="6527" spans="5:5">
      <c r="E6527"/>
    </row>
    <row r="6528" spans="5:5">
      <c r="E6528"/>
    </row>
    <row r="6529" spans="5:5">
      <c r="E6529"/>
    </row>
    <row r="6530" spans="5:5">
      <c r="E6530"/>
    </row>
    <row r="6531" spans="5:5">
      <c r="E6531"/>
    </row>
    <row r="6532" spans="5:5">
      <c r="E6532"/>
    </row>
    <row r="6533" spans="5:5">
      <c r="E6533"/>
    </row>
    <row r="6534" spans="5:5">
      <c r="E6534"/>
    </row>
    <row r="6535" spans="5:5">
      <c r="E6535"/>
    </row>
    <row r="6536" spans="5:5">
      <c r="E6536"/>
    </row>
    <row r="6537" spans="5:5">
      <c r="E6537"/>
    </row>
    <row r="6538" spans="5:5">
      <c r="E6538"/>
    </row>
    <row r="6539" spans="5:5">
      <c r="E6539"/>
    </row>
    <row r="6540" spans="5:5">
      <c r="E6540"/>
    </row>
    <row r="6541" spans="5:5">
      <c r="E6541"/>
    </row>
    <row r="6542" spans="5:5">
      <c r="E6542"/>
    </row>
    <row r="6543" spans="5:5">
      <c r="E6543"/>
    </row>
    <row r="6544" spans="5:5">
      <c r="E6544"/>
    </row>
    <row r="6545" spans="5:5">
      <c r="E6545"/>
    </row>
    <row r="6546" spans="5:5">
      <c r="E6546"/>
    </row>
    <row r="6547" spans="5:5">
      <c r="E6547"/>
    </row>
    <row r="6548" spans="5:5">
      <c r="E6548"/>
    </row>
    <row r="6549" spans="5:5">
      <c r="E6549"/>
    </row>
    <row r="6550" spans="5:5">
      <c r="E6550"/>
    </row>
    <row r="6551" spans="5:5">
      <c r="E6551"/>
    </row>
    <row r="6552" spans="5:5">
      <c r="E6552"/>
    </row>
    <row r="6553" spans="5:5">
      <c r="E6553"/>
    </row>
    <row r="6554" spans="5:5">
      <c r="E6554"/>
    </row>
    <row r="6555" spans="5:5">
      <c r="E6555"/>
    </row>
    <row r="6556" spans="5:5">
      <c r="E6556"/>
    </row>
    <row r="6557" spans="5:5">
      <c r="E6557"/>
    </row>
    <row r="6558" spans="5:5">
      <c r="E6558"/>
    </row>
    <row r="6559" spans="5:5">
      <c r="E6559"/>
    </row>
    <row r="6560" spans="5:5">
      <c r="E6560"/>
    </row>
    <row r="6561" spans="5:5">
      <c r="E6561"/>
    </row>
    <row r="6562" spans="5:5">
      <c r="E6562"/>
    </row>
    <row r="6563" spans="5:5">
      <c r="E6563"/>
    </row>
    <row r="6564" spans="5:5">
      <c r="E6564"/>
    </row>
    <row r="6565" spans="5:5">
      <c r="E6565"/>
    </row>
    <row r="6566" spans="5:5">
      <c r="E6566"/>
    </row>
    <row r="6567" spans="5:5">
      <c r="E6567"/>
    </row>
    <row r="6568" spans="5:5">
      <c r="E6568"/>
    </row>
    <row r="6569" spans="5:5">
      <c r="E6569"/>
    </row>
    <row r="6570" spans="5:5">
      <c r="E6570"/>
    </row>
    <row r="6571" spans="5:5">
      <c r="E6571"/>
    </row>
    <row r="6572" spans="5:5">
      <c r="E6572"/>
    </row>
    <row r="6573" spans="5:5">
      <c r="E6573"/>
    </row>
    <row r="6574" spans="5:5">
      <c r="E6574"/>
    </row>
    <row r="6575" spans="5:5">
      <c r="E6575"/>
    </row>
    <row r="6576" spans="5:5">
      <c r="E6576"/>
    </row>
    <row r="6577" spans="5:5">
      <c r="E6577"/>
    </row>
    <row r="6578" spans="5:5">
      <c r="E6578"/>
    </row>
    <row r="6579" spans="5:5">
      <c r="E6579"/>
    </row>
    <row r="6580" spans="5:5">
      <c r="E6580"/>
    </row>
    <row r="6581" spans="5:5">
      <c r="E6581"/>
    </row>
    <row r="6582" spans="5:5">
      <c r="E6582"/>
    </row>
    <row r="6583" spans="5:5">
      <c r="E6583"/>
    </row>
    <row r="6584" spans="5:5">
      <c r="E6584"/>
    </row>
    <row r="6585" spans="5:5">
      <c r="E6585"/>
    </row>
    <row r="6586" spans="5:5">
      <c r="E6586"/>
    </row>
    <row r="6587" spans="5:5">
      <c r="E6587"/>
    </row>
    <row r="6588" spans="5:5">
      <c r="E6588"/>
    </row>
    <row r="6589" spans="5:5">
      <c r="E6589"/>
    </row>
    <row r="6590" spans="5:5">
      <c r="E6590"/>
    </row>
    <row r="6591" spans="5:5">
      <c r="E6591"/>
    </row>
    <row r="6592" spans="5:5">
      <c r="E6592"/>
    </row>
    <row r="6593" spans="5:5">
      <c r="E6593"/>
    </row>
    <row r="6594" spans="5:5">
      <c r="E6594"/>
    </row>
    <row r="6595" spans="5:5">
      <c r="E6595"/>
    </row>
    <row r="6596" spans="5:5">
      <c r="E6596"/>
    </row>
    <row r="6597" spans="5:5">
      <c r="E6597"/>
    </row>
    <row r="6598" spans="5:5">
      <c r="E6598"/>
    </row>
    <row r="6599" spans="5:5">
      <c r="E6599"/>
    </row>
    <row r="6600" spans="5:5">
      <c r="E6600"/>
    </row>
    <row r="6601" spans="5:5">
      <c r="E6601"/>
    </row>
    <row r="6602" spans="5:5">
      <c r="E6602"/>
    </row>
    <row r="6603" spans="5:5">
      <c r="E6603"/>
    </row>
    <row r="6604" spans="5:5">
      <c r="E6604"/>
    </row>
    <row r="6605" spans="5:5">
      <c r="E6605"/>
    </row>
    <row r="6606" spans="5:5">
      <c r="E6606"/>
    </row>
    <row r="6607" spans="5:5">
      <c r="E6607"/>
    </row>
    <row r="6608" spans="5:5">
      <c r="E6608"/>
    </row>
    <row r="6609" spans="5:5">
      <c r="E6609"/>
    </row>
    <row r="6610" spans="5:5">
      <c r="E6610"/>
    </row>
    <row r="6611" spans="5:5">
      <c r="E6611"/>
    </row>
    <row r="6612" spans="5:5">
      <c r="E6612"/>
    </row>
    <row r="6613" spans="5:5">
      <c r="E6613"/>
    </row>
    <row r="6614" spans="5:5">
      <c r="E6614"/>
    </row>
    <row r="6615" spans="5:5">
      <c r="E6615"/>
    </row>
    <row r="6616" spans="5:5">
      <c r="E6616"/>
    </row>
    <row r="6617" spans="5:5">
      <c r="E6617"/>
    </row>
    <row r="6618" spans="5:5">
      <c r="E6618"/>
    </row>
    <row r="6619" spans="5:5">
      <c r="E6619"/>
    </row>
    <row r="6620" spans="5:5">
      <c r="E6620"/>
    </row>
    <row r="6621" spans="5:5">
      <c r="E6621"/>
    </row>
    <row r="6622" spans="5:5">
      <c r="E6622"/>
    </row>
    <row r="6623" spans="5:5">
      <c r="E6623"/>
    </row>
    <row r="6624" spans="5:5">
      <c r="E6624"/>
    </row>
    <row r="6625" spans="5:5">
      <c r="E6625"/>
    </row>
    <row r="6626" spans="5:5">
      <c r="E6626"/>
    </row>
    <row r="6627" spans="5:5">
      <c r="E6627"/>
    </row>
    <row r="6628" spans="5:5">
      <c r="E6628"/>
    </row>
    <row r="6629" spans="5:5">
      <c r="E6629"/>
    </row>
    <row r="6630" spans="5:5">
      <c r="E6630"/>
    </row>
    <row r="6631" spans="5:5">
      <c r="E6631"/>
    </row>
    <row r="6632" spans="5:5">
      <c r="E6632"/>
    </row>
    <row r="6633" spans="5:5">
      <c r="E6633"/>
    </row>
    <row r="6634" spans="5:5">
      <c r="E6634"/>
    </row>
    <row r="6635" spans="5:5">
      <c r="E6635"/>
    </row>
    <row r="6636" spans="5:5">
      <c r="E6636"/>
    </row>
    <row r="6637" spans="5:5">
      <c r="E6637"/>
    </row>
    <row r="6638" spans="5:5">
      <c r="E6638"/>
    </row>
    <row r="6639" spans="5:5">
      <c r="E6639"/>
    </row>
    <row r="6640" spans="5:5">
      <c r="E6640"/>
    </row>
    <row r="6641" spans="5:5">
      <c r="E6641"/>
    </row>
    <row r="6642" spans="5:5">
      <c r="E6642"/>
    </row>
    <row r="6643" spans="5:5">
      <c r="E6643"/>
    </row>
    <row r="6644" spans="5:5">
      <c r="E6644"/>
    </row>
    <row r="6645" spans="5:5">
      <c r="E6645"/>
    </row>
    <row r="6646" spans="5:5">
      <c r="E6646"/>
    </row>
    <row r="6647" spans="5:5">
      <c r="E6647"/>
    </row>
    <row r="6648" spans="5:5">
      <c r="E6648"/>
    </row>
    <row r="6649" spans="5:5">
      <c r="E6649"/>
    </row>
    <row r="6650" spans="5:5">
      <c r="E6650"/>
    </row>
    <row r="6651" spans="5:5">
      <c r="E6651"/>
    </row>
    <row r="6652" spans="5:5">
      <c r="E6652"/>
    </row>
    <row r="6653" spans="5:5">
      <c r="E6653"/>
    </row>
    <row r="6654" spans="5:5">
      <c r="E6654"/>
    </row>
    <row r="6655" spans="5:5">
      <c r="E6655"/>
    </row>
    <row r="6656" spans="5:5">
      <c r="E6656"/>
    </row>
    <row r="6657" spans="5:5">
      <c r="E6657"/>
    </row>
    <row r="6658" spans="5:5">
      <c r="E6658"/>
    </row>
    <row r="6659" spans="5:5">
      <c r="E6659"/>
    </row>
    <row r="6660" spans="5:5">
      <c r="E6660"/>
    </row>
    <row r="6661" spans="5:5">
      <c r="E6661"/>
    </row>
    <row r="6662" spans="5:5">
      <c r="E6662"/>
    </row>
    <row r="6663" spans="5:5">
      <c r="E6663"/>
    </row>
    <row r="6664" spans="5:5">
      <c r="E6664"/>
    </row>
    <row r="6665" spans="5:5">
      <c r="E6665"/>
    </row>
    <row r="6666" spans="5:5">
      <c r="E6666"/>
    </row>
    <row r="6667" spans="5:5">
      <c r="E6667"/>
    </row>
    <row r="6668" spans="5:5">
      <c r="E6668"/>
    </row>
    <row r="6669" spans="5:5">
      <c r="E6669"/>
    </row>
    <row r="6670" spans="5:5">
      <c r="E6670"/>
    </row>
    <row r="6671" spans="5:5">
      <c r="E6671"/>
    </row>
    <row r="6672" spans="5:5">
      <c r="E6672"/>
    </row>
    <row r="6673" spans="5:5">
      <c r="E6673"/>
    </row>
    <row r="6674" spans="5:5">
      <c r="E6674"/>
    </row>
    <row r="6675" spans="5:5">
      <c r="E6675"/>
    </row>
    <row r="6676" spans="5:5">
      <c r="E6676"/>
    </row>
    <row r="6677" spans="5:5">
      <c r="E6677"/>
    </row>
    <row r="6678" spans="5:5">
      <c r="E6678"/>
    </row>
    <row r="6679" spans="5:5">
      <c r="E6679"/>
    </row>
    <row r="6680" spans="5:5">
      <c r="E6680"/>
    </row>
    <row r="6681" spans="5:5">
      <c r="E6681"/>
    </row>
    <row r="6682" spans="5:5">
      <c r="E6682"/>
    </row>
    <row r="6683" spans="5:5">
      <c r="E6683"/>
    </row>
    <row r="6684" spans="5:5">
      <c r="E6684"/>
    </row>
    <row r="6685" spans="5:5">
      <c r="E6685"/>
    </row>
    <row r="6686" spans="5:5">
      <c r="E6686"/>
    </row>
    <row r="6687" spans="5:5">
      <c r="E6687"/>
    </row>
    <row r="6688" spans="5:5">
      <c r="E6688"/>
    </row>
    <row r="6689" spans="5:5">
      <c r="E6689"/>
    </row>
    <row r="6690" spans="5:5">
      <c r="E6690"/>
    </row>
    <row r="6691" spans="5:5">
      <c r="E6691"/>
    </row>
    <row r="6692" spans="5:5">
      <c r="E6692"/>
    </row>
    <row r="6693" spans="5:5">
      <c r="E6693"/>
    </row>
    <row r="6694" spans="5:5">
      <c r="E6694"/>
    </row>
    <row r="6695" spans="5:5">
      <c r="E6695"/>
    </row>
    <row r="6696" spans="5:5">
      <c r="E6696"/>
    </row>
    <row r="6697" spans="5:5">
      <c r="E6697"/>
    </row>
    <row r="6698" spans="5:5">
      <c r="E6698"/>
    </row>
    <row r="6699" spans="5:5">
      <c r="E6699"/>
    </row>
    <row r="6700" spans="5:5">
      <c r="E6700"/>
    </row>
    <row r="6701" spans="5:5">
      <c r="E6701"/>
    </row>
    <row r="6702" spans="5:5">
      <c r="E6702"/>
    </row>
    <row r="6703" spans="5:5">
      <c r="E6703"/>
    </row>
    <row r="6704" spans="5:5">
      <c r="E6704"/>
    </row>
    <row r="6705" spans="5:5">
      <c r="E6705"/>
    </row>
    <row r="6706" spans="5:5">
      <c r="E6706"/>
    </row>
    <row r="6707" spans="5:5">
      <c r="E6707"/>
    </row>
    <row r="6708" spans="5:5">
      <c r="E6708"/>
    </row>
    <row r="6709" spans="5:5">
      <c r="E6709"/>
    </row>
    <row r="6710" spans="5:5">
      <c r="E6710"/>
    </row>
    <row r="6711" spans="5:5">
      <c r="E6711"/>
    </row>
    <row r="6712" spans="5:5">
      <c r="E6712"/>
    </row>
    <row r="6713" spans="5:5">
      <c r="E6713"/>
    </row>
    <row r="6714" spans="5:5">
      <c r="E6714"/>
    </row>
    <row r="6715" spans="5:5">
      <c r="E6715"/>
    </row>
    <row r="6716" spans="5:5">
      <c r="E6716"/>
    </row>
    <row r="6717" spans="5:5">
      <c r="E6717"/>
    </row>
    <row r="6718" spans="5:5">
      <c r="E6718"/>
    </row>
    <row r="6719" spans="5:5">
      <c r="E6719"/>
    </row>
    <row r="6720" spans="5:5">
      <c r="E6720"/>
    </row>
    <row r="6721" spans="5:5">
      <c r="E6721"/>
    </row>
    <row r="6722" spans="5:5">
      <c r="E6722"/>
    </row>
    <row r="6723" spans="5:5">
      <c r="E6723"/>
    </row>
    <row r="6724" spans="5:5">
      <c r="E6724"/>
    </row>
    <row r="6725" spans="5:5">
      <c r="E6725"/>
    </row>
    <row r="6726" spans="5:5">
      <c r="E6726"/>
    </row>
    <row r="6727" spans="5:5">
      <c r="E6727"/>
    </row>
    <row r="6728" spans="5:5">
      <c r="E6728"/>
    </row>
    <row r="6729" spans="5:5">
      <c r="E6729"/>
    </row>
    <row r="6730" spans="5:5">
      <c r="E6730"/>
    </row>
    <row r="6731" spans="5:5">
      <c r="E6731"/>
    </row>
    <row r="6732" spans="5:5">
      <c r="E6732"/>
    </row>
    <row r="6733" spans="5:5">
      <c r="E6733"/>
    </row>
    <row r="6734" spans="5:5">
      <c r="E6734"/>
    </row>
    <row r="6735" spans="5:5">
      <c r="E6735"/>
    </row>
    <row r="6736" spans="5:5">
      <c r="E6736"/>
    </row>
    <row r="6737" spans="5:5">
      <c r="E6737"/>
    </row>
    <row r="6738" spans="5:5">
      <c r="E6738"/>
    </row>
    <row r="6739" spans="5:5">
      <c r="E6739"/>
    </row>
    <row r="6740" spans="5:5">
      <c r="E6740"/>
    </row>
    <row r="6741" spans="5:5">
      <c r="E6741"/>
    </row>
    <row r="6742" spans="5:5">
      <c r="E6742"/>
    </row>
    <row r="6743" spans="5:5">
      <c r="E6743"/>
    </row>
    <row r="6744" spans="5:5">
      <c r="E6744"/>
    </row>
    <row r="6745" spans="5:5">
      <c r="E6745"/>
    </row>
    <row r="6746" spans="5:5">
      <c r="E6746"/>
    </row>
    <row r="6747" spans="5:5">
      <c r="E6747"/>
    </row>
    <row r="6748" spans="5:5">
      <c r="E6748"/>
    </row>
    <row r="6749" spans="5:5">
      <c r="E6749"/>
    </row>
    <row r="6750" spans="5:5">
      <c r="E6750"/>
    </row>
    <row r="6751" spans="5:5">
      <c r="E6751"/>
    </row>
    <row r="6752" spans="5:5">
      <c r="E6752"/>
    </row>
    <row r="6753" spans="5:5">
      <c r="E6753"/>
    </row>
    <row r="6754" spans="5:5">
      <c r="E6754"/>
    </row>
    <row r="6755" spans="5:5">
      <c r="E6755"/>
    </row>
    <row r="6756" spans="5:5">
      <c r="E6756"/>
    </row>
    <row r="6757" spans="5:5">
      <c r="E6757"/>
    </row>
    <row r="6758" spans="5:5">
      <c r="E6758"/>
    </row>
    <row r="6759" spans="5:5">
      <c r="E6759"/>
    </row>
    <row r="6760" spans="5:5">
      <c r="E6760"/>
    </row>
    <row r="6761" spans="5:5">
      <c r="E6761"/>
    </row>
    <row r="6762" spans="5:5">
      <c r="E6762"/>
    </row>
    <row r="6763" spans="5:5">
      <c r="E6763"/>
    </row>
    <row r="6764" spans="5:5">
      <c r="E6764"/>
    </row>
    <row r="6765" spans="5:5">
      <c r="E6765"/>
    </row>
    <row r="6766" spans="5:5">
      <c r="E6766"/>
    </row>
    <row r="6767" spans="5:5">
      <c r="E6767"/>
    </row>
    <row r="6768" spans="5:5">
      <c r="E6768"/>
    </row>
    <row r="6769" spans="5:5">
      <c r="E6769"/>
    </row>
    <row r="6770" spans="5:5">
      <c r="E6770"/>
    </row>
    <row r="6771" spans="5:5">
      <c r="E6771"/>
    </row>
    <row r="6772" spans="5:5">
      <c r="E6772"/>
    </row>
    <row r="6773" spans="5:5">
      <c r="E6773"/>
    </row>
    <row r="6774" spans="5:5">
      <c r="E6774"/>
    </row>
    <row r="6775" spans="5:5">
      <c r="E6775"/>
    </row>
    <row r="6776" spans="5:5">
      <c r="E6776"/>
    </row>
    <row r="6777" spans="5:5">
      <c r="E6777"/>
    </row>
    <row r="6778" spans="5:5">
      <c r="E6778"/>
    </row>
    <row r="6779" spans="5:5">
      <c r="E6779"/>
    </row>
    <row r="6780" spans="5:5">
      <c r="E6780"/>
    </row>
    <row r="6781" spans="5:5">
      <c r="E6781"/>
    </row>
    <row r="6782" spans="5:5">
      <c r="E6782"/>
    </row>
    <row r="6783" spans="5:5">
      <c r="E6783"/>
    </row>
    <row r="6784" spans="5:5">
      <c r="E6784"/>
    </row>
    <row r="6785" spans="5:5">
      <c r="E6785"/>
    </row>
    <row r="6786" spans="5:5">
      <c r="E6786"/>
    </row>
    <row r="6787" spans="5:5">
      <c r="E6787"/>
    </row>
    <row r="6788" spans="5:5">
      <c r="E6788"/>
    </row>
    <row r="6789" spans="5:5">
      <c r="E6789"/>
    </row>
    <row r="6790" spans="5:5">
      <c r="E6790"/>
    </row>
    <row r="6791" spans="5:5">
      <c r="E6791"/>
    </row>
    <row r="6792" spans="5:5">
      <c r="E6792"/>
    </row>
    <row r="6793" spans="5:5">
      <c r="E6793"/>
    </row>
    <row r="6794" spans="5:5">
      <c r="E6794"/>
    </row>
    <row r="6795" spans="5:5">
      <c r="E6795"/>
    </row>
    <row r="6796" spans="5:5">
      <c r="E6796"/>
    </row>
    <row r="6797" spans="5:5">
      <c r="E6797"/>
    </row>
    <row r="6798" spans="5:5">
      <c r="E6798"/>
    </row>
    <row r="6799" spans="5:5">
      <c r="E6799"/>
    </row>
    <row r="6800" spans="5:5">
      <c r="E6800"/>
    </row>
    <row r="6801" spans="5:5">
      <c r="E6801"/>
    </row>
    <row r="6802" spans="5:5">
      <c r="E6802"/>
    </row>
    <row r="6803" spans="5:5">
      <c r="E6803"/>
    </row>
    <row r="6804" spans="5:5">
      <c r="E6804"/>
    </row>
    <row r="6805" spans="5:5">
      <c r="E6805"/>
    </row>
    <row r="6806" spans="5:5">
      <c r="E6806"/>
    </row>
    <row r="6807" spans="5:5">
      <c r="E6807"/>
    </row>
    <row r="6808" spans="5:5">
      <c r="E6808"/>
    </row>
    <row r="6809" spans="5:5">
      <c r="E6809"/>
    </row>
    <row r="6810" spans="5:5">
      <c r="E6810"/>
    </row>
    <row r="6811" spans="5:5">
      <c r="E6811"/>
    </row>
    <row r="6812" spans="5:5">
      <c r="E6812"/>
    </row>
    <row r="6813" spans="5:5">
      <c r="E6813"/>
    </row>
    <row r="6814" spans="5:5">
      <c r="E6814"/>
    </row>
    <row r="6815" spans="5:5">
      <c r="E6815"/>
    </row>
    <row r="6816" spans="5:5">
      <c r="E6816"/>
    </row>
    <row r="6817" spans="5:5">
      <c r="E6817"/>
    </row>
    <row r="6818" spans="5:5">
      <c r="E6818"/>
    </row>
    <row r="6819" spans="5:5">
      <c r="E6819"/>
    </row>
    <row r="6820" spans="5:5">
      <c r="E6820"/>
    </row>
    <row r="6821" spans="5:5">
      <c r="E6821"/>
    </row>
    <row r="6822" spans="5:5">
      <c r="E6822"/>
    </row>
    <row r="6823" spans="5:5">
      <c r="E6823"/>
    </row>
    <row r="6824" spans="5:5">
      <c r="E6824"/>
    </row>
    <row r="6825" spans="5:5">
      <c r="E6825"/>
    </row>
    <row r="6826" spans="5:5">
      <c r="E6826"/>
    </row>
    <row r="6827" spans="5:5">
      <c r="E6827"/>
    </row>
    <row r="6828" spans="5:5">
      <c r="E6828"/>
    </row>
    <row r="6829" spans="5:5">
      <c r="E6829"/>
    </row>
    <row r="6830" spans="5:5">
      <c r="E6830"/>
    </row>
    <row r="6831" spans="5:5">
      <c r="E6831"/>
    </row>
    <row r="6832" spans="5:5">
      <c r="E6832"/>
    </row>
    <row r="6833" spans="5:5">
      <c r="E6833"/>
    </row>
    <row r="6834" spans="5:5">
      <c r="E6834"/>
    </row>
    <row r="6835" spans="5:5">
      <c r="E6835"/>
    </row>
    <row r="6836" spans="5:5">
      <c r="E6836"/>
    </row>
    <row r="6837" spans="5:5">
      <c r="E6837"/>
    </row>
    <row r="6838" spans="5:5">
      <c r="E6838"/>
    </row>
    <row r="6839" spans="5:5">
      <c r="E6839"/>
    </row>
    <row r="6840" spans="5:5">
      <c r="E6840"/>
    </row>
    <row r="6841" spans="5:5">
      <c r="E6841"/>
    </row>
    <row r="6842" spans="5:5">
      <c r="E6842"/>
    </row>
    <row r="6843" spans="5:5">
      <c r="E6843"/>
    </row>
    <row r="6844" spans="5:5">
      <c r="E6844"/>
    </row>
    <row r="6845" spans="5:5">
      <c r="E6845"/>
    </row>
    <row r="6846" spans="5:5">
      <c r="E6846"/>
    </row>
    <row r="6847" spans="5:5">
      <c r="E6847"/>
    </row>
    <row r="6848" spans="5:5">
      <c r="E6848"/>
    </row>
    <row r="6849" spans="5:5">
      <c r="E6849"/>
    </row>
    <row r="6850" spans="5:5">
      <c r="E6850"/>
    </row>
    <row r="6851" spans="5:5">
      <c r="E6851"/>
    </row>
    <row r="6852" spans="5:5">
      <c r="E6852"/>
    </row>
    <row r="6853" spans="5:5">
      <c r="E6853"/>
    </row>
    <row r="6854" spans="5:5">
      <c r="E6854"/>
    </row>
    <row r="6855" spans="5:5">
      <c r="E6855"/>
    </row>
    <row r="6856" spans="5:5">
      <c r="E6856"/>
    </row>
    <row r="6857" spans="5:5">
      <c r="E6857"/>
    </row>
    <row r="6858" spans="5:5">
      <c r="E6858"/>
    </row>
    <row r="6859" spans="5:5">
      <c r="E6859"/>
    </row>
    <row r="6860" spans="5:5">
      <c r="E6860"/>
    </row>
    <row r="6861" spans="5:5">
      <c r="E6861"/>
    </row>
    <row r="6862" spans="5:5">
      <c r="E6862"/>
    </row>
    <row r="6863" spans="5:5">
      <c r="E6863"/>
    </row>
    <row r="6864" spans="5:5">
      <c r="E6864"/>
    </row>
    <row r="6865" spans="5:5">
      <c r="E6865"/>
    </row>
    <row r="6866" spans="5:5">
      <c r="E6866"/>
    </row>
    <row r="6867" spans="5:5">
      <c r="E6867"/>
    </row>
    <row r="6868" spans="5:5">
      <c r="E6868"/>
    </row>
    <row r="6869" spans="5:5">
      <c r="E6869"/>
    </row>
    <row r="6870" spans="5:5">
      <c r="E6870"/>
    </row>
    <row r="6871" spans="5:5">
      <c r="E6871"/>
    </row>
    <row r="6872" spans="5:5">
      <c r="E6872"/>
    </row>
    <row r="6873" spans="5:5">
      <c r="E6873"/>
    </row>
    <row r="6874" spans="5:5">
      <c r="E6874"/>
    </row>
    <row r="6875" spans="5:5">
      <c r="E6875"/>
    </row>
    <row r="6876" spans="5:5">
      <c r="E6876"/>
    </row>
    <row r="6877" spans="5:5">
      <c r="E6877"/>
    </row>
    <row r="6878" spans="5:5">
      <c r="E6878"/>
    </row>
    <row r="6879" spans="5:5">
      <c r="E6879"/>
    </row>
    <row r="6880" spans="5:5">
      <c r="E6880"/>
    </row>
    <row r="6881" spans="5:5">
      <c r="E6881"/>
    </row>
    <row r="6882" spans="5:5">
      <c r="E6882"/>
    </row>
    <row r="6883" spans="5:5">
      <c r="E6883"/>
    </row>
    <row r="6884" spans="5:5">
      <c r="E6884"/>
    </row>
    <row r="6885" spans="5:5">
      <c r="E6885"/>
    </row>
    <row r="6886" spans="5:5">
      <c r="E6886"/>
    </row>
    <row r="6887" spans="5:5">
      <c r="E6887"/>
    </row>
    <row r="6888" spans="5:5">
      <c r="E6888"/>
    </row>
    <row r="6889" spans="5:5">
      <c r="E6889"/>
    </row>
    <row r="6890" spans="5:5">
      <c r="E6890"/>
    </row>
    <row r="6891" spans="5:5">
      <c r="E6891"/>
    </row>
    <row r="6892" spans="5:5">
      <c r="E6892"/>
    </row>
    <row r="6893" spans="5:5">
      <c r="E6893"/>
    </row>
    <row r="6894" spans="5:5">
      <c r="E6894"/>
    </row>
    <row r="6895" spans="5:5">
      <c r="E6895"/>
    </row>
    <row r="6896" spans="5:5">
      <c r="E6896"/>
    </row>
    <row r="6897" spans="5:5">
      <c r="E6897"/>
    </row>
    <row r="6898" spans="5:5">
      <c r="E6898"/>
    </row>
    <row r="6899" spans="5:5">
      <c r="E6899"/>
    </row>
    <row r="6900" spans="5:5">
      <c r="E6900"/>
    </row>
    <row r="6901" spans="5:5">
      <c r="E6901"/>
    </row>
    <row r="6902" spans="5:5">
      <c r="E6902"/>
    </row>
    <row r="6903" spans="5:5">
      <c r="E6903"/>
    </row>
    <row r="6904" spans="5:5">
      <c r="E6904"/>
    </row>
    <row r="6905" spans="5:5">
      <c r="E6905"/>
    </row>
    <row r="6906" spans="5:5">
      <c r="E6906"/>
    </row>
    <row r="6907" spans="5:5">
      <c r="E6907"/>
    </row>
    <row r="6908" spans="5:5">
      <c r="E6908"/>
    </row>
    <row r="6909" spans="5:5">
      <c r="E6909"/>
    </row>
    <row r="6910" spans="5:5">
      <c r="E6910"/>
    </row>
    <row r="6911" spans="5:5">
      <c r="E6911"/>
    </row>
    <row r="6912" spans="5:5">
      <c r="E6912"/>
    </row>
    <row r="6913" spans="5:5">
      <c r="E6913"/>
    </row>
    <row r="6914" spans="5:5">
      <c r="E6914"/>
    </row>
    <row r="6915" spans="5:5">
      <c r="E6915"/>
    </row>
    <row r="6916" spans="5:5">
      <c r="E6916"/>
    </row>
    <row r="6917" spans="5:5">
      <c r="E6917"/>
    </row>
    <row r="6918" spans="5:5">
      <c r="E6918"/>
    </row>
    <row r="6919" spans="5:5">
      <c r="E6919"/>
    </row>
    <row r="6920" spans="5:5">
      <c r="E6920"/>
    </row>
    <row r="6921" spans="5:5">
      <c r="E6921"/>
    </row>
    <row r="6922" spans="5:5">
      <c r="E6922"/>
    </row>
    <row r="6923" spans="5:5">
      <c r="E6923"/>
    </row>
    <row r="6924" spans="5:5">
      <c r="E6924"/>
    </row>
    <row r="6925" spans="5:5">
      <c r="E6925"/>
    </row>
    <row r="6926" spans="5:5">
      <c r="E6926"/>
    </row>
    <row r="6927" spans="5:5">
      <c r="E6927"/>
    </row>
    <row r="6928" spans="5:5">
      <c r="E6928"/>
    </row>
    <row r="6929" spans="5:5">
      <c r="E6929"/>
    </row>
    <row r="6930" spans="5:5">
      <c r="E6930"/>
    </row>
    <row r="6931" spans="5:5">
      <c r="E6931"/>
    </row>
    <row r="6932" spans="5:5">
      <c r="E6932"/>
    </row>
    <row r="6933" spans="5:5">
      <c r="E6933"/>
    </row>
    <row r="6934" spans="5:5">
      <c r="E6934"/>
    </row>
    <row r="6935" spans="5:5">
      <c r="E6935"/>
    </row>
    <row r="6936" spans="5:5">
      <c r="E6936"/>
    </row>
    <row r="6937" spans="5:5">
      <c r="E6937"/>
    </row>
    <row r="6938" spans="5:5">
      <c r="E6938"/>
    </row>
    <row r="6939" spans="5:5">
      <c r="E6939"/>
    </row>
    <row r="6940" spans="5:5">
      <c r="E6940"/>
    </row>
    <row r="6941" spans="5:5">
      <c r="E6941"/>
    </row>
    <row r="6942" spans="5:5">
      <c r="E6942"/>
    </row>
    <row r="6943" spans="5:5">
      <c r="E6943"/>
    </row>
    <row r="6944" spans="5:5">
      <c r="E6944"/>
    </row>
    <row r="6945" spans="5:5">
      <c r="E6945"/>
    </row>
    <row r="6946" spans="5:5">
      <c r="E6946"/>
    </row>
    <row r="6947" spans="5:5">
      <c r="E6947"/>
    </row>
    <row r="6948" spans="5:5">
      <c r="E6948"/>
    </row>
    <row r="6949" spans="5:5">
      <c r="E6949"/>
    </row>
    <row r="6950" spans="5:5">
      <c r="E6950"/>
    </row>
    <row r="6951" spans="5:5">
      <c r="E6951"/>
    </row>
    <row r="6952" spans="5:5">
      <c r="E6952"/>
    </row>
    <row r="6953" spans="5:5">
      <c r="E6953"/>
    </row>
    <row r="6954" spans="5:5">
      <c r="E6954"/>
    </row>
    <row r="6955" spans="5:5">
      <c r="E6955"/>
    </row>
    <row r="6956" spans="5:5">
      <c r="E6956"/>
    </row>
    <row r="6957" spans="5:5">
      <c r="E6957"/>
    </row>
    <row r="6958" spans="5:5">
      <c r="E6958"/>
    </row>
    <row r="6959" spans="5:5">
      <c r="E6959"/>
    </row>
    <row r="6960" spans="5:5">
      <c r="E6960"/>
    </row>
    <row r="6961" spans="5:5">
      <c r="E6961"/>
    </row>
    <row r="6962" spans="5:5">
      <c r="E6962"/>
    </row>
    <row r="6963" spans="5:5">
      <c r="E6963"/>
    </row>
    <row r="6964" spans="5:5">
      <c r="E6964"/>
    </row>
    <row r="6965" spans="5:5">
      <c r="E6965"/>
    </row>
    <row r="6966" spans="5:5">
      <c r="E6966"/>
    </row>
    <row r="6967" spans="5:5">
      <c r="E6967"/>
    </row>
    <row r="6968" spans="5:5">
      <c r="E6968"/>
    </row>
    <row r="6969" spans="5:5">
      <c r="E6969"/>
    </row>
    <row r="6970" spans="5:5">
      <c r="E6970"/>
    </row>
    <row r="6971" spans="5:5">
      <c r="E6971"/>
    </row>
    <row r="6972" spans="5:5">
      <c r="E6972"/>
    </row>
    <row r="6973" spans="5:5">
      <c r="E6973"/>
    </row>
    <row r="6974" spans="5:5">
      <c r="E6974"/>
    </row>
    <row r="6975" spans="5:5">
      <c r="E6975"/>
    </row>
    <row r="6976" spans="5:5">
      <c r="E6976"/>
    </row>
    <row r="6977" spans="5:5">
      <c r="E6977"/>
    </row>
    <row r="6978" spans="5:5">
      <c r="E6978"/>
    </row>
    <row r="6979" spans="5:5">
      <c r="E6979"/>
    </row>
    <row r="6980" spans="5:5">
      <c r="E6980"/>
    </row>
    <row r="6981" spans="5:5">
      <c r="E6981"/>
    </row>
    <row r="6982" spans="5:5">
      <c r="E6982"/>
    </row>
    <row r="6983" spans="5:5">
      <c r="E6983"/>
    </row>
    <row r="6984" spans="5:5">
      <c r="E6984"/>
    </row>
    <row r="6985" spans="5:5">
      <c r="E6985"/>
    </row>
    <row r="6986" spans="5:5">
      <c r="E6986"/>
    </row>
    <row r="6987" spans="5:5">
      <c r="E6987"/>
    </row>
    <row r="6988" spans="5:5">
      <c r="E6988"/>
    </row>
    <row r="6989" spans="5:5">
      <c r="E6989"/>
    </row>
    <row r="6990" spans="5:5">
      <c r="E6990"/>
    </row>
    <row r="6991" spans="5:5">
      <c r="E6991"/>
    </row>
    <row r="6992" spans="5:5">
      <c r="E6992"/>
    </row>
    <row r="6993" spans="5:5">
      <c r="E6993"/>
    </row>
    <row r="6994" spans="5:5">
      <c r="E6994"/>
    </row>
    <row r="6995" spans="5:5">
      <c r="E6995"/>
    </row>
    <row r="6996" spans="5:5">
      <c r="E6996"/>
    </row>
    <row r="6997" spans="5:5">
      <c r="E6997"/>
    </row>
    <row r="6998" spans="5:5">
      <c r="E6998"/>
    </row>
    <row r="6999" spans="5:5">
      <c r="E6999"/>
    </row>
    <row r="7000" spans="5:5">
      <c r="E7000"/>
    </row>
    <row r="7001" spans="5:5">
      <c r="E7001"/>
    </row>
    <row r="7002" spans="5:5">
      <c r="E7002"/>
    </row>
    <row r="7003" spans="5:5">
      <c r="E7003"/>
    </row>
    <row r="7004" spans="5:5">
      <c r="E7004"/>
    </row>
    <row r="7005" spans="5:5">
      <c r="E7005"/>
    </row>
    <row r="7006" spans="5:5">
      <c r="E7006"/>
    </row>
    <row r="7007" spans="5:5">
      <c r="E7007"/>
    </row>
    <row r="7008" spans="5:5">
      <c r="E7008"/>
    </row>
    <row r="7009" spans="5:5">
      <c r="E7009"/>
    </row>
    <row r="7010" spans="5:5">
      <c r="E7010"/>
    </row>
    <row r="7011" spans="5:5">
      <c r="E7011"/>
    </row>
    <row r="7012" spans="5:5">
      <c r="E7012"/>
    </row>
    <row r="7013" spans="5:5">
      <c r="E7013"/>
    </row>
    <row r="7014" spans="5:5">
      <c r="E7014"/>
    </row>
    <row r="7015" spans="5:5">
      <c r="E7015"/>
    </row>
    <row r="7016" spans="5:5">
      <c r="E7016"/>
    </row>
    <row r="7017" spans="5:5">
      <c r="E7017"/>
    </row>
    <row r="7018" spans="5:5">
      <c r="E7018"/>
    </row>
    <row r="7019" spans="5:5">
      <c r="E7019"/>
    </row>
    <row r="7020" spans="5:5">
      <c r="E7020"/>
    </row>
    <row r="7021" spans="5:5">
      <c r="E7021"/>
    </row>
    <row r="7022" spans="5:5">
      <c r="E7022"/>
    </row>
    <row r="7023" spans="5:5">
      <c r="E7023"/>
    </row>
    <row r="7024" spans="5:5">
      <c r="E7024"/>
    </row>
    <row r="7025" spans="5:5">
      <c r="E7025"/>
    </row>
    <row r="7026" spans="5:5">
      <c r="E7026"/>
    </row>
    <row r="7027" spans="5:5">
      <c r="E7027"/>
    </row>
    <row r="7028" spans="5:5">
      <c r="E7028"/>
    </row>
    <row r="7029" spans="5:5">
      <c r="E7029"/>
    </row>
    <row r="7030" spans="5:5">
      <c r="E7030"/>
    </row>
    <row r="7031" spans="5:5">
      <c r="E7031"/>
    </row>
    <row r="7032" spans="5:5">
      <c r="E7032"/>
    </row>
    <row r="7033" spans="5:5">
      <c r="E7033"/>
    </row>
    <row r="7034" spans="5:5">
      <c r="E7034"/>
    </row>
    <row r="7035" spans="5:5">
      <c r="E7035"/>
    </row>
    <row r="7036" spans="5:5">
      <c r="E7036"/>
    </row>
    <row r="7037" spans="5:5">
      <c r="E7037"/>
    </row>
    <row r="7038" spans="5:5">
      <c r="E7038"/>
    </row>
    <row r="7039" spans="5:5">
      <c r="E7039"/>
    </row>
    <row r="7040" spans="5:5">
      <c r="E7040"/>
    </row>
    <row r="7041" spans="5:5">
      <c r="E7041"/>
    </row>
    <row r="7042" spans="5:5">
      <c r="E7042"/>
    </row>
    <row r="7043" spans="5:5">
      <c r="E7043"/>
    </row>
    <row r="7044" spans="5:5">
      <c r="E7044"/>
    </row>
    <row r="7045" spans="5:5">
      <c r="E7045"/>
    </row>
    <row r="7046" spans="5:5">
      <c r="E7046"/>
    </row>
    <row r="7047" spans="5:5">
      <c r="E7047"/>
    </row>
    <row r="7048" spans="5:5">
      <c r="E7048"/>
    </row>
    <row r="7049" spans="5:5">
      <c r="E7049"/>
    </row>
    <row r="7050" spans="5:5">
      <c r="E7050"/>
    </row>
    <row r="7051" spans="5:5">
      <c r="E7051"/>
    </row>
    <row r="7052" spans="5:5">
      <c r="E7052"/>
    </row>
    <row r="7053" spans="5:5">
      <c r="E7053"/>
    </row>
    <row r="7054" spans="5:5">
      <c r="E7054"/>
    </row>
    <row r="7055" spans="5:5">
      <c r="E7055"/>
    </row>
    <row r="7056" spans="5:5">
      <c r="E7056"/>
    </row>
    <row r="7057" spans="5:5">
      <c r="E7057"/>
    </row>
    <row r="7058" spans="5:5">
      <c r="E7058"/>
    </row>
    <row r="7059" spans="5:5">
      <c r="E7059"/>
    </row>
    <row r="7060" spans="5:5">
      <c r="E7060"/>
    </row>
    <row r="7061" spans="5:5">
      <c r="E7061"/>
    </row>
    <row r="7062" spans="5:5">
      <c r="E7062"/>
    </row>
    <row r="7063" spans="5:5">
      <c r="E7063"/>
    </row>
    <row r="7064" spans="5:5">
      <c r="E7064"/>
    </row>
    <row r="7065" spans="5:5">
      <c r="E7065"/>
    </row>
    <row r="7066" spans="5:5">
      <c r="E7066"/>
    </row>
    <row r="7067" spans="5:5">
      <c r="E7067"/>
    </row>
    <row r="7068" spans="5:5">
      <c r="E7068"/>
    </row>
    <row r="7069" spans="5:5">
      <c r="E7069"/>
    </row>
    <row r="7070" spans="5:5">
      <c r="E7070"/>
    </row>
    <row r="7071" spans="5:5">
      <c r="E7071"/>
    </row>
    <row r="7072" spans="5:5">
      <c r="E7072"/>
    </row>
    <row r="7073" spans="5:5">
      <c r="E7073"/>
    </row>
    <row r="7074" spans="5:5">
      <c r="E7074"/>
    </row>
    <row r="7075" spans="5:5">
      <c r="E7075"/>
    </row>
    <row r="7076" spans="5:5">
      <c r="E7076"/>
    </row>
    <row r="7077" spans="5:5">
      <c r="E7077"/>
    </row>
    <row r="7078" spans="5:5">
      <c r="E7078"/>
    </row>
    <row r="7079" spans="5:5">
      <c r="E7079"/>
    </row>
    <row r="7080" spans="5:5">
      <c r="E7080"/>
    </row>
    <row r="7081" spans="5:5">
      <c r="E7081"/>
    </row>
    <row r="7082" spans="5:5">
      <c r="E7082"/>
    </row>
    <row r="7083" spans="5:5">
      <c r="E7083"/>
    </row>
    <row r="7084" spans="5:5">
      <c r="E7084"/>
    </row>
    <row r="7085" spans="5:5">
      <c r="E7085"/>
    </row>
    <row r="7086" spans="5:5">
      <c r="E7086"/>
    </row>
    <row r="7087" spans="5:5">
      <c r="E7087"/>
    </row>
    <row r="7088" spans="5:5">
      <c r="E7088"/>
    </row>
    <row r="7089" spans="5:5">
      <c r="E7089"/>
    </row>
    <row r="7090" spans="5:5">
      <c r="E7090"/>
    </row>
    <row r="7091" spans="5:5">
      <c r="E7091"/>
    </row>
    <row r="7092" spans="5:5">
      <c r="E7092"/>
    </row>
    <row r="7093" spans="5:5">
      <c r="E7093"/>
    </row>
    <row r="7094" spans="5:5">
      <c r="E7094"/>
    </row>
    <row r="7095" spans="5:5">
      <c r="E7095"/>
    </row>
    <row r="7096" spans="5:5">
      <c r="E7096"/>
    </row>
    <row r="7097" spans="5:5">
      <c r="E7097"/>
    </row>
    <row r="7098" spans="5:5">
      <c r="E7098"/>
    </row>
    <row r="7099" spans="5:5">
      <c r="E7099"/>
    </row>
    <row r="7100" spans="5:5">
      <c r="E7100"/>
    </row>
    <row r="7101" spans="5:5">
      <c r="E7101"/>
    </row>
    <row r="7102" spans="5:5">
      <c r="E7102"/>
    </row>
    <row r="7103" spans="5:5">
      <c r="E7103"/>
    </row>
    <row r="7104" spans="5:5">
      <c r="E7104"/>
    </row>
    <row r="7105" spans="5:5">
      <c r="E7105"/>
    </row>
    <row r="7106" spans="5:5">
      <c r="E7106"/>
    </row>
    <row r="7107" spans="5:5">
      <c r="E7107"/>
    </row>
    <row r="7108" spans="5:5">
      <c r="E7108"/>
    </row>
    <row r="7109" spans="5:5">
      <c r="E7109"/>
    </row>
    <row r="7110" spans="5:5">
      <c r="E7110"/>
    </row>
    <row r="7111" spans="5:5">
      <c r="E7111"/>
    </row>
    <row r="7112" spans="5:5">
      <c r="E7112"/>
    </row>
    <row r="7113" spans="5:5">
      <c r="E7113"/>
    </row>
    <row r="7114" spans="5:5">
      <c r="E7114"/>
    </row>
    <row r="7115" spans="5:5">
      <c r="E7115"/>
    </row>
    <row r="7116" spans="5:5">
      <c r="E7116"/>
    </row>
    <row r="7117" spans="5:5">
      <c r="E7117"/>
    </row>
    <row r="7118" spans="5:5">
      <c r="E7118"/>
    </row>
    <row r="7119" spans="5:5">
      <c r="E7119"/>
    </row>
    <row r="7120" spans="5:5">
      <c r="E7120"/>
    </row>
    <row r="7121" spans="5:5">
      <c r="E7121"/>
    </row>
    <row r="7122" spans="5:5">
      <c r="E7122"/>
    </row>
    <row r="7123" spans="5:5">
      <c r="E7123"/>
    </row>
    <row r="7124" spans="5:5">
      <c r="E7124"/>
    </row>
    <row r="7125" spans="5:5">
      <c r="E7125"/>
    </row>
    <row r="7126" spans="5:5">
      <c r="E7126"/>
    </row>
    <row r="7127" spans="5:5">
      <c r="E7127"/>
    </row>
    <row r="7128" spans="5:5">
      <c r="E7128"/>
    </row>
    <row r="7129" spans="5:5">
      <c r="E7129"/>
    </row>
    <row r="7130" spans="5:5">
      <c r="E7130"/>
    </row>
    <row r="7131" spans="5:5">
      <c r="E7131"/>
    </row>
    <row r="7132" spans="5:5">
      <c r="E7132"/>
    </row>
    <row r="7133" spans="5:5">
      <c r="E7133"/>
    </row>
    <row r="7134" spans="5:5">
      <c r="E7134"/>
    </row>
    <row r="7135" spans="5:5">
      <c r="E7135"/>
    </row>
    <row r="7136" spans="5:5">
      <c r="E7136"/>
    </row>
    <row r="7137" spans="5:5">
      <c r="E7137"/>
    </row>
    <row r="7138" spans="5:5">
      <c r="E7138"/>
    </row>
    <row r="7139" spans="5:5">
      <c r="E7139"/>
    </row>
    <row r="7140" spans="5:5">
      <c r="E7140"/>
    </row>
    <row r="7141" spans="5:5">
      <c r="E7141"/>
    </row>
    <row r="7142" spans="5:5">
      <c r="E7142"/>
    </row>
    <row r="7143" spans="5:5">
      <c r="E7143"/>
    </row>
    <row r="7144" spans="5:5">
      <c r="E7144"/>
    </row>
    <row r="7145" spans="5:5">
      <c r="E7145"/>
    </row>
    <row r="7146" spans="5:5">
      <c r="E7146"/>
    </row>
    <row r="7147" spans="5:5">
      <c r="E7147"/>
    </row>
    <row r="7148" spans="5:5">
      <c r="E7148"/>
    </row>
    <row r="7149" spans="5:5">
      <c r="E7149"/>
    </row>
    <row r="7150" spans="5:5">
      <c r="E7150"/>
    </row>
    <row r="7151" spans="5:5">
      <c r="E7151"/>
    </row>
    <row r="7152" spans="5:5">
      <c r="E7152"/>
    </row>
    <row r="7153" spans="5:5">
      <c r="E7153"/>
    </row>
    <row r="7154" spans="5:5">
      <c r="E7154"/>
    </row>
    <row r="7155" spans="5:5">
      <c r="E7155"/>
    </row>
    <row r="7156" spans="5:5">
      <c r="E7156"/>
    </row>
    <row r="7157" spans="5:5">
      <c r="E7157"/>
    </row>
    <row r="7158" spans="5:5">
      <c r="E7158"/>
    </row>
    <row r="7159" spans="5:5">
      <c r="E7159"/>
    </row>
    <row r="7160" spans="5:5">
      <c r="E7160"/>
    </row>
    <row r="7161" spans="5:5">
      <c r="E7161"/>
    </row>
    <row r="7162" spans="5:5">
      <c r="E7162"/>
    </row>
    <row r="7163" spans="5:5">
      <c r="E7163"/>
    </row>
    <row r="7164" spans="5:5">
      <c r="E7164"/>
    </row>
    <row r="7165" spans="5:5">
      <c r="E7165"/>
    </row>
    <row r="7166" spans="5:5">
      <c r="E7166"/>
    </row>
    <row r="7167" spans="5:5">
      <c r="E7167"/>
    </row>
    <row r="7168" spans="5:5">
      <c r="E7168"/>
    </row>
    <row r="7169" spans="5:5">
      <c r="E7169"/>
    </row>
    <row r="7170" spans="5:5">
      <c r="E7170"/>
    </row>
    <row r="7171" spans="5:5">
      <c r="E7171"/>
    </row>
    <row r="7172" spans="5:5">
      <c r="E7172"/>
    </row>
    <row r="7173" spans="5:5">
      <c r="E7173"/>
    </row>
    <row r="7174" spans="5:5">
      <c r="E7174"/>
    </row>
    <row r="7175" spans="5:5">
      <c r="E7175"/>
    </row>
    <row r="7176" spans="5:5">
      <c r="E7176"/>
    </row>
    <row r="7177" spans="5:5">
      <c r="E7177"/>
    </row>
    <row r="7178" spans="5:5">
      <c r="E7178"/>
    </row>
    <row r="7179" spans="5:5">
      <c r="E7179"/>
    </row>
    <row r="7180" spans="5:5">
      <c r="E7180"/>
    </row>
    <row r="7181" spans="5:5">
      <c r="E7181"/>
    </row>
    <row r="7182" spans="5:5">
      <c r="E7182"/>
    </row>
    <row r="7183" spans="5:5">
      <c r="E7183"/>
    </row>
    <row r="7184" spans="5:5">
      <c r="E7184"/>
    </row>
    <row r="7185" spans="5:5">
      <c r="E7185"/>
    </row>
    <row r="7186" spans="5:5">
      <c r="E7186"/>
    </row>
    <row r="7187" spans="5:5">
      <c r="E7187"/>
    </row>
    <row r="7188" spans="5:5">
      <c r="E7188"/>
    </row>
    <row r="7189" spans="5:5">
      <c r="E7189"/>
    </row>
    <row r="7190" spans="5:5">
      <c r="E7190"/>
    </row>
    <row r="7191" spans="5:5">
      <c r="E7191"/>
    </row>
    <row r="7192" spans="5:5">
      <c r="E7192"/>
    </row>
    <row r="7193" spans="5:5">
      <c r="E7193"/>
    </row>
    <row r="7194" spans="5:5">
      <c r="E7194"/>
    </row>
    <row r="7195" spans="5:5">
      <c r="E7195"/>
    </row>
    <row r="7196" spans="5:5">
      <c r="E7196"/>
    </row>
    <row r="7197" spans="5:5">
      <c r="E7197"/>
    </row>
    <row r="7198" spans="5:5">
      <c r="E7198"/>
    </row>
    <row r="7199" spans="5:5">
      <c r="E7199"/>
    </row>
    <row r="7200" spans="5:5">
      <c r="E7200"/>
    </row>
    <row r="7201" spans="5:5">
      <c r="E7201"/>
    </row>
    <row r="7202" spans="5:5">
      <c r="E7202"/>
    </row>
    <row r="7203" spans="5:5">
      <c r="E7203"/>
    </row>
    <row r="7204" spans="5:5">
      <c r="E7204"/>
    </row>
    <row r="7205" spans="5:5">
      <c r="E7205"/>
    </row>
    <row r="7206" spans="5:5">
      <c r="E7206"/>
    </row>
    <row r="7207" spans="5:5">
      <c r="E7207"/>
    </row>
    <row r="7208" spans="5:5">
      <c r="E7208"/>
    </row>
    <row r="7209" spans="5:5">
      <c r="E7209"/>
    </row>
    <row r="7210" spans="5:5">
      <c r="E7210"/>
    </row>
    <row r="7211" spans="5:5">
      <c r="E7211"/>
    </row>
    <row r="7212" spans="5:5">
      <c r="E7212"/>
    </row>
    <row r="7213" spans="5:5">
      <c r="E7213"/>
    </row>
    <row r="7214" spans="5:5">
      <c r="E7214"/>
    </row>
    <row r="7215" spans="5:5">
      <c r="E7215"/>
    </row>
    <row r="7216" spans="5:5">
      <c r="E7216"/>
    </row>
    <row r="7217" spans="5:5">
      <c r="E7217"/>
    </row>
    <row r="7218" spans="5:5">
      <c r="E7218"/>
    </row>
    <row r="7219" spans="5:5">
      <c r="E7219"/>
    </row>
    <row r="7220" spans="5:5">
      <c r="E7220"/>
    </row>
    <row r="7221" spans="5:5">
      <c r="E7221"/>
    </row>
    <row r="7222" spans="5:5">
      <c r="E7222"/>
    </row>
    <row r="7223" spans="5:5">
      <c r="E7223"/>
    </row>
    <row r="7224" spans="5:5">
      <c r="E7224"/>
    </row>
    <row r="7225" spans="5:5">
      <c r="E7225"/>
    </row>
    <row r="7226" spans="5:5">
      <c r="E7226"/>
    </row>
    <row r="7227" spans="5:5">
      <c r="E7227"/>
    </row>
    <row r="7228" spans="5:5">
      <c r="E7228"/>
    </row>
    <row r="7229" spans="5:5">
      <c r="E7229"/>
    </row>
    <row r="7230" spans="5:5">
      <c r="E7230"/>
    </row>
    <row r="7231" spans="5:5">
      <c r="E7231"/>
    </row>
    <row r="7232" spans="5:5">
      <c r="E7232"/>
    </row>
    <row r="7233" spans="5:5">
      <c r="E7233"/>
    </row>
    <row r="7234" spans="5:5">
      <c r="E7234"/>
    </row>
    <row r="7235" spans="5:5">
      <c r="E7235"/>
    </row>
    <row r="7236" spans="5:5">
      <c r="E7236"/>
    </row>
    <row r="7237" spans="5:5">
      <c r="E7237"/>
    </row>
    <row r="7238" spans="5:5">
      <c r="E7238"/>
    </row>
    <row r="7239" spans="5:5">
      <c r="E7239"/>
    </row>
    <row r="7240" spans="5:5">
      <c r="E7240"/>
    </row>
    <row r="7241" spans="5:5">
      <c r="E7241"/>
    </row>
    <row r="7242" spans="5:5">
      <c r="E7242"/>
    </row>
    <row r="7243" spans="5:5">
      <c r="E7243"/>
    </row>
    <row r="7244" spans="5:5">
      <c r="E7244"/>
    </row>
    <row r="7245" spans="5:5">
      <c r="E7245"/>
    </row>
    <row r="7246" spans="5:5">
      <c r="E7246"/>
    </row>
    <row r="7247" spans="5:5">
      <c r="E7247"/>
    </row>
    <row r="7248" spans="5:5">
      <c r="E7248"/>
    </row>
    <row r="7249" spans="5:5">
      <c r="E7249"/>
    </row>
    <row r="7250" spans="5:5">
      <c r="E7250"/>
    </row>
    <row r="7251" spans="5:5">
      <c r="E7251"/>
    </row>
    <row r="7252" spans="5:5">
      <c r="E7252"/>
    </row>
    <row r="7253" spans="5:5">
      <c r="E7253"/>
    </row>
    <row r="7254" spans="5:5">
      <c r="E7254"/>
    </row>
    <row r="7255" spans="5:5">
      <c r="E7255"/>
    </row>
    <row r="7256" spans="5:5">
      <c r="E7256"/>
    </row>
    <row r="7257" spans="5:5">
      <c r="E7257"/>
    </row>
    <row r="7258" spans="5:5">
      <c r="E7258"/>
    </row>
    <row r="7259" spans="5:5">
      <c r="E7259"/>
    </row>
    <row r="7260" spans="5:5">
      <c r="E7260"/>
    </row>
    <row r="7261" spans="5:5">
      <c r="E7261"/>
    </row>
    <row r="7262" spans="5:5">
      <c r="E7262"/>
    </row>
    <row r="7263" spans="5:5">
      <c r="E7263"/>
    </row>
    <row r="7264" spans="5:5">
      <c r="E7264"/>
    </row>
    <row r="7265" spans="5:5">
      <c r="E7265"/>
    </row>
    <row r="7266" spans="5:5">
      <c r="E7266"/>
    </row>
    <row r="7267" spans="5:5">
      <c r="E7267"/>
    </row>
    <row r="7268" spans="5:5">
      <c r="E7268"/>
    </row>
    <row r="7269" spans="5:5">
      <c r="E7269"/>
    </row>
    <row r="7270" spans="5:5">
      <c r="E7270"/>
    </row>
    <row r="7271" spans="5:5">
      <c r="E7271"/>
    </row>
    <row r="7272" spans="5:5">
      <c r="E7272"/>
    </row>
    <row r="7273" spans="5:5">
      <c r="E7273"/>
    </row>
    <row r="7274" spans="5:5">
      <c r="E7274"/>
    </row>
    <row r="7275" spans="5:5">
      <c r="E7275"/>
    </row>
    <row r="7276" spans="5:5">
      <c r="E7276"/>
    </row>
    <row r="7277" spans="5:5">
      <c r="E7277"/>
    </row>
    <row r="7278" spans="5:5">
      <c r="E7278"/>
    </row>
    <row r="7279" spans="5:5">
      <c r="E7279"/>
    </row>
    <row r="7280" spans="5:5">
      <c r="E7280"/>
    </row>
    <row r="7281" spans="5:5">
      <c r="E7281"/>
    </row>
    <row r="7282" spans="5:5">
      <c r="E7282"/>
    </row>
    <row r="7283" spans="5:5">
      <c r="E7283"/>
    </row>
    <row r="7284" spans="5:5">
      <c r="E7284"/>
    </row>
    <row r="7285" spans="5:5">
      <c r="E7285"/>
    </row>
    <row r="7286" spans="5:5">
      <c r="E7286"/>
    </row>
    <row r="7287" spans="5:5">
      <c r="E7287"/>
    </row>
    <row r="7288" spans="5:5">
      <c r="E7288"/>
    </row>
    <row r="7289" spans="5:5">
      <c r="E7289"/>
    </row>
    <row r="7290" spans="5:5">
      <c r="E7290"/>
    </row>
    <row r="7291" spans="5:5">
      <c r="E7291"/>
    </row>
    <row r="7292" spans="5:5">
      <c r="E7292"/>
    </row>
    <row r="7293" spans="5:5">
      <c r="E7293"/>
    </row>
    <row r="7294" spans="5:5">
      <c r="E7294"/>
    </row>
    <row r="7295" spans="5:5">
      <c r="E7295"/>
    </row>
    <row r="7296" spans="5:5">
      <c r="E7296"/>
    </row>
    <row r="7297" spans="5:5">
      <c r="E7297"/>
    </row>
    <row r="7298" spans="5:5">
      <c r="E7298"/>
    </row>
    <row r="7299" spans="5:5">
      <c r="E7299"/>
    </row>
    <row r="7300" spans="5:5">
      <c r="E7300"/>
    </row>
    <row r="7301" spans="5:5">
      <c r="E7301"/>
    </row>
    <row r="7302" spans="5:5">
      <c r="E7302"/>
    </row>
    <row r="7303" spans="5:5">
      <c r="E7303"/>
    </row>
    <row r="7304" spans="5:5">
      <c r="E7304"/>
    </row>
    <row r="7305" spans="5:5">
      <c r="E7305"/>
    </row>
    <row r="7306" spans="5:5">
      <c r="E7306"/>
    </row>
    <row r="7307" spans="5:5">
      <c r="E7307"/>
    </row>
    <row r="7308" spans="5:5">
      <c r="E7308"/>
    </row>
    <row r="7309" spans="5:5">
      <c r="E7309"/>
    </row>
    <row r="7310" spans="5:5">
      <c r="E7310"/>
    </row>
    <row r="7311" spans="5:5">
      <c r="E7311"/>
    </row>
    <row r="7312" spans="5:5">
      <c r="E7312"/>
    </row>
    <row r="7313" spans="5:5">
      <c r="E7313"/>
    </row>
    <row r="7314" spans="5:5">
      <c r="E7314"/>
    </row>
    <row r="7315" spans="5:5">
      <c r="E7315"/>
    </row>
    <row r="7316" spans="5:5">
      <c r="E7316"/>
    </row>
    <row r="7317" spans="5:5">
      <c r="E7317"/>
    </row>
    <row r="7318" spans="5:5">
      <c r="E7318"/>
    </row>
    <row r="7319" spans="5:5">
      <c r="E7319"/>
    </row>
    <row r="7320" spans="5:5">
      <c r="E7320"/>
    </row>
    <row r="7321" spans="5:5">
      <c r="E7321"/>
    </row>
    <row r="7322" spans="5:5">
      <c r="E7322"/>
    </row>
    <row r="7323" spans="5:5">
      <c r="E7323"/>
    </row>
    <row r="7324" spans="5:5">
      <c r="E7324"/>
    </row>
    <row r="7325" spans="5:5">
      <c r="E7325"/>
    </row>
    <row r="7326" spans="5:5">
      <c r="E7326"/>
    </row>
    <row r="7327" spans="5:5">
      <c r="E7327"/>
    </row>
    <row r="7328" spans="5:5">
      <c r="E7328"/>
    </row>
    <row r="7329" spans="5:5">
      <c r="E7329"/>
    </row>
    <row r="7330" spans="5:5">
      <c r="E7330"/>
    </row>
    <row r="7331" spans="5:5">
      <c r="E7331"/>
    </row>
    <row r="7332" spans="5:5">
      <c r="E7332"/>
    </row>
    <row r="7333" spans="5:5">
      <c r="E7333"/>
    </row>
    <row r="7334" spans="5:5">
      <c r="E7334"/>
    </row>
    <row r="7335" spans="5:5">
      <c r="E7335"/>
    </row>
    <row r="7336" spans="5:5">
      <c r="E7336"/>
    </row>
    <row r="7337" spans="5:5">
      <c r="E7337"/>
    </row>
    <row r="7338" spans="5:5">
      <c r="E7338"/>
    </row>
    <row r="7339" spans="5:5">
      <c r="E7339"/>
    </row>
    <row r="7340" spans="5:5">
      <c r="E7340"/>
    </row>
    <row r="7341" spans="5:5">
      <c r="E7341"/>
    </row>
    <row r="7342" spans="5:5">
      <c r="E7342"/>
    </row>
    <row r="7343" spans="5:5">
      <c r="E7343"/>
    </row>
    <row r="7344" spans="5:5">
      <c r="E7344"/>
    </row>
    <row r="7345" spans="5:5">
      <c r="E7345"/>
    </row>
    <row r="7346" spans="5:5">
      <c r="E7346"/>
    </row>
    <row r="7347" spans="5:5">
      <c r="E7347"/>
    </row>
    <row r="7348" spans="5:5">
      <c r="E7348"/>
    </row>
    <row r="7349" spans="5:5">
      <c r="E7349"/>
    </row>
    <row r="7350" spans="5:5">
      <c r="E7350"/>
    </row>
    <row r="7351" spans="5:5">
      <c r="E7351"/>
    </row>
    <row r="7352" spans="5:5">
      <c r="E7352"/>
    </row>
    <row r="7353" spans="5:5">
      <c r="E7353"/>
    </row>
    <row r="7354" spans="5:5">
      <c r="E7354"/>
    </row>
    <row r="7355" spans="5:5">
      <c r="E7355"/>
    </row>
    <row r="7356" spans="5:5">
      <c r="E7356"/>
    </row>
    <row r="7357" spans="5:5">
      <c r="E7357"/>
    </row>
    <row r="7358" spans="5:5">
      <c r="E7358"/>
    </row>
    <row r="7359" spans="5:5">
      <c r="E7359"/>
    </row>
    <row r="7360" spans="5:5">
      <c r="E7360"/>
    </row>
    <row r="7361" spans="5:5">
      <c r="E7361"/>
    </row>
    <row r="7362" spans="5:5">
      <c r="E7362"/>
    </row>
    <row r="7363" spans="5:5">
      <c r="E7363"/>
    </row>
    <row r="7364" spans="5:5">
      <c r="E7364"/>
    </row>
    <row r="7365" spans="5:5">
      <c r="E7365"/>
    </row>
    <row r="7366" spans="5:5">
      <c r="E7366"/>
    </row>
    <row r="7367" spans="5:5">
      <c r="E7367"/>
    </row>
    <row r="7368" spans="5:5">
      <c r="E7368"/>
    </row>
    <row r="7369" spans="5:5">
      <c r="E7369"/>
    </row>
    <row r="7370" spans="5:5">
      <c r="E7370"/>
    </row>
    <row r="7371" spans="5:5">
      <c r="E7371"/>
    </row>
    <row r="7372" spans="5:5">
      <c r="E7372"/>
    </row>
    <row r="7373" spans="5:5">
      <c r="E7373"/>
    </row>
    <row r="7374" spans="5:5">
      <c r="E7374"/>
    </row>
    <row r="7375" spans="5:5">
      <c r="E7375"/>
    </row>
    <row r="7376" spans="5:5">
      <c r="E7376"/>
    </row>
    <row r="7377" spans="5:5">
      <c r="E7377"/>
    </row>
    <row r="7378" spans="5:5">
      <c r="E7378"/>
    </row>
    <row r="7379" spans="5:5">
      <c r="E7379"/>
    </row>
    <row r="7380" spans="5:5">
      <c r="E7380"/>
    </row>
    <row r="7381" spans="5:5">
      <c r="E7381"/>
    </row>
    <row r="7382" spans="5:5">
      <c r="E7382"/>
    </row>
    <row r="7383" spans="5:5">
      <c r="E7383"/>
    </row>
    <row r="7384" spans="5:5">
      <c r="E7384"/>
    </row>
    <row r="7385" spans="5:5">
      <c r="E7385"/>
    </row>
    <row r="7386" spans="5:5">
      <c r="E7386"/>
    </row>
    <row r="7387" spans="5:5">
      <c r="E7387"/>
    </row>
    <row r="7388" spans="5:5">
      <c r="E7388"/>
    </row>
    <row r="7389" spans="5:5">
      <c r="E7389"/>
    </row>
    <row r="7390" spans="5:5">
      <c r="E7390"/>
    </row>
    <row r="7391" spans="5:5">
      <c r="E7391"/>
    </row>
    <row r="7392" spans="5:5">
      <c r="E7392"/>
    </row>
    <row r="7393" spans="5:5">
      <c r="E7393"/>
    </row>
    <row r="7394" spans="5:5">
      <c r="E7394"/>
    </row>
    <row r="7395" spans="5:5">
      <c r="E7395"/>
    </row>
    <row r="7396" spans="5:5">
      <c r="E7396"/>
    </row>
    <row r="7397" spans="5:5">
      <c r="E7397"/>
    </row>
    <row r="7398" spans="5:5">
      <c r="E7398"/>
    </row>
    <row r="7399" spans="5:5">
      <c r="E7399"/>
    </row>
    <row r="7400" spans="5:5">
      <c r="E7400"/>
    </row>
    <row r="7401" spans="5:5">
      <c r="E7401"/>
    </row>
    <row r="7402" spans="5:5">
      <c r="E7402"/>
    </row>
    <row r="7403" spans="5:5">
      <c r="E7403"/>
    </row>
    <row r="7404" spans="5:5">
      <c r="E7404"/>
    </row>
    <row r="7405" spans="5:5">
      <c r="E7405"/>
    </row>
    <row r="7406" spans="5:5">
      <c r="E7406"/>
    </row>
    <row r="7407" spans="5:5">
      <c r="E7407"/>
    </row>
    <row r="7408" spans="5:5">
      <c r="E7408"/>
    </row>
    <row r="7409" spans="5:5">
      <c r="E7409"/>
    </row>
    <row r="7410" spans="5:5">
      <c r="E7410"/>
    </row>
    <row r="7411" spans="5:5">
      <c r="E7411"/>
    </row>
    <row r="7412" spans="5:5">
      <c r="E7412"/>
    </row>
    <row r="7413" spans="5:5">
      <c r="E7413"/>
    </row>
    <row r="7414" spans="5:5">
      <c r="E7414"/>
    </row>
    <row r="7415" spans="5:5">
      <c r="E7415"/>
    </row>
    <row r="7416" spans="5:5">
      <c r="E7416"/>
    </row>
    <row r="7417" spans="5:5">
      <c r="E7417"/>
    </row>
    <row r="7418" spans="5:5">
      <c r="E7418"/>
    </row>
    <row r="7419" spans="5:5">
      <c r="E7419"/>
    </row>
    <row r="7420" spans="5:5">
      <c r="E7420"/>
    </row>
    <row r="7421" spans="5:5">
      <c r="E7421"/>
    </row>
    <row r="7422" spans="5:5">
      <c r="E7422"/>
    </row>
    <row r="7423" spans="5:5">
      <c r="E7423"/>
    </row>
    <row r="7424" spans="5:5">
      <c r="E7424"/>
    </row>
    <row r="7425" spans="5:5">
      <c r="E7425"/>
    </row>
    <row r="7426" spans="5:5">
      <c r="E7426"/>
    </row>
    <row r="7427" spans="5:5">
      <c r="E7427"/>
    </row>
    <row r="7428" spans="5:5">
      <c r="E7428"/>
    </row>
    <row r="7429" spans="5:5">
      <c r="E7429"/>
    </row>
    <row r="7430" spans="5:5">
      <c r="E7430"/>
    </row>
    <row r="7431" spans="5:5">
      <c r="E7431"/>
    </row>
    <row r="7432" spans="5:5">
      <c r="E7432"/>
    </row>
    <row r="7433" spans="5:5">
      <c r="E7433"/>
    </row>
    <row r="7434" spans="5:5">
      <c r="E7434"/>
    </row>
    <row r="7435" spans="5:5">
      <c r="E7435"/>
    </row>
    <row r="7436" spans="5:5">
      <c r="E7436"/>
    </row>
    <row r="7437" spans="5:5">
      <c r="E7437"/>
    </row>
    <row r="7438" spans="5:5">
      <c r="E7438"/>
    </row>
    <row r="7439" spans="5:5">
      <c r="E7439"/>
    </row>
    <row r="7440" spans="5:5">
      <c r="E7440"/>
    </row>
    <row r="7441" spans="5:5">
      <c r="E7441"/>
    </row>
    <row r="7442" spans="5:5">
      <c r="E7442"/>
    </row>
    <row r="7443" spans="5:5">
      <c r="E7443"/>
    </row>
    <row r="7444" spans="5:5">
      <c r="E7444"/>
    </row>
    <row r="7445" spans="5:5">
      <c r="E7445"/>
    </row>
    <row r="7446" spans="5:5">
      <c r="E7446"/>
    </row>
    <row r="7447" spans="5:5">
      <c r="E7447"/>
    </row>
    <row r="7448" spans="5:5">
      <c r="E7448"/>
    </row>
    <row r="7449" spans="5:5">
      <c r="E7449"/>
    </row>
    <row r="7450" spans="5:5">
      <c r="E7450"/>
    </row>
    <row r="7451" spans="5:5">
      <c r="E7451"/>
    </row>
    <row r="7452" spans="5:5">
      <c r="E7452"/>
    </row>
    <row r="7453" spans="5:5">
      <c r="E7453"/>
    </row>
    <row r="7454" spans="5:5">
      <c r="E7454"/>
    </row>
    <row r="7455" spans="5:5">
      <c r="E7455"/>
    </row>
    <row r="7456" spans="5:5">
      <c r="E7456"/>
    </row>
    <row r="7457" spans="5:5">
      <c r="E7457"/>
    </row>
    <row r="7458" spans="5:5">
      <c r="E7458"/>
    </row>
    <row r="7459" spans="5:5">
      <c r="E7459"/>
    </row>
    <row r="7460" spans="5:5">
      <c r="E7460"/>
    </row>
    <row r="7461" spans="5:5">
      <c r="E7461"/>
    </row>
    <row r="7462" spans="5:5">
      <c r="E7462"/>
    </row>
    <row r="7463" spans="5:5">
      <c r="E7463"/>
    </row>
    <row r="7464" spans="5:5">
      <c r="E7464"/>
    </row>
    <row r="7465" spans="5:5">
      <c r="E7465"/>
    </row>
    <row r="7466" spans="5:5">
      <c r="E7466"/>
    </row>
    <row r="7467" spans="5:5">
      <c r="E7467"/>
    </row>
    <row r="7468" spans="5:5">
      <c r="E7468"/>
    </row>
    <row r="7469" spans="5:5">
      <c r="E7469"/>
    </row>
    <row r="7470" spans="5:5">
      <c r="E7470"/>
    </row>
    <row r="7471" spans="5:5">
      <c r="E7471"/>
    </row>
    <row r="7472" spans="5:5">
      <c r="E7472"/>
    </row>
    <row r="7473" spans="5:5">
      <c r="E7473"/>
    </row>
    <row r="7474" spans="5:5">
      <c r="E7474"/>
    </row>
    <row r="7475" spans="5:5">
      <c r="E7475"/>
    </row>
    <row r="7476" spans="5:5">
      <c r="E7476"/>
    </row>
    <row r="7477" spans="5:5">
      <c r="E7477"/>
    </row>
    <row r="7478" spans="5:5">
      <c r="E7478"/>
    </row>
    <row r="7479" spans="5:5">
      <c r="E7479"/>
    </row>
    <row r="7480" spans="5:5">
      <c r="E7480"/>
    </row>
    <row r="7481" spans="5:5">
      <c r="E7481"/>
    </row>
    <row r="7482" spans="5:5">
      <c r="E7482"/>
    </row>
    <row r="7483" spans="5:5">
      <c r="E7483"/>
    </row>
    <row r="7484" spans="5:5">
      <c r="E7484"/>
    </row>
    <row r="7485" spans="5:5">
      <c r="E7485"/>
    </row>
    <row r="7486" spans="5:5">
      <c r="E7486"/>
    </row>
    <row r="7487" spans="5:5">
      <c r="E7487"/>
    </row>
    <row r="7488" spans="5:5">
      <c r="E7488"/>
    </row>
    <row r="7489" spans="5:5">
      <c r="E7489"/>
    </row>
    <row r="7490" spans="5:5">
      <c r="E7490"/>
    </row>
    <row r="7491" spans="5:5">
      <c r="E7491"/>
    </row>
    <row r="7492" spans="5:5">
      <c r="E7492"/>
    </row>
    <row r="7493" spans="5:5">
      <c r="E7493"/>
    </row>
    <row r="7494" spans="5:5">
      <c r="E7494"/>
    </row>
    <row r="7495" spans="5:5">
      <c r="E7495"/>
    </row>
    <row r="7496" spans="5:5">
      <c r="E7496"/>
    </row>
    <row r="7497" spans="5:5">
      <c r="E7497"/>
    </row>
    <row r="7498" spans="5:5">
      <c r="E7498"/>
    </row>
    <row r="7499" spans="5:5">
      <c r="E7499"/>
    </row>
    <row r="7500" spans="5:5">
      <c r="E7500"/>
    </row>
    <row r="7501" spans="5:5">
      <c r="E7501"/>
    </row>
    <row r="7502" spans="5:5">
      <c r="E7502"/>
    </row>
    <row r="7503" spans="5:5">
      <c r="E7503"/>
    </row>
    <row r="7504" spans="5:5">
      <c r="E7504"/>
    </row>
    <row r="7505" spans="5:5">
      <c r="E7505"/>
    </row>
    <row r="7506" spans="5:5">
      <c r="E7506"/>
    </row>
    <row r="7507" spans="5:5">
      <c r="E7507"/>
    </row>
    <row r="7508" spans="5:5">
      <c r="E7508"/>
    </row>
    <row r="7509" spans="5:5">
      <c r="E7509"/>
    </row>
    <row r="7510" spans="5:5">
      <c r="E7510"/>
    </row>
    <row r="7511" spans="5:5">
      <c r="E7511"/>
    </row>
    <row r="7512" spans="5:5">
      <c r="E7512"/>
    </row>
    <row r="7513" spans="5:5">
      <c r="E7513"/>
    </row>
    <row r="7514" spans="5:5">
      <c r="E7514"/>
    </row>
    <row r="7515" spans="5:5">
      <c r="E7515"/>
    </row>
    <row r="7516" spans="5:5">
      <c r="E7516"/>
    </row>
    <row r="7517" spans="5:5">
      <c r="E7517"/>
    </row>
    <row r="7518" spans="5:5">
      <c r="E7518"/>
    </row>
    <row r="7519" spans="5:5">
      <c r="E7519"/>
    </row>
    <row r="7520" spans="5:5">
      <c r="E7520"/>
    </row>
    <row r="7521" spans="5:5">
      <c r="E7521"/>
    </row>
    <row r="7522" spans="5:5">
      <c r="E7522"/>
    </row>
    <row r="7523" spans="5:5">
      <c r="E7523"/>
    </row>
    <row r="7524" spans="5:5">
      <c r="E7524"/>
    </row>
    <row r="7525" spans="5:5">
      <c r="E7525"/>
    </row>
    <row r="7526" spans="5:5">
      <c r="E7526"/>
    </row>
    <row r="7527" spans="5:5">
      <c r="E7527"/>
    </row>
    <row r="7528" spans="5:5">
      <c r="E7528"/>
    </row>
    <row r="7529" spans="5:5">
      <c r="E7529"/>
    </row>
    <row r="7530" spans="5:5">
      <c r="E7530"/>
    </row>
    <row r="7531" spans="5:5">
      <c r="E7531"/>
    </row>
    <row r="7532" spans="5:5">
      <c r="E7532"/>
    </row>
    <row r="7533" spans="5:5">
      <c r="E7533"/>
    </row>
    <row r="7534" spans="5:5">
      <c r="E7534"/>
    </row>
    <row r="7535" spans="5:5">
      <c r="E7535"/>
    </row>
    <row r="7536" spans="5:5">
      <c r="E7536"/>
    </row>
    <row r="7537" spans="5:5">
      <c r="E7537"/>
    </row>
    <row r="7538" spans="5:5">
      <c r="E7538"/>
    </row>
    <row r="7539" spans="5:5">
      <c r="E7539"/>
    </row>
    <row r="7540" spans="5:5">
      <c r="E7540"/>
    </row>
    <row r="7541" spans="5:5">
      <c r="E7541"/>
    </row>
    <row r="7542" spans="5:5">
      <c r="E7542"/>
    </row>
    <row r="7543" spans="5:5">
      <c r="E7543"/>
    </row>
    <row r="7544" spans="5:5">
      <c r="E7544"/>
    </row>
    <row r="7545" spans="5:5">
      <c r="E7545"/>
    </row>
    <row r="7546" spans="5:5">
      <c r="E7546"/>
    </row>
    <row r="7547" spans="5:5">
      <c r="E7547"/>
    </row>
    <row r="7548" spans="5:5">
      <c r="E7548"/>
    </row>
    <row r="7549" spans="5:5">
      <c r="E7549"/>
    </row>
    <row r="7550" spans="5:5">
      <c r="E7550"/>
    </row>
    <row r="7551" spans="5:5">
      <c r="E7551"/>
    </row>
    <row r="7552" spans="5:5">
      <c r="E7552"/>
    </row>
    <row r="7553" spans="5:5">
      <c r="E7553"/>
    </row>
    <row r="7554" spans="5:5">
      <c r="E7554"/>
    </row>
    <row r="7555" spans="5:5">
      <c r="E7555"/>
    </row>
    <row r="7556" spans="5:5">
      <c r="E7556"/>
    </row>
    <row r="7557" spans="5:5">
      <c r="E7557"/>
    </row>
    <row r="7558" spans="5:5">
      <c r="E7558"/>
    </row>
    <row r="7559" spans="5:5">
      <c r="E7559"/>
    </row>
    <row r="7560" spans="5:5">
      <c r="E7560"/>
    </row>
    <row r="7561" spans="5:5">
      <c r="E7561"/>
    </row>
    <row r="7562" spans="5:5">
      <c r="E7562"/>
    </row>
    <row r="7563" spans="5:5">
      <c r="E7563"/>
    </row>
    <row r="7564" spans="5:5">
      <c r="E7564"/>
    </row>
    <row r="7565" spans="5:5">
      <c r="E7565"/>
    </row>
    <row r="7566" spans="5:5">
      <c r="E7566"/>
    </row>
    <row r="7567" spans="5:5">
      <c r="E7567"/>
    </row>
    <row r="7568" spans="5:5">
      <c r="E7568"/>
    </row>
    <row r="7569" spans="5:5">
      <c r="E7569"/>
    </row>
    <row r="7570" spans="5:5">
      <c r="E7570"/>
    </row>
    <row r="7571" spans="5:5">
      <c r="E7571"/>
    </row>
    <row r="7572" spans="5:5">
      <c r="E7572"/>
    </row>
    <row r="7573" spans="5:5">
      <c r="E7573"/>
    </row>
    <row r="7574" spans="5:5">
      <c r="E7574"/>
    </row>
    <row r="7575" spans="5:5">
      <c r="E7575"/>
    </row>
    <row r="7576" spans="5:5">
      <c r="E7576"/>
    </row>
    <row r="7577" spans="5:5">
      <c r="E7577"/>
    </row>
    <row r="7578" spans="5:5">
      <c r="E7578"/>
    </row>
    <row r="7579" spans="5:5">
      <c r="E7579"/>
    </row>
    <row r="7580" spans="5:5">
      <c r="E7580"/>
    </row>
    <row r="7581" spans="5:5">
      <c r="E7581"/>
    </row>
    <row r="7582" spans="5:5">
      <c r="E7582"/>
    </row>
    <row r="7583" spans="5:5">
      <c r="E7583"/>
    </row>
    <row r="7584" spans="5:5">
      <c r="E7584"/>
    </row>
    <row r="7585" spans="5:5">
      <c r="E7585"/>
    </row>
    <row r="7586" spans="5:5">
      <c r="E7586"/>
    </row>
    <row r="7587" spans="5:5">
      <c r="E7587"/>
    </row>
    <row r="7588" spans="5:5">
      <c r="E7588"/>
    </row>
    <row r="7589" spans="5:5">
      <c r="E7589"/>
    </row>
    <row r="7590" spans="5:5">
      <c r="E7590"/>
    </row>
    <row r="7591" spans="5:5">
      <c r="E7591"/>
    </row>
    <row r="7592" spans="5:5">
      <c r="E7592"/>
    </row>
    <row r="7593" spans="5:5">
      <c r="E7593"/>
    </row>
    <row r="7594" spans="5:5">
      <c r="E7594"/>
    </row>
    <row r="7595" spans="5:5">
      <c r="E7595"/>
    </row>
    <row r="7596" spans="5:5">
      <c r="E7596"/>
    </row>
    <row r="7597" spans="5:5">
      <c r="E7597"/>
    </row>
    <row r="7598" spans="5:5">
      <c r="E7598"/>
    </row>
    <row r="7599" spans="5:5">
      <c r="E7599"/>
    </row>
    <row r="7600" spans="5:5">
      <c r="E7600"/>
    </row>
    <row r="7601" spans="5:5">
      <c r="E7601"/>
    </row>
    <row r="7602" spans="5:5">
      <c r="E7602"/>
    </row>
    <row r="7603" spans="5:5">
      <c r="E7603"/>
    </row>
    <row r="7604" spans="5:5">
      <c r="E7604"/>
    </row>
    <row r="7605" spans="5:5">
      <c r="E7605"/>
    </row>
    <row r="7606" spans="5:5">
      <c r="E7606"/>
    </row>
    <row r="7607" spans="5:5">
      <c r="E7607"/>
    </row>
    <row r="7608" spans="5:5">
      <c r="E7608"/>
    </row>
    <row r="7609" spans="5:5">
      <c r="E7609"/>
    </row>
    <row r="7610" spans="5:5">
      <c r="E7610"/>
    </row>
    <row r="7611" spans="5:5">
      <c r="E7611"/>
    </row>
    <row r="7612" spans="5:5">
      <c r="E7612"/>
    </row>
    <row r="7613" spans="5:5">
      <c r="E7613"/>
    </row>
    <row r="7614" spans="5:5">
      <c r="E7614"/>
    </row>
    <row r="7615" spans="5:5">
      <c r="E7615"/>
    </row>
    <row r="7616" spans="5:5">
      <c r="E7616"/>
    </row>
    <row r="7617" spans="5:5">
      <c r="E7617"/>
    </row>
    <row r="7618" spans="5:5">
      <c r="E7618"/>
    </row>
    <row r="7619" spans="5:5">
      <c r="E7619"/>
    </row>
    <row r="7620" spans="5:5">
      <c r="E7620"/>
    </row>
    <row r="7621" spans="5:5">
      <c r="E7621"/>
    </row>
    <row r="7622" spans="5:5">
      <c r="E7622"/>
    </row>
    <row r="7623" spans="5:5">
      <c r="E7623"/>
    </row>
    <row r="7624" spans="5:5">
      <c r="E7624"/>
    </row>
    <row r="7625" spans="5:5">
      <c r="E7625"/>
    </row>
    <row r="7626" spans="5:5">
      <c r="E7626"/>
    </row>
    <row r="7627" spans="5:5">
      <c r="E7627"/>
    </row>
    <row r="7628" spans="5:5">
      <c r="E7628"/>
    </row>
    <row r="7629" spans="5:5">
      <c r="E7629"/>
    </row>
    <row r="7630" spans="5:5">
      <c r="E7630"/>
    </row>
    <row r="7631" spans="5:5">
      <c r="E7631"/>
    </row>
    <row r="7632" spans="5:5">
      <c r="E7632"/>
    </row>
    <row r="7633" spans="5:5">
      <c r="E7633"/>
    </row>
    <row r="7634" spans="5:5">
      <c r="E7634"/>
    </row>
    <row r="7635" spans="5:5">
      <c r="E7635"/>
    </row>
    <row r="7636" spans="5:5">
      <c r="E7636"/>
    </row>
    <row r="7637" spans="5:5">
      <c r="E7637"/>
    </row>
    <row r="7638" spans="5:5">
      <c r="E7638"/>
    </row>
    <row r="7639" spans="5:5">
      <c r="E7639"/>
    </row>
    <row r="7640" spans="5:5">
      <c r="E7640"/>
    </row>
    <row r="7641" spans="5:5">
      <c r="E7641"/>
    </row>
    <row r="7642" spans="5:5">
      <c r="E7642"/>
    </row>
    <row r="7643" spans="5:5">
      <c r="E7643"/>
    </row>
    <row r="7644" spans="5:5">
      <c r="E7644"/>
    </row>
    <row r="7645" spans="5:5">
      <c r="E7645"/>
    </row>
    <row r="7646" spans="5:5">
      <c r="E7646"/>
    </row>
    <row r="7647" spans="5:5">
      <c r="E7647"/>
    </row>
    <row r="7648" spans="5:5">
      <c r="E7648"/>
    </row>
    <row r="7649" spans="5:5">
      <c r="E7649"/>
    </row>
    <row r="7650" spans="5:5">
      <c r="E7650"/>
    </row>
    <row r="7651" spans="5:5">
      <c r="E7651"/>
    </row>
    <row r="7652" spans="5:5">
      <c r="E7652"/>
    </row>
    <row r="7653" spans="5:5">
      <c r="E7653"/>
    </row>
    <row r="7654" spans="5:5">
      <c r="E7654"/>
    </row>
    <row r="7655" spans="5:5">
      <c r="E7655"/>
    </row>
    <row r="7656" spans="5:5">
      <c r="E7656"/>
    </row>
    <row r="7657" spans="5:5">
      <c r="E7657"/>
    </row>
    <row r="7658" spans="5:5">
      <c r="E7658"/>
    </row>
    <row r="7659" spans="5:5">
      <c r="E7659"/>
    </row>
    <row r="7660" spans="5:5">
      <c r="E7660"/>
    </row>
    <row r="7661" spans="5:5">
      <c r="E7661"/>
    </row>
    <row r="7662" spans="5:5">
      <c r="E7662"/>
    </row>
    <row r="7663" spans="5:5">
      <c r="E7663"/>
    </row>
    <row r="7664" spans="5:5">
      <c r="E7664"/>
    </row>
    <row r="7665" spans="5:5">
      <c r="E7665"/>
    </row>
    <row r="7666" spans="5:5">
      <c r="E7666"/>
    </row>
    <row r="7667" spans="5:5">
      <c r="E7667"/>
    </row>
    <row r="7668" spans="5:5">
      <c r="E7668"/>
    </row>
    <row r="7669" spans="5:5">
      <c r="E7669"/>
    </row>
    <row r="7670" spans="5:5">
      <c r="E7670"/>
    </row>
    <row r="7671" spans="5:5">
      <c r="E7671"/>
    </row>
    <row r="7672" spans="5:5">
      <c r="E7672"/>
    </row>
    <row r="7673" spans="5:5">
      <c r="E7673"/>
    </row>
    <row r="7674" spans="5:5">
      <c r="E7674"/>
    </row>
    <row r="7675" spans="5:5">
      <c r="E7675"/>
    </row>
    <row r="7676" spans="5:5">
      <c r="E7676"/>
    </row>
    <row r="7677" spans="5:5">
      <c r="E7677"/>
    </row>
    <row r="7678" spans="5:5">
      <c r="E7678"/>
    </row>
    <row r="7679" spans="5:5">
      <c r="E7679"/>
    </row>
    <row r="7680" spans="5:5">
      <c r="E7680"/>
    </row>
    <row r="7681" spans="5:5">
      <c r="E7681"/>
    </row>
    <row r="7682" spans="5:5">
      <c r="E7682"/>
    </row>
    <row r="7683" spans="5:5">
      <c r="E7683"/>
    </row>
    <row r="7684" spans="5:5">
      <c r="E7684"/>
    </row>
    <row r="7685" spans="5:5">
      <c r="E7685"/>
    </row>
    <row r="7686" spans="5:5">
      <c r="E7686"/>
    </row>
    <row r="7687" spans="5:5">
      <c r="E7687"/>
    </row>
    <row r="7688" spans="5:5">
      <c r="E7688"/>
    </row>
    <row r="7689" spans="5:5">
      <c r="E7689"/>
    </row>
    <row r="7690" spans="5:5">
      <c r="E7690"/>
    </row>
    <row r="7691" spans="5:5">
      <c r="E7691"/>
    </row>
    <row r="7692" spans="5:5">
      <c r="E7692"/>
    </row>
    <row r="7693" spans="5:5">
      <c r="E7693"/>
    </row>
    <row r="7694" spans="5:5">
      <c r="E7694"/>
    </row>
    <row r="7695" spans="5:5">
      <c r="E7695"/>
    </row>
    <row r="7696" spans="5:5">
      <c r="E7696"/>
    </row>
    <row r="7697" spans="5:5">
      <c r="E7697"/>
    </row>
    <row r="7698" spans="5:5">
      <c r="E7698"/>
    </row>
    <row r="7699" spans="5:5">
      <c r="E7699"/>
    </row>
    <row r="7700" spans="5:5">
      <c r="E7700"/>
    </row>
    <row r="7701" spans="5:5">
      <c r="E7701"/>
    </row>
    <row r="7702" spans="5:5">
      <c r="E7702"/>
    </row>
    <row r="7703" spans="5:5">
      <c r="E7703"/>
    </row>
    <row r="7704" spans="5:5">
      <c r="E7704"/>
    </row>
    <row r="7705" spans="5:5">
      <c r="E7705"/>
    </row>
    <row r="7706" spans="5:5">
      <c r="E7706"/>
    </row>
    <row r="7707" spans="5:5">
      <c r="E7707"/>
    </row>
    <row r="7708" spans="5:5">
      <c r="E7708"/>
    </row>
    <row r="7709" spans="5:5">
      <c r="E7709"/>
    </row>
    <row r="7710" spans="5:5">
      <c r="E7710"/>
    </row>
    <row r="7711" spans="5:5">
      <c r="E7711"/>
    </row>
    <row r="7712" spans="5:5">
      <c r="E7712"/>
    </row>
    <row r="7713" spans="5:5">
      <c r="E7713"/>
    </row>
    <row r="7714" spans="5:5">
      <c r="E7714"/>
    </row>
    <row r="7715" spans="5:5">
      <c r="E7715"/>
    </row>
    <row r="7716" spans="5:5">
      <c r="E7716"/>
    </row>
    <row r="7717" spans="5:5">
      <c r="E7717"/>
    </row>
    <row r="7718" spans="5:5">
      <c r="E7718"/>
    </row>
    <row r="7719" spans="5:5">
      <c r="E7719"/>
    </row>
    <row r="7720" spans="5:5">
      <c r="E7720"/>
    </row>
    <row r="7721" spans="5:5">
      <c r="E7721"/>
    </row>
    <row r="7722" spans="5:5">
      <c r="E7722"/>
    </row>
    <row r="7723" spans="5:5">
      <c r="E7723"/>
    </row>
    <row r="7724" spans="5:5">
      <c r="E7724"/>
    </row>
    <row r="7725" spans="5:5">
      <c r="E7725"/>
    </row>
    <row r="7726" spans="5:5">
      <c r="E7726"/>
    </row>
    <row r="7727" spans="5:5">
      <c r="E7727"/>
    </row>
    <row r="7728" spans="5:5">
      <c r="E7728"/>
    </row>
    <row r="7729" spans="5:5">
      <c r="E7729"/>
    </row>
    <row r="7730" spans="5:5">
      <c r="E7730"/>
    </row>
    <row r="7731" spans="5:5">
      <c r="E7731"/>
    </row>
    <row r="7732" spans="5:5">
      <c r="E7732"/>
    </row>
    <row r="7733" spans="5:5">
      <c r="E7733"/>
    </row>
    <row r="7734" spans="5:5">
      <c r="E7734"/>
    </row>
    <row r="7735" spans="5:5">
      <c r="E7735"/>
    </row>
    <row r="7736" spans="5:5">
      <c r="E7736"/>
    </row>
    <row r="7737" spans="5:5">
      <c r="E7737"/>
    </row>
    <row r="7738" spans="5:5">
      <c r="E7738"/>
    </row>
    <row r="7739" spans="5:5">
      <c r="E7739"/>
    </row>
    <row r="7740" spans="5:5">
      <c r="E7740"/>
    </row>
    <row r="7741" spans="5:5">
      <c r="E7741"/>
    </row>
    <row r="7742" spans="5:5">
      <c r="E7742"/>
    </row>
    <row r="7743" spans="5:5">
      <c r="E7743"/>
    </row>
    <row r="7744" spans="5:5">
      <c r="E7744"/>
    </row>
    <row r="7745" spans="5:5">
      <c r="E7745"/>
    </row>
    <row r="7746" spans="5:5">
      <c r="E7746"/>
    </row>
    <row r="7747" spans="5:5">
      <c r="E7747"/>
    </row>
    <row r="7748" spans="5:5">
      <c r="E7748"/>
    </row>
    <row r="7749" spans="5:5">
      <c r="E7749"/>
    </row>
    <row r="7750" spans="5:5">
      <c r="E7750"/>
    </row>
    <row r="7751" spans="5:5">
      <c r="E7751"/>
    </row>
    <row r="7752" spans="5:5">
      <c r="E7752"/>
    </row>
    <row r="7753" spans="5:5">
      <c r="E7753"/>
    </row>
    <row r="7754" spans="5:5">
      <c r="E7754"/>
    </row>
    <row r="7755" spans="5:5">
      <c r="E7755"/>
    </row>
    <row r="7756" spans="5:5">
      <c r="E7756"/>
    </row>
    <row r="7757" spans="5:5">
      <c r="E7757"/>
    </row>
    <row r="7758" spans="5:5">
      <c r="E7758"/>
    </row>
    <row r="7759" spans="5:5">
      <c r="E7759"/>
    </row>
    <row r="7760" spans="5:5">
      <c r="E7760"/>
    </row>
    <row r="7761" spans="5:5">
      <c r="E7761"/>
    </row>
    <row r="7762" spans="5:5">
      <c r="E7762"/>
    </row>
    <row r="7763" spans="5:5">
      <c r="E7763"/>
    </row>
    <row r="7764" spans="5:5">
      <c r="E7764"/>
    </row>
    <row r="7765" spans="5:5">
      <c r="E7765"/>
    </row>
    <row r="7766" spans="5:5">
      <c r="E7766"/>
    </row>
    <row r="7767" spans="5:5">
      <c r="E7767"/>
    </row>
    <row r="7768" spans="5:5">
      <c r="E7768"/>
    </row>
    <row r="7769" spans="5:5">
      <c r="E7769"/>
    </row>
    <row r="7770" spans="5:5">
      <c r="E7770"/>
    </row>
    <row r="7771" spans="5:5">
      <c r="E7771"/>
    </row>
    <row r="7772" spans="5:5">
      <c r="E7772"/>
    </row>
    <row r="7773" spans="5:5">
      <c r="E7773"/>
    </row>
    <row r="7774" spans="5:5">
      <c r="E7774"/>
    </row>
    <row r="7775" spans="5:5">
      <c r="E7775"/>
    </row>
    <row r="7776" spans="5:5">
      <c r="E7776"/>
    </row>
    <row r="7777" spans="5:5">
      <c r="E7777"/>
    </row>
    <row r="7778" spans="5:5">
      <c r="E7778"/>
    </row>
    <row r="7779" spans="5:5">
      <c r="E7779"/>
    </row>
    <row r="7780" spans="5:5">
      <c r="E7780"/>
    </row>
    <row r="7781" spans="5:5">
      <c r="E7781"/>
    </row>
    <row r="7782" spans="5:5">
      <c r="E7782"/>
    </row>
    <row r="7783" spans="5:5">
      <c r="E7783"/>
    </row>
    <row r="7784" spans="5:5">
      <c r="E7784"/>
    </row>
    <row r="7785" spans="5:5">
      <c r="E7785"/>
    </row>
    <row r="7786" spans="5:5">
      <c r="E7786"/>
    </row>
    <row r="7787" spans="5:5">
      <c r="E7787"/>
    </row>
    <row r="7788" spans="5:5">
      <c r="E7788"/>
    </row>
    <row r="7789" spans="5:5">
      <c r="E7789"/>
    </row>
    <row r="7790" spans="5:5">
      <c r="E7790"/>
    </row>
    <row r="7791" spans="5:5">
      <c r="E7791"/>
    </row>
    <row r="7792" spans="5:5">
      <c r="E7792"/>
    </row>
    <row r="7793" spans="5:5">
      <c r="E7793"/>
    </row>
    <row r="7794" spans="5:5">
      <c r="E7794"/>
    </row>
    <row r="7795" spans="5:5">
      <c r="E7795"/>
    </row>
    <row r="7796" spans="5:5">
      <c r="E7796"/>
    </row>
    <row r="7797" spans="5:5">
      <c r="E7797"/>
    </row>
    <row r="7798" spans="5:5">
      <c r="E7798"/>
    </row>
    <row r="7799" spans="5:5">
      <c r="E7799"/>
    </row>
    <row r="7800" spans="5:5">
      <c r="E7800"/>
    </row>
    <row r="7801" spans="5:5">
      <c r="E7801"/>
    </row>
    <row r="7802" spans="5:5">
      <c r="E7802"/>
    </row>
    <row r="7803" spans="5:5">
      <c r="E7803"/>
    </row>
    <row r="7804" spans="5:5">
      <c r="E7804"/>
    </row>
    <row r="7805" spans="5:5">
      <c r="E7805"/>
    </row>
    <row r="7806" spans="5:5">
      <c r="E7806"/>
    </row>
    <row r="7807" spans="5:5">
      <c r="E7807"/>
    </row>
    <row r="7808" spans="5:5">
      <c r="E7808"/>
    </row>
    <row r="7809" spans="5:5">
      <c r="E7809"/>
    </row>
    <row r="7810" spans="5:5">
      <c r="E7810"/>
    </row>
    <row r="7811" spans="5:5">
      <c r="E7811"/>
    </row>
    <row r="7812" spans="5:5">
      <c r="E7812"/>
    </row>
    <row r="7813" spans="5:5">
      <c r="E7813"/>
    </row>
    <row r="7814" spans="5:5">
      <c r="E7814"/>
    </row>
    <row r="7815" spans="5:5">
      <c r="E7815"/>
    </row>
    <row r="7816" spans="5:5">
      <c r="E7816"/>
    </row>
    <row r="7817" spans="5:5">
      <c r="E7817"/>
    </row>
    <row r="7818" spans="5:5">
      <c r="E7818"/>
    </row>
    <row r="7819" spans="5:5">
      <c r="E7819"/>
    </row>
    <row r="7820" spans="5:5">
      <c r="E7820"/>
    </row>
    <row r="7821" spans="5:5">
      <c r="E7821"/>
    </row>
    <row r="7822" spans="5:5">
      <c r="E7822"/>
    </row>
    <row r="7823" spans="5:5">
      <c r="E7823"/>
    </row>
    <row r="7824" spans="5:5">
      <c r="E7824"/>
    </row>
    <row r="7825" spans="5:5">
      <c r="E7825"/>
    </row>
    <row r="7826" spans="5:5">
      <c r="E7826"/>
    </row>
    <row r="7827" spans="5:5">
      <c r="E7827"/>
    </row>
    <row r="7828" spans="5:5">
      <c r="E7828"/>
    </row>
    <row r="7829" spans="5:5">
      <c r="E7829"/>
    </row>
    <row r="7830" spans="5:5">
      <c r="E7830"/>
    </row>
    <row r="7831" spans="5:5">
      <c r="E7831"/>
    </row>
    <row r="7832" spans="5:5">
      <c r="E7832"/>
    </row>
    <row r="7833" spans="5:5">
      <c r="E7833"/>
    </row>
    <row r="7834" spans="5:5">
      <c r="E7834"/>
    </row>
    <row r="7835" spans="5:5">
      <c r="E7835"/>
    </row>
    <row r="7836" spans="5:5">
      <c r="E7836"/>
    </row>
    <row r="7837" spans="5:5">
      <c r="E7837"/>
    </row>
    <row r="7838" spans="5:5">
      <c r="E7838"/>
    </row>
    <row r="7839" spans="5:5">
      <c r="E7839"/>
    </row>
    <row r="7840" spans="5:5">
      <c r="E7840"/>
    </row>
    <row r="7841" spans="5:5">
      <c r="E7841"/>
    </row>
    <row r="7842" spans="5:5">
      <c r="E7842"/>
    </row>
    <row r="7843" spans="5:5">
      <c r="E7843"/>
    </row>
    <row r="7844" spans="5:5">
      <c r="E7844"/>
    </row>
    <row r="7845" spans="5:5">
      <c r="E7845"/>
    </row>
    <row r="7846" spans="5:5">
      <c r="E7846"/>
    </row>
    <row r="7847" spans="5:5">
      <c r="E7847"/>
    </row>
    <row r="7848" spans="5:5">
      <c r="E7848"/>
    </row>
    <row r="7849" spans="5:5">
      <c r="E7849"/>
    </row>
    <row r="7850" spans="5:5">
      <c r="E7850"/>
    </row>
    <row r="7851" spans="5:5">
      <c r="E7851"/>
    </row>
    <row r="7852" spans="5:5">
      <c r="E7852"/>
    </row>
    <row r="7853" spans="5:5">
      <c r="E7853"/>
    </row>
    <row r="7854" spans="5:5">
      <c r="E7854"/>
    </row>
    <row r="7855" spans="5:5">
      <c r="E7855"/>
    </row>
    <row r="7856" spans="5:5">
      <c r="E7856"/>
    </row>
    <row r="7857" spans="5:5">
      <c r="E7857"/>
    </row>
    <row r="7858" spans="5:5">
      <c r="E7858"/>
    </row>
    <row r="7859" spans="5:5">
      <c r="E7859"/>
    </row>
    <row r="7860" spans="5:5">
      <c r="E7860"/>
    </row>
    <row r="7861" spans="5:5">
      <c r="E7861"/>
    </row>
    <row r="7862" spans="5:5">
      <c r="E7862"/>
    </row>
    <row r="7863" spans="5:5">
      <c r="E7863"/>
    </row>
    <row r="7864" spans="5:5">
      <c r="E7864"/>
    </row>
    <row r="7865" spans="5:5">
      <c r="E7865"/>
    </row>
    <row r="7866" spans="5:5">
      <c r="E7866"/>
    </row>
    <row r="7867" spans="5:5">
      <c r="E7867"/>
    </row>
    <row r="7868" spans="5:5">
      <c r="E7868"/>
    </row>
    <row r="7869" spans="5:5">
      <c r="E7869"/>
    </row>
    <row r="7870" spans="5:5">
      <c r="E7870"/>
    </row>
    <row r="7871" spans="5:5">
      <c r="E7871"/>
    </row>
    <row r="7872" spans="5:5">
      <c r="E7872"/>
    </row>
    <row r="7873" spans="5:5">
      <c r="E7873"/>
    </row>
    <row r="7874" spans="5:5">
      <c r="E7874"/>
    </row>
    <row r="7875" spans="5:5">
      <c r="E7875"/>
    </row>
    <row r="7876" spans="5:5">
      <c r="E7876"/>
    </row>
    <row r="7877" spans="5:5">
      <c r="E7877"/>
    </row>
    <row r="7878" spans="5:5">
      <c r="E7878"/>
    </row>
    <row r="7879" spans="5:5">
      <c r="E7879"/>
    </row>
    <row r="7880" spans="5:5">
      <c r="E7880"/>
    </row>
    <row r="7881" spans="5:5">
      <c r="E7881"/>
    </row>
    <row r="7882" spans="5:5">
      <c r="E7882"/>
    </row>
    <row r="7883" spans="5:5">
      <c r="E7883"/>
    </row>
    <row r="7884" spans="5:5">
      <c r="E7884"/>
    </row>
    <row r="7885" spans="5:5">
      <c r="E7885"/>
    </row>
    <row r="7886" spans="5:5">
      <c r="E7886"/>
    </row>
    <row r="7887" spans="5:5">
      <c r="E7887"/>
    </row>
    <row r="7888" spans="5:5">
      <c r="E7888"/>
    </row>
    <row r="7889" spans="5:5">
      <c r="E7889"/>
    </row>
    <row r="7890" spans="5:5">
      <c r="E7890"/>
    </row>
    <row r="7891" spans="5:5">
      <c r="E7891"/>
    </row>
    <row r="7892" spans="5:5">
      <c r="E7892"/>
    </row>
    <row r="7893" spans="5:5">
      <c r="E7893"/>
    </row>
    <row r="7894" spans="5:5">
      <c r="E7894"/>
    </row>
    <row r="7895" spans="5:5">
      <c r="E7895"/>
    </row>
    <row r="7896" spans="5:5">
      <c r="E7896"/>
    </row>
    <row r="7897" spans="5:5">
      <c r="E7897"/>
    </row>
    <row r="7898" spans="5:5">
      <c r="E7898"/>
    </row>
    <row r="7899" spans="5:5">
      <c r="E7899"/>
    </row>
    <row r="7900" spans="5:5">
      <c r="E7900"/>
    </row>
    <row r="7901" spans="5:5">
      <c r="E7901"/>
    </row>
    <row r="7902" spans="5:5">
      <c r="E7902"/>
    </row>
    <row r="7903" spans="5:5">
      <c r="E7903"/>
    </row>
    <row r="7904" spans="5:5">
      <c r="E7904"/>
    </row>
    <row r="7905" spans="5:5">
      <c r="E7905"/>
    </row>
    <row r="7906" spans="5:5">
      <c r="E7906"/>
    </row>
    <row r="7907" spans="5:5">
      <c r="E7907"/>
    </row>
    <row r="7908" spans="5:5">
      <c r="E7908"/>
    </row>
    <row r="7909" spans="5:5">
      <c r="E7909"/>
    </row>
    <row r="7910" spans="5:5">
      <c r="E7910"/>
    </row>
    <row r="7911" spans="5:5">
      <c r="E7911"/>
    </row>
    <row r="7912" spans="5:5">
      <c r="E7912"/>
    </row>
    <row r="7913" spans="5:5">
      <c r="E7913"/>
    </row>
    <row r="7914" spans="5:5">
      <c r="E7914"/>
    </row>
    <row r="7915" spans="5:5">
      <c r="E7915"/>
    </row>
    <row r="7916" spans="5:5">
      <c r="E7916"/>
    </row>
    <row r="7917" spans="5:5">
      <c r="E7917"/>
    </row>
    <row r="7918" spans="5:5">
      <c r="E7918"/>
    </row>
    <row r="7919" spans="5:5">
      <c r="E7919"/>
    </row>
    <row r="7920" spans="5:5">
      <c r="E7920"/>
    </row>
    <row r="7921" spans="5:5">
      <c r="E7921"/>
    </row>
    <row r="7922" spans="5:5">
      <c r="E7922"/>
    </row>
    <row r="7923" spans="5:5">
      <c r="E7923"/>
    </row>
    <row r="7924" spans="5:5">
      <c r="E7924"/>
    </row>
    <row r="7925" spans="5:5">
      <c r="E7925"/>
    </row>
    <row r="7926" spans="5:5">
      <c r="E7926"/>
    </row>
    <row r="7927" spans="5:5">
      <c r="E7927"/>
    </row>
    <row r="7928" spans="5:5">
      <c r="E7928"/>
    </row>
    <row r="7929" spans="5:5">
      <c r="E7929"/>
    </row>
    <row r="7930" spans="5:5">
      <c r="E7930"/>
    </row>
    <row r="7931" spans="5:5">
      <c r="E7931"/>
    </row>
    <row r="7932" spans="5:5">
      <c r="E7932"/>
    </row>
    <row r="7933" spans="5:5">
      <c r="E7933"/>
    </row>
    <row r="7934" spans="5:5">
      <c r="E7934"/>
    </row>
    <row r="7935" spans="5:5">
      <c r="E7935"/>
    </row>
    <row r="7936" spans="5:5">
      <c r="E7936"/>
    </row>
    <row r="7937" spans="5:5">
      <c r="E7937"/>
    </row>
    <row r="7938" spans="5:5">
      <c r="E7938"/>
    </row>
    <row r="7939" spans="5:5">
      <c r="E7939"/>
    </row>
    <row r="7940" spans="5:5">
      <c r="E7940"/>
    </row>
    <row r="7941" spans="5:5">
      <c r="E7941"/>
    </row>
    <row r="7942" spans="5:5">
      <c r="E7942"/>
    </row>
    <row r="7943" spans="5:5">
      <c r="E7943"/>
    </row>
    <row r="7944" spans="5:5">
      <c r="E7944"/>
    </row>
    <row r="7945" spans="5:5">
      <c r="E7945"/>
    </row>
    <row r="7946" spans="5:5">
      <c r="E7946"/>
    </row>
    <row r="7947" spans="5:5">
      <c r="E7947"/>
    </row>
    <row r="7948" spans="5:5">
      <c r="E7948"/>
    </row>
    <row r="7949" spans="5:5">
      <c r="E7949"/>
    </row>
    <row r="7950" spans="5:5">
      <c r="E7950"/>
    </row>
    <row r="7951" spans="5:5">
      <c r="E7951"/>
    </row>
    <row r="7952" spans="5:5">
      <c r="E7952"/>
    </row>
    <row r="7953" spans="5:5">
      <c r="E7953"/>
    </row>
    <row r="7954" spans="5:5">
      <c r="E7954"/>
    </row>
    <row r="7955" spans="5:5">
      <c r="E7955"/>
    </row>
    <row r="7956" spans="5:5">
      <c r="E7956"/>
    </row>
    <row r="7957" spans="5:5">
      <c r="E7957"/>
    </row>
    <row r="7958" spans="5:5">
      <c r="E7958"/>
    </row>
    <row r="7959" spans="5:5">
      <c r="E7959"/>
    </row>
    <row r="7960" spans="5:5">
      <c r="E7960"/>
    </row>
    <row r="7961" spans="5:5">
      <c r="E7961"/>
    </row>
    <row r="7962" spans="5:5">
      <c r="E7962"/>
    </row>
    <row r="7963" spans="5:5">
      <c r="E7963"/>
    </row>
    <row r="7964" spans="5:5">
      <c r="E7964"/>
    </row>
    <row r="7965" spans="5:5">
      <c r="E7965"/>
    </row>
    <row r="7966" spans="5:5">
      <c r="E7966"/>
    </row>
    <row r="7967" spans="5:5">
      <c r="E7967"/>
    </row>
    <row r="7968" spans="5:5">
      <c r="E7968"/>
    </row>
    <row r="7969" spans="5:5">
      <c r="E7969"/>
    </row>
    <row r="7970" spans="5:5">
      <c r="E7970"/>
    </row>
    <row r="7971" spans="5:5">
      <c r="E7971"/>
    </row>
    <row r="7972" spans="5:5">
      <c r="E7972"/>
    </row>
    <row r="7973" spans="5:5">
      <c r="E7973"/>
    </row>
    <row r="7974" spans="5:5">
      <c r="E7974"/>
    </row>
    <row r="7975" spans="5:5">
      <c r="E7975"/>
    </row>
    <row r="7976" spans="5:5">
      <c r="E7976"/>
    </row>
    <row r="7977" spans="5:5">
      <c r="E7977"/>
    </row>
    <row r="7978" spans="5:5">
      <c r="E7978"/>
    </row>
    <row r="7979" spans="5:5">
      <c r="E7979"/>
    </row>
    <row r="7980" spans="5:5">
      <c r="E7980"/>
    </row>
    <row r="7981" spans="5:5">
      <c r="E7981"/>
    </row>
    <row r="7982" spans="5:5">
      <c r="E7982"/>
    </row>
    <row r="7983" spans="5:5">
      <c r="E7983"/>
    </row>
    <row r="7984" spans="5:5">
      <c r="E7984"/>
    </row>
    <row r="7985" spans="5:5">
      <c r="E7985"/>
    </row>
    <row r="7986" spans="5:5">
      <c r="E7986"/>
    </row>
    <row r="7987" spans="5:5">
      <c r="E7987"/>
    </row>
    <row r="7988" spans="5:5">
      <c r="E7988"/>
    </row>
    <row r="7989" spans="5:5">
      <c r="E7989"/>
    </row>
    <row r="7990" spans="5:5">
      <c r="E7990"/>
    </row>
    <row r="7991" spans="5:5">
      <c r="E7991"/>
    </row>
    <row r="7992" spans="5:5">
      <c r="E7992"/>
    </row>
    <row r="7993" spans="5:5">
      <c r="E7993"/>
    </row>
    <row r="7994" spans="5:5">
      <c r="E7994"/>
    </row>
    <row r="7995" spans="5:5">
      <c r="E7995"/>
    </row>
    <row r="7996" spans="5:5">
      <c r="E7996"/>
    </row>
    <row r="7997" spans="5:5">
      <c r="E7997"/>
    </row>
    <row r="7998" spans="5:5">
      <c r="E7998"/>
    </row>
    <row r="7999" spans="5:5">
      <c r="E7999"/>
    </row>
    <row r="8000" spans="5:5">
      <c r="E8000"/>
    </row>
    <row r="8001" spans="5:5">
      <c r="E8001"/>
    </row>
    <row r="8002" spans="5:5">
      <c r="E8002"/>
    </row>
    <row r="8003" spans="5:5">
      <c r="E8003"/>
    </row>
    <row r="8004" spans="5:5">
      <c r="E8004"/>
    </row>
    <row r="8005" spans="5:5">
      <c r="E8005"/>
    </row>
    <row r="8006" spans="5:5">
      <c r="E8006"/>
    </row>
    <row r="8007" spans="5:5">
      <c r="E8007"/>
    </row>
    <row r="8008" spans="5:5">
      <c r="E8008"/>
    </row>
    <row r="8009" spans="5:5">
      <c r="E8009"/>
    </row>
    <row r="8010" spans="5:5">
      <c r="E8010"/>
    </row>
    <row r="8011" spans="5:5">
      <c r="E8011"/>
    </row>
    <row r="8012" spans="5:5">
      <c r="E8012"/>
    </row>
    <row r="8013" spans="5:5">
      <c r="E8013"/>
    </row>
    <row r="8014" spans="5:5">
      <c r="E8014"/>
    </row>
    <row r="8015" spans="5:5">
      <c r="E8015"/>
    </row>
    <row r="8016" spans="5:5">
      <c r="E8016"/>
    </row>
    <row r="8017" spans="5:5">
      <c r="E8017"/>
    </row>
    <row r="8018" spans="5:5">
      <c r="E8018"/>
    </row>
    <row r="8019" spans="5:5">
      <c r="E8019"/>
    </row>
    <row r="8020" spans="5:5">
      <c r="E8020"/>
    </row>
    <row r="8021" spans="5:5">
      <c r="E8021"/>
    </row>
    <row r="8022" spans="5:5">
      <c r="E8022"/>
    </row>
    <row r="8023" spans="5:5">
      <c r="E8023"/>
    </row>
    <row r="8024" spans="5:5">
      <c r="E8024"/>
    </row>
    <row r="8025" spans="5:5">
      <c r="E8025"/>
    </row>
    <row r="8026" spans="5:5">
      <c r="E8026"/>
    </row>
    <row r="8027" spans="5:5">
      <c r="E8027"/>
    </row>
    <row r="8028" spans="5:5">
      <c r="E8028"/>
    </row>
    <row r="8029" spans="5:5">
      <c r="E8029"/>
    </row>
    <row r="8030" spans="5:5">
      <c r="E8030"/>
    </row>
    <row r="8031" spans="5:5">
      <c r="E8031"/>
    </row>
    <row r="8032" spans="5:5">
      <c r="E8032"/>
    </row>
    <row r="8033" spans="5:5">
      <c r="E8033"/>
    </row>
    <row r="8034" spans="5:5">
      <c r="E8034"/>
    </row>
    <row r="8035" spans="5:5">
      <c r="E8035"/>
    </row>
    <row r="8036" spans="5:5">
      <c r="E8036"/>
    </row>
    <row r="8037" spans="5:5">
      <c r="E8037"/>
    </row>
    <row r="8038" spans="5:5">
      <c r="E8038"/>
    </row>
    <row r="8039" spans="5:5">
      <c r="E8039"/>
    </row>
    <row r="8040" spans="5:5">
      <c r="E8040"/>
    </row>
    <row r="8041" spans="5:5">
      <c r="E8041"/>
    </row>
    <row r="8042" spans="5:5">
      <c r="E8042"/>
    </row>
    <row r="8043" spans="5:5">
      <c r="E8043"/>
    </row>
    <row r="8044" spans="5:5">
      <c r="E8044"/>
    </row>
    <row r="8045" spans="5:5">
      <c r="E8045"/>
    </row>
    <row r="8046" spans="5:5">
      <c r="E8046"/>
    </row>
    <row r="8047" spans="5:5">
      <c r="E8047"/>
    </row>
    <row r="8048" spans="5:5">
      <c r="E8048"/>
    </row>
    <row r="8049" spans="5:5">
      <c r="E8049"/>
    </row>
    <row r="8050" spans="5:5">
      <c r="E8050"/>
    </row>
    <row r="8051" spans="5:5">
      <c r="E8051"/>
    </row>
    <row r="8052" spans="5:5">
      <c r="E8052"/>
    </row>
    <row r="8053" spans="5:5">
      <c r="E8053"/>
    </row>
    <row r="8054" spans="5:5">
      <c r="E8054"/>
    </row>
    <row r="8055" spans="5:5">
      <c r="E8055"/>
    </row>
    <row r="8056" spans="5:5">
      <c r="E8056"/>
    </row>
    <row r="8057" spans="5:5">
      <c r="E8057"/>
    </row>
    <row r="8058" spans="5:5">
      <c r="E8058"/>
    </row>
    <row r="8059" spans="5:5">
      <c r="E8059"/>
    </row>
    <row r="8060" spans="5:5">
      <c r="E8060"/>
    </row>
    <row r="8061" spans="5:5">
      <c r="E8061"/>
    </row>
    <row r="8062" spans="5:5">
      <c r="E8062"/>
    </row>
    <row r="8063" spans="5:5">
      <c r="E8063"/>
    </row>
    <row r="8064" spans="5:5">
      <c r="E8064"/>
    </row>
    <row r="8065" spans="5:5">
      <c r="E8065"/>
    </row>
    <row r="8066" spans="5:5">
      <c r="E8066"/>
    </row>
    <row r="8067" spans="5:5">
      <c r="E8067"/>
    </row>
    <row r="8068" spans="5:5">
      <c r="E8068"/>
    </row>
    <row r="8069" spans="5:5">
      <c r="E8069"/>
    </row>
    <row r="8070" spans="5:5">
      <c r="E8070"/>
    </row>
    <row r="8071" spans="5:5">
      <c r="E8071"/>
    </row>
    <row r="8072" spans="5:5">
      <c r="E8072"/>
    </row>
    <row r="8073" spans="5:5">
      <c r="E8073"/>
    </row>
    <row r="8074" spans="5:5">
      <c r="E8074"/>
    </row>
    <row r="8075" spans="5:5">
      <c r="E8075"/>
    </row>
    <row r="8076" spans="5:5">
      <c r="E8076"/>
    </row>
    <row r="8077" spans="5:5">
      <c r="E8077"/>
    </row>
    <row r="8078" spans="5:5">
      <c r="E8078"/>
    </row>
    <row r="8079" spans="5:5">
      <c r="E8079"/>
    </row>
    <row r="8080" spans="5:5">
      <c r="E8080"/>
    </row>
    <row r="8081" spans="5:5">
      <c r="E8081"/>
    </row>
    <row r="8082" spans="5:5">
      <c r="E8082"/>
    </row>
    <row r="8083" spans="5:5">
      <c r="E8083"/>
    </row>
    <row r="8084" spans="5:5">
      <c r="E8084"/>
    </row>
    <row r="8085" spans="5:5">
      <c r="E8085"/>
    </row>
    <row r="8086" spans="5:5">
      <c r="E8086"/>
    </row>
    <row r="8087" spans="5:5">
      <c r="E8087"/>
    </row>
    <row r="8088" spans="5:5">
      <c r="E8088"/>
    </row>
    <row r="8089" spans="5:5">
      <c r="E8089"/>
    </row>
    <row r="8090" spans="5:5">
      <c r="E8090"/>
    </row>
    <row r="8091" spans="5:5">
      <c r="E8091"/>
    </row>
    <row r="8092" spans="5:5">
      <c r="E8092"/>
    </row>
    <row r="8093" spans="5:5">
      <c r="E8093"/>
    </row>
    <row r="8094" spans="5:5">
      <c r="E8094"/>
    </row>
    <row r="8095" spans="5:5">
      <c r="E8095"/>
    </row>
    <row r="8096" spans="5:5">
      <c r="E8096"/>
    </row>
    <row r="8097" spans="5:5">
      <c r="E8097"/>
    </row>
    <row r="8098" spans="5:5">
      <c r="E8098"/>
    </row>
    <row r="8099" spans="5:5">
      <c r="E8099"/>
    </row>
    <row r="8100" spans="5:5">
      <c r="E8100"/>
    </row>
    <row r="8101" spans="5:5">
      <c r="E8101"/>
    </row>
    <row r="8102" spans="5:5">
      <c r="E8102"/>
    </row>
    <row r="8103" spans="5:5">
      <c r="E8103"/>
    </row>
    <row r="8104" spans="5:5">
      <c r="E8104"/>
    </row>
    <row r="8105" spans="5:5">
      <c r="E8105"/>
    </row>
    <row r="8106" spans="5:5">
      <c r="E8106"/>
    </row>
    <row r="8107" spans="5:5">
      <c r="E8107"/>
    </row>
    <row r="8108" spans="5:5">
      <c r="E8108"/>
    </row>
    <row r="8109" spans="5:5">
      <c r="E8109"/>
    </row>
    <row r="8110" spans="5:5">
      <c r="E8110"/>
    </row>
    <row r="8111" spans="5:5">
      <c r="E8111"/>
    </row>
    <row r="8112" spans="5:5">
      <c r="E8112"/>
    </row>
    <row r="8113" spans="5:5">
      <c r="E8113"/>
    </row>
    <row r="8114" spans="5:5">
      <c r="E8114"/>
    </row>
    <row r="8115" spans="5:5">
      <c r="E8115"/>
    </row>
    <row r="8116" spans="5:5">
      <c r="E8116"/>
    </row>
    <row r="8117" spans="5:5">
      <c r="E8117"/>
    </row>
    <row r="8118" spans="5:5">
      <c r="E8118"/>
    </row>
    <row r="8119" spans="5:5">
      <c r="E8119"/>
    </row>
    <row r="8120" spans="5:5">
      <c r="E8120"/>
    </row>
    <row r="8121" spans="5:5">
      <c r="E8121"/>
    </row>
    <row r="8122" spans="5:5">
      <c r="E8122"/>
    </row>
    <row r="8123" spans="5:5">
      <c r="E8123"/>
    </row>
    <row r="8124" spans="5:5">
      <c r="E8124"/>
    </row>
    <row r="8125" spans="5:5">
      <c r="E8125"/>
    </row>
    <row r="8126" spans="5:5">
      <c r="E8126"/>
    </row>
    <row r="8127" spans="5:5">
      <c r="E8127"/>
    </row>
    <row r="8128" spans="5:5">
      <c r="E8128"/>
    </row>
    <row r="8129" spans="5:5">
      <c r="E8129"/>
    </row>
    <row r="8130" spans="5:5">
      <c r="E8130"/>
    </row>
    <row r="8131" spans="5:5">
      <c r="E8131"/>
    </row>
    <row r="8132" spans="5:5">
      <c r="E8132"/>
    </row>
    <row r="8133" spans="5:5">
      <c r="E8133"/>
    </row>
    <row r="8134" spans="5:5">
      <c r="E8134"/>
    </row>
    <row r="8135" spans="5:5">
      <c r="E8135"/>
    </row>
    <row r="8136" spans="5:5">
      <c r="E8136"/>
    </row>
    <row r="8137" spans="5:5">
      <c r="E8137"/>
    </row>
    <row r="8138" spans="5:5">
      <c r="E8138"/>
    </row>
    <row r="8139" spans="5:5">
      <c r="E8139"/>
    </row>
    <row r="8140" spans="5:5">
      <c r="E8140"/>
    </row>
    <row r="8141" spans="5:5">
      <c r="E8141"/>
    </row>
    <row r="8142" spans="5:5">
      <c r="E8142"/>
    </row>
    <row r="8143" spans="5:5">
      <c r="E8143"/>
    </row>
    <row r="8144" spans="5:5">
      <c r="E8144"/>
    </row>
    <row r="8145" spans="5:5">
      <c r="E8145"/>
    </row>
    <row r="8146" spans="5:5">
      <c r="E8146"/>
    </row>
    <row r="8147" spans="5:5">
      <c r="E8147"/>
    </row>
    <row r="8148" spans="5:5">
      <c r="E8148"/>
    </row>
    <row r="8149" spans="5:5">
      <c r="E8149"/>
    </row>
    <row r="8150" spans="5:5">
      <c r="E8150"/>
    </row>
    <row r="8151" spans="5:5">
      <c r="E8151"/>
    </row>
    <row r="8152" spans="5:5">
      <c r="E8152"/>
    </row>
    <row r="8153" spans="5:5">
      <c r="E8153"/>
    </row>
    <row r="8154" spans="5:5">
      <c r="E8154"/>
    </row>
    <row r="8155" spans="5:5">
      <c r="E8155"/>
    </row>
    <row r="8156" spans="5:5">
      <c r="E8156"/>
    </row>
    <row r="8157" spans="5:5">
      <c r="E8157"/>
    </row>
    <row r="8158" spans="5:5">
      <c r="E8158"/>
    </row>
    <row r="8159" spans="5:5">
      <c r="E8159"/>
    </row>
    <row r="8160" spans="5:5">
      <c r="E8160"/>
    </row>
    <row r="8161" spans="5:5">
      <c r="E8161"/>
    </row>
    <row r="8162" spans="5:5">
      <c r="E8162"/>
    </row>
    <row r="8163" spans="5:5">
      <c r="E8163"/>
    </row>
    <row r="8164" spans="5:5">
      <c r="E8164"/>
    </row>
    <row r="8165" spans="5:5">
      <c r="E8165"/>
    </row>
    <row r="8166" spans="5:5">
      <c r="E8166"/>
    </row>
    <row r="8167" spans="5:5">
      <c r="E8167"/>
    </row>
    <row r="8168" spans="5:5">
      <c r="E8168"/>
    </row>
    <row r="8169" spans="5:5">
      <c r="E8169"/>
    </row>
    <row r="8170" spans="5:5">
      <c r="E8170"/>
    </row>
    <row r="8171" spans="5:5">
      <c r="E8171"/>
    </row>
    <row r="8172" spans="5:5">
      <c r="E8172"/>
    </row>
    <row r="8173" spans="5:5">
      <c r="E8173"/>
    </row>
    <row r="8174" spans="5:5">
      <c r="E8174"/>
    </row>
    <row r="8175" spans="5:5">
      <c r="E8175"/>
    </row>
    <row r="8176" spans="5:5">
      <c r="E8176"/>
    </row>
    <row r="8177" spans="5:5">
      <c r="E8177"/>
    </row>
    <row r="8178" spans="5:5">
      <c r="E8178"/>
    </row>
    <row r="8179" spans="5:5">
      <c r="E8179"/>
    </row>
    <row r="8180" spans="5:5">
      <c r="E8180"/>
    </row>
    <row r="8181" spans="5:5">
      <c r="E8181"/>
    </row>
    <row r="8182" spans="5:5">
      <c r="E8182"/>
    </row>
    <row r="8183" spans="5:5">
      <c r="E8183"/>
    </row>
    <row r="8184" spans="5:5">
      <c r="E8184"/>
    </row>
    <row r="8185" spans="5:5">
      <c r="E8185"/>
    </row>
    <row r="8186" spans="5:5">
      <c r="E8186"/>
    </row>
    <row r="8187" spans="5:5">
      <c r="E8187"/>
    </row>
    <row r="8188" spans="5:5">
      <c r="E8188"/>
    </row>
    <row r="8189" spans="5:5">
      <c r="E8189"/>
    </row>
    <row r="8190" spans="5:5">
      <c r="E8190"/>
    </row>
    <row r="8191" spans="5:5">
      <c r="E8191"/>
    </row>
    <row r="8192" spans="5:5">
      <c r="E8192"/>
    </row>
    <row r="8193" spans="5:5">
      <c r="E8193"/>
    </row>
    <row r="8194" spans="5:5">
      <c r="E8194"/>
    </row>
    <row r="8195" spans="5:5">
      <c r="E8195"/>
    </row>
    <row r="8196" spans="5:5">
      <c r="E8196"/>
    </row>
    <row r="8197" spans="5:5">
      <c r="E8197"/>
    </row>
    <row r="8198" spans="5:5">
      <c r="E8198"/>
    </row>
    <row r="8199" spans="5:5">
      <c r="E8199"/>
    </row>
    <row r="8200" spans="5:5">
      <c r="E8200"/>
    </row>
    <row r="8201" spans="5:5">
      <c r="E8201"/>
    </row>
    <row r="8202" spans="5:5">
      <c r="E8202"/>
    </row>
    <row r="8203" spans="5:5">
      <c r="E8203"/>
    </row>
    <row r="8204" spans="5:5">
      <c r="E8204"/>
    </row>
    <row r="8205" spans="5:5">
      <c r="E8205"/>
    </row>
    <row r="8206" spans="5:5">
      <c r="E8206"/>
    </row>
    <row r="8207" spans="5:5">
      <c r="E8207"/>
    </row>
    <row r="8208" spans="5:5">
      <c r="E8208"/>
    </row>
    <row r="8209" spans="5:5">
      <c r="E8209"/>
    </row>
    <row r="8210" spans="5:5">
      <c r="E8210"/>
    </row>
    <row r="8211" spans="5:5">
      <c r="E8211"/>
    </row>
    <row r="8212" spans="5:5">
      <c r="E8212"/>
    </row>
    <row r="8213" spans="5:5">
      <c r="E8213"/>
    </row>
    <row r="8214" spans="5:5">
      <c r="E8214"/>
    </row>
    <row r="8215" spans="5:5">
      <c r="E8215"/>
    </row>
    <row r="8216" spans="5:5">
      <c r="E8216"/>
    </row>
    <row r="8217" spans="5:5">
      <c r="E8217"/>
    </row>
    <row r="8218" spans="5:5">
      <c r="E8218"/>
    </row>
    <row r="8219" spans="5:5">
      <c r="E8219"/>
    </row>
    <row r="8220" spans="5:5">
      <c r="E8220"/>
    </row>
    <row r="8221" spans="5:5">
      <c r="E8221"/>
    </row>
    <row r="8222" spans="5:5">
      <c r="E8222"/>
    </row>
    <row r="8223" spans="5:5">
      <c r="E8223"/>
    </row>
    <row r="8224" spans="5:5">
      <c r="E8224"/>
    </row>
    <row r="8225" spans="5:5">
      <c r="E8225"/>
    </row>
    <row r="8226" spans="5:5">
      <c r="E8226"/>
    </row>
    <row r="8227" spans="5:5">
      <c r="E8227"/>
    </row>
    <row r="8228" spans="5:5">
      <c r="E8228"/>
    </row>
    <row r="8229" spans="5:5">
      <c r="E8229"/>
    </row>
    <row r="8230" spans="5:5">
      <c r="E8230"/>
    </row>
    <row r="8231" spans="5:5">
      <c r="E8231"/>
    </row>
    <row r="8232" spans="5:5">
      <c r="E8232"/>
    </row>
    <row r="8233" spans="5:5">
      <c r="E8233"/>
    </row>
    <row r="8234" spans="5:5">
      <c r="E8234"/>
    </row>
    <row r="8235" spans="5:5">
      <c r="E8235"/>
    </row>
    <row r="8236" spans="5:5">
      <c r="E8236"/>
    </row>
    <row r="8237" spans="5:5">
      <c r="E8237"/>
    </row>
    <row r="8238" spans="5:5">
      <c r="E8238"/>
    </row>
    <row r="8239" spans="5:5">
      <c r="E8239"/>
    </row>
    <row r="8240" spans="5:5">
      <c r="E8240"/>
    </row>
    <row r="8241" spans="5:5">
      <c r="E8241"/>
    </row>
    <row r="8242" spans="5:5">
      <c r="E8242"/>
    </row>
    <row r="8243" spans="5:5">
      <c r="E8243"/>
    </row>
    <row r="8244" spans="5:5">
      <c r="E8244"/>
    </row>
    <row r="8245" spans="5:5">
      <c r="E8245"/>
    </row>
    <row r="8246" spans="5:5">
      <c r="E8246"/>
    </row>
    <row r="8247" spans="5:5">
      <c r="E8247"/>
    </row>
    <row r="8248" spans="5:5">
      <c r="E8248"/>
    </row>
    <row r="8249" spans="5:5">
      <c r="E8249"/>
    </row>
    <row r="8250" spans="5:5">
      <c r="E8250"/>
    </row>
    <row r="8251" spans="5:5">
      <c r="E8251"/>
    </row>
    <row r="8252" spans="5:5">
      <c r="E8252"/>
    </row>
    <row r="8253" spans="5:5">
      <c r="E8253"/>
    </row>
    <row r="8254" spans="5:5">
      <c r="E8254"/>
    </row>
    <row r="8255" spans="5:5">
      <c r="E8255"/>
    </row>
    <row r="8256" spans="5:5">
      <c r="E8256"/>
    </row>
    <row r="8257" spans="5:5">
      <c r="E8257"/>
    </row>
    <row r="8258" spans="5:5">
      <c r="E8258"/>
    </row>
    <row r="8259" spans="5:5">
      <c r="E8259"/>
    </row>
    <row r="8260" spans="5:5">
      <c r="E8260"/>
    </row>
    <row r="8261" spans="5:5">
      <c r="E8261"/>
    </row>
    <row r="8262" spans="5:5">
      <c r="E8262"/>
    </row>
    <row r="8263" spans="5:5">
      <c r="E8263"/>
    </row>
    <row r="8264" spans="5:5">
      <c r="E8264"/>
    </row>
    <row r="8265" spans="5:5">
      <c r="E8265"/>
    </row>
    <row r="8266" spans="5:5">
      <c r="E8266"/>
    </row>
    <row r="8267" spans="5:5">
      <c r="E8267"/>
    </row>
    <row r="8268" spans="5:5">
      <c r="E8268"/>
    </row>
    <row r="8269" spans="5:5">
      <c r="E8269"/>
    </row>
    <row r="8270" spans="5:5">
      <c r="E8270"/>
    </row>
    <row r="8271" spans="5:5">
      <c r="E8271"/>
    </row>
    <row r="8272" spans="5:5">
      <c r="E8272"/>
    </row>
    <row r="8273" spans="5:5">
      <c r="E8273"/>
    </row>
    <row r="8274" spans="5:5">
      <c r="E8274"/>
    </row>
    <row r="8275" spans="5:5">
      <c r="E8275"/>
    </row>
    <row r="8276" spans="5:5">
      <c r="E8276"/>
    </row>
    <row r="8277" spans="5:5">
      <c r="E8277"/>
    </row>
    <row r="8278" spans="5:5">
      <c r="E8278"/>
    </row>
    <row r="8279" spans="5:5">
      <c r="E8279"/>
    </row>
    <row r="8280" spans="5:5">
      <c r="E8280"/>
    </row>
    <row r="8281" spans="5:5">
      <c r="E8281"/>
    </row>
    <row r="8282" spans="5:5">
      <c r="E8282"/>
    </row>
    <row r="8283" spans="5:5">
      <c r="E8283"/>
    </row>
    <row r="8284" spans="5:5">
      <c r="E8284"/>
    </row>
    <row r="8285" spans="5:5">
      <c r="E8285"/>
    </row>
    <row r="8286" spans="5:5">
      <c r="E8286"/>
    </row>
    <row r="8287" spans="5:5">
      <c r="E8287"/>
    </row>
    <row r="8288" spans="5:5">
      <c r="E8288"/>
    </row>
    <row r="8289" spans="5:5">
      <c r="E8289"/>
    </row>
    <row r="8290" spans="5:5">
      <c r="E8290"/>
    </row>
    <row r="8291" spans="5:5">
      <c r="E8291"/>
    </row>
    <row r="8292" spans="5:5">
      <c r="E8292"/>
    </row>
    <row r="8293" spans="5:5">
      <c r="E8293"/>
    </row>
    <row r="8294" spans="5:5">
      <c r="E8294"/>
    </row>
    <row r="8295" spans="5:5">
      <c r="E8295"/>
    </row>
    <row r="8296" spans="5:5">
      <c r="E8296"/>
    </row>
    <row r="8297" spans="5:5">
      <c r="E8297"/>
    </row>
    <row r="8298" spans="5:5">
      <c r="E8298"/>
    </row>
    <row r="8299" spans="5:5">
      <c r="E8299"/>
    </row>
    <row r="8300" spans="5:5">
      <c r="E8300"/>
    </row>
    <row r="8301" spans="5:5">
      <c r="E8301"/>
    </row>
    <row r="8302" spans="5:5">
      <c r="E8302"/>
    </row>
    <row r="8303" spans="5:5">
      <c r="E8303"/>
    </row>
    <row r="8304" spans="5:5">
      <c r="E8304"/>
    </row>
    <row r="8305" spans="5:5">
      <c r="E8305"/>
    </row>
    <row r="8306" spans="5:5">
      <c r="E8306"/>
    </row>
    <row r="8307" spans="5:5">
      <c r="E8307"/>
    </row>
    <row r="8308" spans="5:5">
      <c r="E8308"/>
    </row>
    <row r="8309" spans="5:5">
      <c r="E8309"/>
    </row>
    <row r="8310" spans="5:5">
      <c r="E8310"/>
    </row>
    <row r="8311" spans="5:5">
      <c r="E8311"/>
    </row>
    <row r="8312" spans="5:5">
      <c r="E8312"/>
    </row>
    <row r="8313" spans="5:5">
      <c r="E8313"/>
    </row>
    <row r="8314" spans="5:5">
      <c r="E8314"/>
    </row>
    <row r="8315" spans="5:5">
      <c r="E8315"/>
    </row>
    <row r="8316" spans="5:5">
      <c r="E8316"/>
    </row>
    <row r="8317" spans="5:5">
      <c r="E8317"/>
    </row>
    <row r="8318" spans="5:5">
      <c r="E8318"/>
    </row>
    <row r="8319" spans="5:5">
      <c r="E8319"/>
    </row>
    <row r="8320" spans="5:5">
      <c r="E8320"/>
    </row>
    <row r="8321" spans="5:5">
      <c r="E8321"/>
    </row>
    <row r="8322" spans="5:5">
      <c r="E8322"/>
    </row>
    <row r="8323" spans="5:5">
      <c r="E8323"/>
    </row>
    <row r="8324" spans="5:5">
      <c r="E8324"/>
    </row>
    <row r="8325" spans="5:5">
      <c r="E8325"/>
    </row>
    <row r="8326" spans="5:5">
      <c r="E8326"/>
    </row>
    <row r="8327" spans="5:5">
      <c r="E8327"/>
    </row>
    <row r="8328" spans="5:5">
      <c r="E8328"/>
    </row>
    <row r="8329" spans="5:5">
      <c r="E8329"/>
    </row>
    <row r="8330" spans="5:5">
      <c r="E8330"/>
    </row>
    <row r="8331" spans="5:5">
      <c r="E8331"/>
    </row>
    <row r="8332" spans="5:5">
      <c r="E8332"/>
    </row>
    <row r="8333" spans="5:5">
      <c r="E8333"/>
    </row>
    <row r="8334" spans="5:5">
      <c r="E8334"/>
    </row>
    <row r="8335" spans="5:5">
      <c r="E8335"/>
    </row>
    <row r="8336" spans="5:5">
      <c r="E8336"/>
    </row>
    <row r="8337" spans="5:5">
      <c r="E8337"/>
    </row>
    <row r="8338" spans="5:5">
      <c r="E8338"/>
    </row>
    <row r="8339" spans="5:5">
      <c r="E8339"/>
    </row>
    <row r="8340" spans="5:5">
      <c r="E8340"/>
    </row>
    <row r="8341" spans="5:5">
      <c r="E8341"/>
    </row>
    <row r="8342" spans="5:5">
      <c r="E8342"/>
    </row>
    <row r="8343" spans="5:5">
      <c r="E8343"/>
    </row>
    <row r="8344" spans="5:5">
      <c r="E8344"/>
    </row>
    <row r="8345" spans="5:5">
      <c r="E8345"/>
    </row>
    <row r="8346" spans="5:5">
      <c r="E8346"/>
    </row>
    <row r="8347" spans="5:5">
      <c r="E8347"/>
    </row>
    <row r="8348" spans="5:5">
      <c r="E8348"/>
    </row>
    <row r="8349" spans="5:5">
      <c r="E8349"/>
    </row>
    <row r="8350" spans="5:5">
      <c r="E8350"/>
    </row>
    <row r="8351" spans="5:5">
      <c r="E8351"/>
    </row>
    <row r="8352" spans="5:5">
      <c r="E8352"/>
    </row>
    <row r="8353" spans="5:5">
      <c r="E8353"/>
    </row>
    <row r="8354" spans="5:5">
      <c r="E8354"/>
    </row>
    <row r="8355" spans="5:5">
      <c r="E8355"/>
    </row>
    <row r="8356" spans="5:5">
      <c r="E8356"/>
    </row>
    <row r="8357" spans="5:5">
      <c r="E8357"/>
    </row>
    <row r="8358" spans="5:5">
      <c r="E8358"/>
    </row>
    <row r="8359" spans="5:5">
      <c r="E8359"/>
    </row>
    <row r="8360" spans="5:5">
      <c r="E8360"/>
    </row>
    <row r="8361" spans="5:5">
      <c r="E8361"/>
    </row>
    <row r="8362" spans="5:5">
      <c r="E8362"/>
    </row>
    <row r="8363" spans="5:5">
      <c r="E8363"/>
    </row>
    <row r="8364" spans="5:5">
      <c r="E8364"/>
    </row>
    <row r="8365" spans="5:5">
      <c r="E8365"/>
    </row>
    <row r="8366" spans="5:5">
      <c r="E8366"/>
    </row>
    <row r="8367" spans="5:5">
      <c r="E8367"/>
    </row>
    <row r="8368" spans="5:5">
      <c r="E8368"/>
    </row>
    <row r="8369" spans="5:5">
      <c r="E8369"/>
    </row>
    <row r="8370" spans="5:5">
      <c r="E8370"/>
    </row>
    <row r="8371" spans="5:5">
      <c r="E8371"/>
    </row>
    <row r="8372" spans="5:5">
      <c r="E8372"/>
    </row>
    <row r="8373" spans="5:5">
      <c r="E8373"/>
    </row>
    <row r="8374" spans="5:5">
      <c r="E8374"/>
    </row>
    <row r="8375" spans="5:5">
      <c r="E8375"/>
    </row>
    <row r="8376" spans="5:5">
      <c r="E8376"/>
    </row>
    <row r="8377" spans="5:5">
      <c r="E8377"/>
    </row>
    <row r="8378" spans="5:5">
      <c r="E8378"/>
    </row>
    <row r="8379" spans="5:5">
      <c r="E8379"/>
    </row>
    <row r="8380" spans="5:5">
      <c r="E8380"/>
    </row>
    <row r="8381" spans="5:5">
      <c r="E8381"/>
    </row>
    <row r="8382" spans="5:5">
      <c r="E8382"/>
    </row>
    <row r="8383" spans="5:5">
      <c r="E8383"/>
    </row>
    <row r="8384" spans="5:5">
      <c r="E8384"/>
    </row>
    <row r="8385" spans="5:5">
      <c r="E8385"/>
    </row>
    <row r="8386" spans="5:5">
      <c r="E8386"/>
    </row>
    <row r="8387" spans="5:5">
      <c r="E8387"/>
    </row>
    <row r="8388" spans="5:5">
      <c r="E8388"/>
    </row>
    <row r="8389" spans="5:5">
      <c r="E8389"/>
    </row>
    <row r="8390" spans="5:5">
      <c r="E8390"/>
    </row>
    <row r="8391" spans="5:5">
      <c r="E8391"/>
    </row>
    <row r="8392" spans="5:5">
      <c r="E8392"/>
    </row>
    <row r="8393" spans="5:5">
      <c r="E8393"/>
    </row>
    <row r="8394" spans="5:5">
      <c r="E8394"/>
    </row>
    <row r="8395" spans="5:5">
      <c r="E8395"/>
    </row>
    <row r="8396" spans="5:5">
      <c r="E8396"/>
    </row>
    <row r="8397" spans="5:5">
      <c r="E8397"/>
    </row>
    <row r="8398" spans="5:5">
      <c r="E8398"/>
    </row>
    <row r="8399" spans="5:5">
      <c r="E8399"/>
    </row>
    <row r="8400" spans="5:5">
      <c r="E8400"/>
    </row>
    <row r="8401" spans="5:5">
      <c r="E8401"/>
    </row>
    <row r="8402" spans="5:5">
      <c r="E8402"/>
    </row>
    <row r="8403" spans="5:5">
      <c r="E8403"/>
    </row>
    <row r="8404" spans="5:5">
      <c r="E8404"/>
    </row>
    <row r="8405" spans="5:5">
      <c r="E8405"/>
    </row>
    <row r="8406" spans="5:5">
      <c r="E8406"/>
    </row>
    <row r="8407" spans="5:5">
      <c r="E8407"/>
    </row>
    <row r="8408" spans="5:5">
      <c r="E8408"/>
    </row>
    <row r="8409" spans="5:5">
      <c r="E8409"/>
    </row>
    <row r="8410" spans="5:5">
      <c r="E8410"/>
    </row>
    <row r="8411" spans="5:5">
      <c r="E8411"/>
    </row>
    <row r="8412" spans="5:5">
      <c r="E8412"/>
    </row>
    <row r="8413" spans="5:5">
      <c r="E8413"/>
    </row>
    <row r="8414" spans="5:5">
      <c r="E8414"/>
    </row>
    <row r="8415" spans="5:5">
      <c r="E8415"/>
    </row>
    <row r="8416" spans="5:5">
      <c r="E8416"/>
    </row>
    <row r="8417" spans="5:5">
      <c r="E8417"/>
    </row>
    <row r="8418" spans="5:5">
      <c r="E8418"/>
    </row>
    <row r="8419" spans="5:5">
      <c r="E8419"/>
    </row>
    <row r="8420" spans="5:5">
      <c r="E8420"/>
    </row>
    <row r="8421" spans="5:5">
      <c r="E8421"/>
    </row>
    <row r="8422" spans="5:5">
      <c r="E8422"/>
    </row>
    <row r="8423" spans="5:5">
      <c r="E8423"/>
    </row>
    <row r="8424" spans="5:5">
      <c r="E8424"/>
    </row>
    <row r="8425" spans="5:5">
      <c r="E8425"/>
    </row>
    <row r="8426" spans="5:5">
      <c r="E8426"/>
    </row>
    <row r="8427" spans="5:5">
      <c r="E8427"/>
    </row>
    <row r="8428" spans="5:5">
      <c r="E8428"/>
    </row>
    <row r="8429" spans="5:5">
      <c r="E8429"/>
    </row>
    <row r="8430" spans="5:5">
      <c r="E8430"/>
    </row>
    <row r="8431" spans="5:5">
      <c r="E8431"/>
    </row>
    <row r="8432" spans="5:5">
      <c r="E8432"/>
    </row>
    <row r="8433" spans="5:5">
      <c r="E8433"/>
    </row>
    <row r="8434" spans="5:5">
      <c r="E8434"/>
    </row>
    <row r="8435" spans="5:5">
      <c r="E8435"/>
    </row>
    <row r="8436" spans="5:5">
      <c r="E8436"/>
    </row>
    <row r="8437" spans="5:5">
      <c r="E8437"/>
    </row>
    <row r="8438" spans="5:5">
      <c r="E8438"/>
    </row>
    <row r="8439" spans="5:5">
      <c r="E8439"/>
    </row>
    <row r="8440" spans="5:5">
      <c r="E8440"/>
    </row>
    <row r="8441" spans="5:5">
      <c r="E8441"/>
    </row>
    <row r="8442" spans="5:5">
      <c r="E8442"/>
    </row>
    <row r="8443" spans="5:5">
      <c r="E8443"/>
    </row>
    <row r="8444" spans="5:5">
      <c r="E8444"/>
    </row>
    <row r="8445" spans="5:5">
      <c r="E8445"/>
    </row>
    <row r="8446" spans="5:5">
      <c r="E8446"/>
    </row>
    <row r="8447" spans="5:5">
      <c r="E8447"/>
    </row>
    <row r="8448" spans="5:5">
      <c r="E8448"/>
    </row>
    <row r="8449" spans="5:5">
      <c r="E8449"/>
    </row>
    <row r="8450" spans="5:5">
      <c r="E8450"/>
    </row>
    <row r="8451" spans="5:5">
      <c r="E8451"/>
    </row>
    <row r="8452" spans="5:5">
      <c r="E8452"/>
    </row>
    <row r="8453" spans="5:5">
      <c r="E8453"/>
    </row>
    <row r="8454" spans="5:5">
      <c r="E8454"/>
    </row>
    <row r="8455" spans="5:5">
      <c r="E8455"/>
    </row>
    <row r="8456" spans="5:5">
      <c r="E8456"/>
    </row>
    <row r="8457" spans="5:5">
      <c r="E8457"/>
    </row>
    <row r="8458" spans="5:5">
      <c r="E8458"/>
    </row>
    <row r="8459" spans="5:5">
      <c r="E8459"/>
    </row>
    <row r="8460" spans="5:5">
      <c r="E8460"/>
    </row>
    <row r="8461" spans="5:5">
      <c r="E8461"/>
    </row>
    <row r="8462" spans="5:5">
      <c r="E8462"/>
    </row>
    <row r="8463" spans="5:5">
      <c r="E8463"/>
    </row>
    <row r="8464" spans="5:5">
      <c r="E8464"/>
    </row>
    <row r="8465" spans="5:5">
      <c r="E8465"/>
    </row>
    <row r="8466" spans="5:5">
      <c r="E8466"/>
    </row>
    <row r="8467" spans="5:5">
      <c r="E8467"/>
    </row>
    <row r="8468" spans="5:5">
      <c r="E8468"/>
    </row>
    <row r="8469" spans="5:5">
      <c r="E8469"/>
    </row>
    <row r="8470" spans="5:5">
      <c r="E8470"/>
    </row>
    <row r="8471" spans="5:5">
      <c r="E8471"/>
    </row>
    <row r="8472" spans="5:5">
      <c r="E8472"/>
    </row>
    <row r="8473" spans="5:5">
      <c r="E8473"/>
    </row>
    <row r="8474" spans="5:5">
      <c r="E8474"/>
    </row>
    <row r="8475" spans="5:5">
      <c r="E8475"/>
    </row>
    <row r="8476" spans="5:5">
      <c r="E8476"/>
    </row>
    <row r="8477" spans="5:5">
      <c r="E8477"/>
    </row>
    <row r="8478" spans="5:5">
      <c r="E8478"/>
    </row>
    <row r="8479" spans="5:5">
      <c r="E8479"/>
    </row>
    <row r="8480" spans="5:5">
      <c r="E8480"/>
    </row>
    <row r="8481" spans="5:5">
      <c r="E8481"/>
    </row>
    <row r="8482" spans="5:5">
      <c r="E8482"/>
    </row>
    <row r="8483" spans="5:5">
      <c r="E8483"/>
    </row>
    <row r="8484" spans="5:5">
      <c r="E8484"/>
    </row>
    <row r="8485" spans="5:5">
      <c r="E8485"/>
    </row>
    <row r="8486" spans="5:5">
      <c r="E8486"/>
    </row>
    <row r="8487" spans="5:5">
      <c r="E8487"/>
    </row>
    <row r="8488" spans="5:5">
      <c r="E8488"/>
    </row>
    <row r="8489" spans="5:5">
      <c r="E8489"/>
    </row>
    <row r="8490" spans="5:5">
      <c r="E8490"/>
    </row>
    <row r="8491" spans="5:5">
      <c r="E8491"/>
    </row>
    <row r="8492" spans="5:5">
      <c r="E8492"/>
    </row>
    <row r="8493" spans="5:5">
      <c r="E8493"/>
    </row>
    <row r="8494" spans="5:5">
      <c r="E8494"/>
    </row>
    <row r="8495" spans="5:5">
      <c r="E8495"/>
    </row>
    <row r="8496" spans="5:5">
      <c r="E8496"/>
    </row>
    <row r="8497" spans="5:5">
      <c r="E8497"/>
    </row>
    <row r="8498" spans="5:5">
      <c r="E8498"/>
    </row>
    <row r="8499" spans="5:5">
      <c r="E8499"/>
    </row>
    <row r="8500" spans="5:5">
      <c r="E8500"/>
    </row>
    <row r="8501" spans="5:5">
      <c r="E8501"/>
    </row>
    <row r="8502" spans="5:5">
      <c r="E8502"/>
    </row>
    <row r="8503" spans="5:5">
      <c r="E8503"/>
    </row>
    <row r="8504" spans="5:5">
      <c r="E8504"/>
    </row>
    <row r="8505" spans="5:5">
      <c r="E8505"/>
    </row>
    <row r="8506" spans="5:5">
      <c r="E8506"/>
    </row>
    <row r="8507" spans="5:5">
      <c r="E8507"/>
    </row>
    <row r="8508" spans="5:5">
      <c r="E8508"/>
    </row>
    <row r="8509" spans="5:5">
      <c r="E8509"/>
    </row>
    <row r="8510" spans="5:5">
      <c r="E8510"/>
    </row>
    <row r="8511" spans="5:5">
      <c r="E8511"/>
    </row>
    <row r="8512" spans="5:5">
      <c r="E8512"/>
    </row>
    <row r="8513" spans="5:5">
      <c r="E8513"/>
    </row>
    <row r="8514" spans="5:5">
      <c r="E8514"/>
    </row>
    <row r="8515" spans="5:5">
      <c r="E8515"/>
    </row>
    <row r="8516" spans="5:5">
      <c r="E8516"/>
    </row>
    <row r="8517" spans="5:5">
      <c r="E8517"/>
    </row>
    <row r="8518" spans="5:5">
      <c r="E8518"/>
    </row>
    <row r="8519" spans="5:5">
      <c r="E8519"/>
    </row>
    <row r="8520" spans="5:5">
      <c r="E8520"/>
    </row>
    <row r="8521" spans="5:5">
      <c r="E8521"/>
    </row>
    <row r="8522" spans="5:5">
      <c r="E8522"/>
    </row>
    <row r="8523" spans="5:5">
      <c r="E8523"/>
    </row>
    <row r="8524" spans="5:5">
      <c r="E8524"/>
    </row>
    <row r="8525" spans="5:5">
      <c r="E8525"/>
    </row>
    <row r="8526" spans="5:5">
      <c r="E8526"/>
    </row>
    <row r="8527" spans="5:5">
      <c r="E8527"/>
    </row>
    <row r="8528" spans="5:5">
      <c r="E8528"/>
    </row>
    <row r="8529" spans="5:5">
      <c r="E8529"/>
    </row>
    <row r="8530" spans="5:5">
      <c r="E8530"/>
    </row>
    <row r="8531" spans="5:5">
      <c r="E8531"/>
    </row>
    <row r="8532" spans="5:5">
      <c r="E8532"/>
    </row>
    <row r="8533" spans="5:5">
      <c r="E8533"/>
    </row>
    <row r="8534" spans="5:5">
      <c r="E8534"/>
    </row>
    <row r="8535" spans="5:5">
      <c r="E8535"/>
    </row>
    <row r="8536" spans="5:5">
      <c r="E8536"/>
    </row>
    <row r="8537" spans="5:5">
      <c r="E8537"/>
    </row>
    <row r="8538" spans="5:5">
      <c r="E8538"/>
    </row>
    <row r="8539" spans="5:5">
      <c r="E8539"/>
    </row>
    <row r="8540" spans="5:5">
      <c r="E8540"/>
    </row>
    <row r="8541" spans="5:5">
      <c r="E8541"/>
    </row>
    <row r="8542" spans="5:5">
      <c r="E8542"/>
    </row>
    <row r="8543" spans="5:5">
      <c r="E8543"/>
    </row>
    <row r="8544" spans="5:5">
      <c r="E8544"/>
    </row>
    <row r="8545" spans="5:5">
      <c r="E8545"/>
    </row>
    <row r="8546" spans="5:5">
      <c r="E8546"/>
    </row>
    <row r="8547" spans="5:5">
      <c r="E8547"/>
    </row>
    <row r="8548" spans="5:5">
      <c r="E8548"/>
    </row>
    <row r="8549" spans="5:5">
      <c r="E8549"/>
    </row>
    <row r="8550" spans="5:5">
      <c r="E8550"/>
    </row>
    <row r="8551" spans="5:5">
      <c r="E8551"/>
    </row>
    <row r="8552" spans="5:5">
      <c r="E8552"/>
    </row>
    <row r="8553" spans="5:5">
      <c r="E8553"/>
    </row>
    <row r="8554" spans="5:5">
      <c r="E8554"/>
    </row>
    <row r="8555" spans="5:5">
      <c r="E8555"/>
    </row>
    <row r="8556" spans="5:5">
      <c r="E8556"/>
    </row>
    <row r="8557" spans="5:5">
      <c r="E8557"/>
    </row>
    <row r="8558" spans="5:5">
      <c r="E8558"/>
    </row>
    <row r="8559" spans="5:5">
      <c r="E8559"/>
    </row>
    <row r="8560" spans="5:5">
      <c r="E8560"/>
    </row>
    <row r="8561" spans="5:5">
      <c r="E8561"/>
    </row>
    <row r="8562" spans="5:5">
      <c r="E8562"/>
    </row>
    <row r="8563" spans="5:5">
      <c r="E8563"/>
    </row>
    <row r="8564" spans="5:5">
      <c r="E8564"/>
    </row>
    <row r="8565" spans="5:5">
      <c r="E8565"/>
    </row>
    <row r="8566" spans="5:5">
      <c r="E8566"/>
    </row>
    <row r="8567" spans="5:5">
      <c r="E8567"/>
    </row>
    <row r="8568" spans="5:5">
      <c r="E8568"/>
    </row>
    <row r="8569" spans="5:5">
      <c r="E8569"/>
    </row>
    <row r="8570" spans="5:5">
      <c r="E8570"/>
    </row>
    <row r="8571" spans="5:5">
      <c r="E8571"/>
    </row>
    <row r="8572" spans="5:5">
      <c r="E8572"/>
    </row>
    <row r="8573" spans="5:5">
      <c r="E8573"/>
    </row>
    <row r="8574" spans="5:5">
      <c r="E8574"/>
    </row>
    <row r="8575" spans="5:5">
      <c r="E8575"/>
    </row>
    <row r="8576" spans="5:5">
      <c r="E8576"/>
    </row>
    <row r="8577" spans="5:5">
      <c r="E8577"/>
    </row>
    <row r="8578" spans="5:5">
      <c r="E8578"/>
    </row>
    <row r="8579" spans="5:5">
      <c r="E8579"/>
    </row>
    <row r="8580" spans="5:5">
      <c r="E8580"/>
    </row>
    <row r="8581" spans="5:5">
      <c r="E8581"/>
    </row>
    <row r="8582" spans="5:5">
      <c r="E8582"/>
    </row>
    <row r="8583" spans="5:5">
      <c r="E8583"/>
    </row>
    <row r="8584" spans="5:5">
      <c r="E8584"/>
    </row>
    <row r="8585" spans="5:5">
      <c r="E8585"/>
    </row>
    <row r="8586" spans="5:5">
      <c r="E8586"/>
    </row>
    <row r="8587" spans="5:5">
      <c r="E8587"/>
    </row>
    <row r="8588" spans="5:5">
      <c r="E8588"/>
    </row>
    <row r="8589" spans="5:5">
      <c r="E8589"/>
    </row>
    <row r="8590" spans="5:5">
      <c r="E8590"/>
    </row>
    <row r="8591" spans="5:5">
      <c r="E8591"/>
    </row>
    <row r="8592" spans="5:5">
      <c r="E8592"/>
    </row>
    <row r="8593" spans="5:5">
      <c r="E8593"/>
    </row>
    <row r="8594" spans="5:5">
      <c r="E8594"/>
    </row>
    <row r="8595" spans="5:5">
      <c r="E8595"/>
    </row>
    <row r="8596" spans="5:5">
      <c r="E8596"/>
    </row>
    <row r="8597" spans="5:5">
      <c r="E8597"/>
    </row>
    <row r="8598" spans="5:5">
      <c r="E8598"/>
    </row>
    <row r="8599" spans="5:5">
      <c r="E8599"/>
    </row>
    <row r="8600" spans="5:5">
      <c r="E8600"/>
    </row>
    <row r="8601" spans="5:5">
      <c r="E8601"/>
    </row>
    <row r="8602" spans="5:5">
      <c r="E8602"/>
    </row>
    <row r="8603" spans="5:5">
      <c r="E8603"/>
    </row>
    <row r="8604" spans="5:5">
      <c r="E8604"/>
    </row>
    <row r="8605" spans="5:5">
      <c r="E8605"/>
    </row>
    <row r="8606" spans="5:5">
      <c r="E8606"/>
    </row>
    <row r="8607" spans="5:5">
      <c r="E8607"/>
    </row>
    <row r="8608" spans="5:5">
      <c r="E8608"/>
    </row>
    <row r="8609" spans="5:5">
      <c r="E8609"/>
    </row>
    <row r="8610" spans="5:5">
      <c r="E8610"/>
    </row>
    <row r="8611" spans="5:5">
      <c r="E8611"/>
    </row>
    <row r="8612" spans="5:5">
      <c r="E8612"/>
    </row>
    <row r="8613" spans="5:5">
      <c r="E8613"/>
    </row>
    <row r="8614" spans="5:5">
      <c r="E8614"/>
    </row>
    <row r="8615" spans="5:5">
      <c r="E8615"/>
    </row>
    <row r="8616" spans="5:5">
      <c r="E8616"/>
    </row>
    <row r="8617" spans="5:5">
      <c r="E8617"/>
    </row>
    <row r="8618" spans="5:5">
      <c r="E8618"/>
    </row>
    <row r="8619" spans="5:5">
      <c r="E8619"/>
    </row>
    <row r="8620" spans="5:5">
      <c r="E8620"/>
    </row>
    <row r="8621" spans="5:5">
      <c r="E8621"/>
    </row>
    <row r="8622" spans="5:5">
      <c r="E8622"/>
    </row>
    <row r="8623" spans="5:5">
      <c r="E8623"/>
    </row>
    <row r="8624" spans="5:5">
      <c r="E8624"/>
    </row>
    <row r="8625" spans="5:5">
      <c r="E8625"/>
    </row>
    <row r="8626" spans="5:5">
      <c r="E8626"/>
    </row>
    <row r="8627" spans="5:5">
      <c r="E8627"/>
    </row>
    <row r="8628" spans="5:5">
      <c r="E8628"/>
    </row>
    <row r="8629" spans="5:5">
      <c r="E8629"/>
    </row>
    <row r="8630" spans="5:5">
      <c r="E8630"/>
    </row>
    <row r="8631" spans="5:5">
      <c r="E8631"/>
    </row>
    <row r="8632" spans="5:5">
      <c r="E8632"/>
    </row>
    <row r="8633" spans="5:5">
      <c r="E8633"/>
    </row>
    <row r="8634" spans="5:5">
      <c r="E8634"/>
    </row>
    <row r="8635" spans="5:5">
      <c r="E8635"/>
    </row>
    <row r="8636" spans="5:5">
      <c r="E8636"/>
    </row>
    <row r="8637" spans="5:5">
      <c r="E8637"/>
    </row>
    <row r="8638" spans="5:5">
      <c r="E8638"/>
    </row>
    <row r="8639" spans="5:5">
      <c r="E8639"/>
    </row>
    <row r="8640" spans="5:5">
      <c r="E8640"/>
    </row>
    <row r="8641" spans="5:5">
      <c r="E8641"/>
    </row>
    <row r="8642" spans="5:5">
      <c r="E8642"/>
    </row>
    <row r="8643" spans="5:5">
      <c r="E8643"/>
    </row>
    <row r="8644" spans="5:5">
      <c r="E8644"/>
    </row>
    <row r="8645" spans="5:5">
      <c r="E8645"/>
    </row>
    <row r="8646" spans="5:5">
      <c r="E8646"/>
    </row>
    <row r="8647" spans="5:5">
      <c r="E8647"/>
    </row>
    <row r="8648" spans="5:5">
      <c r="E8648"/>
    </row>
    <row r="8649" spans="5:5">
      <c r="E8649"/>
    </row>
    <row r="8650" spans="5:5">
      <c r="E8650"/>
    </row>
    <row r="8651" spans="5:5">
      <c r="E8651"/>
    </row>
    <row r="8652" spans="5:5">
      <c r="E8652"/>
    </row>
    <row r="8653" spans="5:5">
      <c r="E8653"/>
    </row>
    <row r="8654" spans="5:5">
      <c r="E8654"/>
    </row>
    <row r="8655" spans="5:5">
      <c r="E8655"/>
    </row>
    <row r="8656" spans="5:5">
      <c r="E8656"/>
    </row>
    <row r="8657" spans="5:5">
      <c r="E8657"/>
    </row>
    <row r="8658" spans="5:5">
      <c r="E8658"/>
    </row>
    <row r="8659" spans="5:5">
      <c r="E8659"/>
    </row>
    <row r="8660" spans="5:5">
      <c r="E8660"/>
    </row>
    <row r="8661" spans="5:5">
      <c r="E8661"/>
    </row>
    <row r="8662" spans="5:5">
      <c r="E8662"/>
    </row>
    <row r="8663" spans="5:5">
      <c r="E8663"/>
    </row>
    <row r="8664" spans="5:5">
      <c r="E8664"/>
    </row>
    <row r="8665" spans="5:5">
      <c r="E8665"/>
    </row>
    <row r="8666" spans="5:5">
      <c r="E8666"/>
    </row>
    <row r="8667" spans="5:5">
      <c r="E8667"/>
    </row>
    <row r="8668" spans="5:5">
      <c r="E8668"/>
    </row>
    <row r="8669" spans="5:5">
      <c r="E8669"/>
    </row>
    <row r="8670" spans="5:5">
      <c r="E8670"/>
    </row>
    <row r="8671" spans="5:5">
      <c r="E8671"/>
    </row>
    <row r="8672" spans="5:5">
      <c r="E8672"/>
    </row>
    <row r="8673" spans="5:5">
      <c r="E8673"/>
    </row>
    <row r="8674" spans="5:5">
      <c r="E8674"/>
    </row>
    <row r="8675" spans="5:5">
      <c r="E8675"/>
    </row>
    <row r="8676" spans="5:5">
      <c r="E8676"/>
    </row>
    <row r="8677" spans="5:5">
      <c r="E8677"/>
    </row>
    <row r="8678" spans="5:5">
      <c r="E8678"/>
    </row>
    <row r="8679" spans="5:5">
      <c r="E8679"/>
    </row>
    <row r="8680" spans="5:5">
      <c r="E8680"/>
    </row>
    <row r="8681" spans="5:5">
      <c r="E8681"/>
    </row>
    <row r="8682" spans="5:5">
      <c r="E8682"/>
    </row>
    <row r="8683" spans="5:5">
      <c r="E8683"/>
    </row>
    <row r="8684" spans="5:5">
      <c r="E8684"/>
    </row>
    <row r="8685" spans="5:5">
      <c r="E8685"/>
    </row>
    <row r="8686" spans="5:5">
      <c r="E8686"/>
    </row>
    <row r="8687" spans="5:5">
      <c r="E8687"/>
    </row>
    <row r="8688" spans="5:5">
      <c r="E8688"/>
    </row>
    <row r="8689" spans="5:5">
      <c r="E8689"/>
    </row>
    <row r="8690" spans="5:5">
      <c r="E8690"/>
    </row>
    <row r="8691" spans="5:5">
      <c r="E8691"/>
    </row>
    <row r="8692" spans="5:5">
      <c r="E8692"/>
    </row>
    <row r="8693" spans="5:5">
      <c r="E8693"/>
    </row>
    <row r="8694" spans="5:5">
      <c r="E8694"/>
    </row>
    <row r="8695" spans="5:5">
      <c r="E8695"/>
    </row>
    <row r="8696" spans="5:5">
      <c r="E8696"/>
    </row>
    <row r="8697" spans="5:5">
      <c r="E8697"/>
    </row>
    <row r="8698" spans="5:5">
      <c r="E8698"/>
    </row>
    <row r="8699" spans="5:5">
      <c r="E8699"/>
    </row>
    <row r="8700" spans="5:5">
      <c r="E8700"/>
    </row>
    <row r="8701" spans="5:5">
      <c r="E8701"/>
    </row>
    <row r="8702" spans="5:5">
      <c r="E8702"/>
    </row>
    <row r="8703" spans="5:5">
      <c r="E8703"/>
    </row>
    <row r="8704" spans="5:5">
      <c r="E8704"/>
    </row>
    <row r="8705" spans="5:5">
      <c r="E8705"/>
    </row>
    <row r="8706" spans="5:5">
      <c r="E8706"/>
    </row>
    <row r="8707" spans="5:5">
      <c r="E8707"/>
    </row>
    <row r="8708" spans="5:5">
      <c r="E8708"/>
    </row>
    <row r="8709" spans="5:5">
      <c r="E8709"/>
    </row>
    <row r="8710" spans="5:5">
      <c r="E8710"/>
    </row>
    <row r="8711" spans="5:5">
      <c r="E8711"/>
    </row>
    <row r="8712" spans="5:5">
      <c r="E8712"/>
    </row>
    <row r="8713" spans="5:5">
      <c r="E8713"/>
    </row>
    <row r="8714" spans="5:5">
      <c r="E8714"/>
    </row>
    <row r="8715" spans="5:5">
      <c r="E8715"/>
    </row>
    <row r="8716" spans="5:5">
      <c r="E8716"/>
    </row>
    <row r="8717" spans="5:5">
      <c r="E8717"/>
    </row>
    <row r="8718" spans="5:5">
      <c r="E8718"/>
    </row>
    <row r="8719" spans="5:5">
      <c r="E8719"/>
    </row>
    <row r="8720" spans="5:5">
      <c r="E8720"/>
    </row>
    <row r="8721" spans="5:5">
      <c r="E8721"/>
    </row>
    <row r="8722" spans="5:5">
      <c r="E8722"/>
    </row>
    <row r="8723" spans="5:5">
      <c r="E8723"/>
    </row>
    <row r="8724" spans="5:5">
      <c r="E8724"/>
    </row>
    <row r="8725" spans="5:5">
      <c r="E8725"/>
    </row>
    <row r="8726" spans="5:5">
      <c r="E8726"/>
    </row>
    <row r="8727" spans="5:5">
      <c r="E8727"/>
    </row>
    <row r="8728" spans="5:5">
      <c r="E8728"/>
    </row>
    <row r="8729" spans="5:5">
      <c r="E8729"/>
    </row>
    <row r="8730" spans="5:5">
      <c r="E8730"/>
    </row>
    <row r="8731" spans="5:5">
      <c r="E8731"/>
    </row>
    <row r="8732" spans="5:5">
      <c r="E8732"/>
    </row>
    <row r="8733" spans="5:5">
      <c r="E8733"/>
    </row>
    <row r="8734" spans="5:5">
      <c r="E8734"/>
    </row>
    <row r="8735" spans="5:5">
      <c r="E8735"/>
    </row>
    <row r="8736" spans="5:5">
      <c r="E8736"/>
    </row>
    <row r="8737" spans="5:5">
      <c r="E8737"/>
    </row>
    <row r="8738" spans="5:5">
      <c r="E8738"/>
    </row>
    <row r="8739" spans="5:5">
      <c r="E8739"/>
    </row>
    <row r="8740" spans="5:5">
      <c r="E8740"/>
    </row>
    <row r="8741" spans="5:5">
      <c r="E8741"/>
    </row>
    <row r="8742" spans="5:5">
      <c r="E8742"/>
    </row>
    <row r="8743" spans="5:5">
      <c r="E8743"/>
    </row>
    <row r="8744" spans="5:5">
      <c r="E8744"/>
    </row>
    <row r="8745" spans="5:5">
      <c r="E8745"/>
    </row>
    <row r="8746" spans="5:5">
      <c r="E8746"/>
    </row>
    <row r="8747" spans="5:5">
      <c r="E8747"/>
    </row>
    <row r="8748" spans="5:5">
      <c r="E8748"/>
    </row>
    <row r="8749" spans="5:5">
      <c r="E8749"/>
    </row>
    <row r="8750" spans="5:5">
      <c r="E8750"/>
    </row>
    <row r="8751" spans="5:5">
      <c r="E8751"/>
    </row>
    <row r="8752" spans="5:5">
      <c r="E8752"/>
    </row>
    <row r="8753" spans="5:5">
      <c r="E8753"/>
    </row>
    <row r="8754" spans="5:5">
      <c r="E8754"/>
    </row>
    <row r="8755" spans="5:5">
      <c r="E8755"/>
    </row>
    <row r="8756" spans="5:5">
      <c r="E8756"/>
    </row>
    <row r="8757" spans="5:5">
      <c r="E8757"/>
    </row>
    <row r="8758" spans="5:5">
      <c r="E8758"/>
    </row>
    <row r="8759" spans="5:5">
      <c r="E8759"/>
    </row>
    <row r="8760" spans="5:5">
      <c r="E8760"/>
    </row>
    <row r="8761" spans="5:5">
      <c r="E8761"/>
    </row>
    <row r="8762" spans="5:5">
      <c r="E8762"/>
    </row>
    <row r="8763" spans="5:5">
      <c r="E8763"/>
    </row>
    <row r="8764" spans="5:5">
      <c r="E8764"/>
    </row>
    <row r="8765" spans="5:5">
      <c r="E8765"/>
    </row>
    <row r="8766" spans="5:5">
      <c r="E8766"/>
    </row>
    <row r="8767" spans="5:5">
      <c r="E8767"/>
    </row>
    <row r="8768" spans="5:5">
      <c r="E8768"/>
    </row>
    <row r="8769" spans="5:5">
      <c r="E8769"/>
    </row>
    <row r="8770" spans="5:5">
      <c r="E8770"/>
    </row>
    <row r="8771" spans="5:5">
      <c r="E8771"/>
    </row>
    <row r="8772" spans="5:5">
      <c r="E8772"/>
    </row>
    <row r="8773" spans="5:5">
      <c r="E8773"/>
    </row>
    <row r="8774" spans="5:5">
      <c r="E8774"/>
    </row>
    <row r="8775" spans="5:5">
      <c r="E8775"/>
    </row>
    <row r="8776" spans="5:5">
      <c r="E8776"/>
    </row>
    <row r="8777" spans="5:5">
      <c r="E8777"/>
    </row>
    <row r="8778" spans="5:5">
      <c r="E8778"/>
    </row>
    <row r="8779" spans="5:5">
      <c r="E8779"/>
    </row>
    <row r="8780" spans="5:5">
      <c r="E8780"/>
    </row>
    <row r="8781" spans="5:5">
      <c r="E8781"/>
    </row>
    <row r="8782" spans="5:5">
      <c r="E8782"/>
    </row>
    <row r="8783" spans="5:5">
      <c r="E8783"/>
    </row>
    <row r="8784" spans="5:5">
      <c r="E8784"/>
    </row>
    <row r="8785" spans="5:5">
      <c r="E8785"/>
    </row>
    <row r="8786" spans="5:5">
      <c r="E8786"/>
    </row>
    <row r="8787" spans="5:5">
      <c r="E8787"/>
    </row>
    <row r="8788" spans="5:5">
      <c r="E8788"/>
    </row>
    <row r="8789" spans="5:5">
      <c r="E8789"/>
    </row>
    <row r="8790" spans="5:5">
      <c r="E8790"/>
    </row>
    <row r="8791" spans="5:5">
      <c r="E8791"/>
    </row>
    <row r="8792" spans="5:5">
      <c r="E8792"/>
    </row>
    <row r="8793" spans="5:5">
      <c r="E8793"/>
    </row>
    <row r="8794" spans="5:5">
      <c r="E8794"/>
    </row>
    <row r="8795" spans="5:5">
      <c r="E8795"/>
    </row>
    <row r="8796" spans="5:5">
      <c r="E8796"/>
    </row>
    <row r="8797" spans="5:5">
      <c r="E8797"/>
    </row>
    <row r="8798" spans="5:5">
      <c r="E8798"/>
    </row>
    <row r="8799" spans="5:5">
      <c r="E8799"/>
    </row>
    <row r="8800" spans="5:5">
      <c r="E8800"/>
    </row>
    <row r="8801" spans="5:5">
      <c r="E8801"/>
    </row>
    <row r="8802" spans="5:5">
      <c r="E8802"/>
    </row>
    <row r="8803" spans="5:5">
      <c r="E8803"/>
    </row>
    <row r="8804" spans="5:5">
      <c r="E8804"/>
    </row>
    <row r="8805" spans="5:5">
      <c r="E8805"/>
    </row>
    <row r="8806" spans="5:5">
      <c r="E8806"/>
    </row>
    <row r="8807" spans="5:5">
      <c r="E8807"/>
    </row>
    <row r="8808" spans="5:5">
      <c r="E8808"/>
    </row>
    <row r="8809" spans="5:5">
      <c r="E8809"/>
    </row>
    <row r="8810" spans="5:5">
      <c r="E8810"/>
    </row>
    <row r="8811" spans="5:5">
      <c r="E8811"/>
    </row>
    <row r="8812" spans="5:5">
      <c r="E8812"/>
    </row>
    <row r="8813" spans="5:5">
      <c r="E8813"/>
    </row>
    <row r="8814" spans="5:5">
      <c r="E8814"/>
    </row>
    <row r="8815" spans="5:5">
      <c r="E8815"/>
    </row>
    <row r="8816" spans="5:5">
      <c r="E8816"/>
    </row>
    <row r="8817" spans="5:5">
      <c r="E8817"/>
    </row>
    <row r="8818" spans="5:5">
      <c r="E8818"/>
    </row>
    <row r="8819" spans="5:5">
      <c r="E8819"/>
    </row>
    <row r="8820" spans="5:5">
      <c r="E8820"/>
    </row>
    <row r="8821" spans="5:5">
      <c r="E8821"/>
    </row>
    <row r="8822" spans="5:5">
      <c r="E8822"/>
    </row>
    <row r="8823" spans="5:5">
      <c r="E8823"/>
    </row>
    <row r="8824" spans="5:5">
      <c r="E8824"/>
    </row>
    <row r="8825" spans="5:5">
      <c r="E8825"/>
    </row>
    <row r="8826" spans="5:5">
      <c r="E8826"/>
    </row>
    <row r="8827" spans="5:5">
      <c r="E8827"/>
    </row>
    <row r="8828" spans="5:5">
      <c r="E8828"/>
    </row>
    <row r="8829" spans="5:5">
      <c r="E8829"/>
    </row>
    <row r="8830" spans="5:5">
      <c r="E8830"/>
    </row>
    <row r="8831" spans="5:5">
      <c r="E8831"/>
    </row>
    <row r="8832" spans="5:5">
      <c r="E8832"/>
    </row>
    <row r="8833" spans="5:5">
      <c r="E8833"/>
    </row>
    <row r="8834" spans="5:5">
      <c r="E8834"/>
    </row>
    <row r="8835" spans="5:5">
      <c r="E8835"/>
    </row>
    <row r="8836" spans="5:5">
      <c r="E8836"/>
    </row>
    <row r="8837" spans="5:5">
      <c r="E8837"/>
    </row>
    <row r="8838" spans="5:5">
      <c r="E8838"/>
    </row>
    <row r="8839" spans="5:5">
      <c r="E8839"/>
    </row>
    <row r="8840" spans="5:5">
      <c r="E8840"/>
    </row>
    <row r="8841" spans="5:5">
      <c r="E8841"/>
    </row>
    <row r="8842" spans="5:5">
      <c r="E8842"/>
    </row>
    <row r="8843" spans="5:5">
      <c r="E8843"/>
    </row>
    <row r="8844" spans="5:5">
      <c r="E8844"/>
    </row>
    <row r="8845" spans="5:5">
      <c r="E8845"/>
    </row>
    <row r="8846" spans="5:5">
      <c r="E8846"/>
    </row>
    <row r="8847" spans="5:5">
      <c r="E8847"/>
    </row>
    <row r="8848" spans="5:5">
      <c r="E8848"/>
    </row>
    <row r="8849" spans="5:5">
      <c r="E8849"/>
    </row>
    <row r="8850" spans="5:5">
      <c r="E8850"/>
    </row>
    <row r="8851" spans="5:5">
      <c r="E8851"/>
    </row>
    <row r="8852" spans="5:5">
      <c r="E8852"/>
    </row>
    <row r="8853" spans="5:5">
      <c r="E8853"/>
    </row>
    <row r="8854" spans="5:5">
      <c r="E8854"/>
    </row>
    <row r="8855" spans="5:5">
      <c r="E8855"/>
    </row>
    <row r="8856" spans="5:5">
      <c r="E8856"/>
    </row>
    <row r="8857" spans="5:5">
      <c r="E8857"/>
    </row>
    <row r="8858" spans="5:5">
      <c r="E8858"/>
    </row>
    <row r="8859" spans="5:5">
      <c r="E8859"/>
    </row>
    <row r="8860" spans="5:5">
      <c r="E8860"/>
    </row>
    <row r="8861" spans="5:5">
      <c r="E8861"/>
    </row>
    <row r="8862" spans="5:5">
      <c r="E8862"/>
    </row>
    <row r="8863" spans="5:5">
      <c r="E8863"/>
    </row>
    <row r="8864" spans="5:5">
      <c r="E8864"/>
    </row>
    <row r="8865" spans="5:5">
      <c r="E8865"/>
    </row>
    <row r="8866" spans="5:5">
      <c r="E8866"/>
    </row>
    <row r="8867" spans="5:5">
      <c r="E8867"/>
    </row>
    <row r="8868" spans="5:5">
      <c r="E8868"/>
    </row>
    <row r="8869" spans="5:5">
      <c r="E8869"/>
    </row>
    <row r="8870" spans="5:5">
      <c r="E8870"/>
    </row>
    <row r="8871" spans="5:5">
      <c r="E8871"/>
    </row>
    <row r="8872" spans="5:5">
      <c r="E8872"/>
    </row>
    <row r="8873" spans="5:5">
      <c r="E8873"/>
    </row>
    <row r="8874" spans="5:5">
      <c r="E8874"/>
    </row>
    <row r="8875" spans="5:5">
      <c r="E8875"/>
    </row>
    <row r="8876" spans="5:5">
      <c r="E8876"/>
    </row>
    <row r="8877" spans="5:5">
      <c r="E8877"/>
    </row>
    <row r="8878" spans="5:5">
      <c r="E8878"/>
    </row>
    <row r="8879" spans="5:5">
      <c r="E8879"/>
    </row>
    <row r="8880" spans="5:5">
      <c r="E8880"/>
    </row>
    <row r="8881" spans="5:5">
      <c r="E8881"/>
    </row>
    <row r="8882" spans="5:5">
      <c r="E8882"/>
    </row>
    <row r="8883" spans="5:5">
      <c r="E8883"/>
    </row>
    <row r="8884" spans="5:5">
      <c r="E8884"/>
    </row>
    <row r="8885" spans="5:5">
      <c r="E8885"/>
    </row>
    <row r="8886" spans="5:5">
      <c r="E8886"/>
    </row>
    <row r="8887" spans="5:5">
      <c r="E8887"/>
    </row>
    <row r="8888" spans="5:5">
      <c r="E8888"/>
    </row>
    <row r="8889" spans="5:5">
      <c r="E8889"/>
    </row>
    <row r="8890" spans="5:5">
      <c r="E8890"/>
    </row>
    <row r="8891" spans="5:5">
      <c r="E8891"/>
    </row>
    <row r="8892" spans="5:5">
      <c r="E8892"/>
    </row>
    <row r="8893" spans="5:5">
      <c r="E8893"/>
    </row>
    <row r="8894" spans="5:5">
      <c r="E8894"/>
    </row>
    <row r="8895" spans="5:5">
      <c r="E8895"/>
    </row>
    <row r="8896" spans="5:5">
      <c r="E8896"/>
    </row>
    <row r="8897" spans="5:5">
      <c r="E8897"/>
    </row>
    <row r="8898" spans="5:5">
      <c r="E8898"/>
    </row>
    <row r="8899" spans="5:5">
      <c r="E8899"/>
    </row>
    <row r="8900" spans="5:5">
      <c r="E8900"/>
    </row>
    <row r="8901" spans="5:5">
      <c r="E8901"/>
    </row>
    <row r="8902" spans="5:5">
      <c r="E8902"/>
    </row>
    <row r="8903" spans="5:5">
      <c r="E8903"/>
    </row>
    <row r="8904" spans="5:5">
      <c r="E8904"/>
    </row>
    <row r="8905" spans="5:5">
      <c r="E8905"/>
    </row>
    <row r="8906" spans="5:5">
      <c r="E8906"/>
    </row>
    <row r="8907" spans="5:5">
      <c r="E8907"/>
    </row>
    <row r="8908" spans="5:5">
      <c r="E8908"/>
    </row>
    <row r="8909" spans="5:5">
      <c r="E8909"/>
    </row>
    <row r="8910" spans="5:5">
      <c r="E8910"/>
    </row>
    <row r="8911" spans="5:5">
      <c r="E8911"/>
    </row>
    <row r="8912" spans="5:5">
      <c r="E8912"/>
    </row>
    <row r="8913" spans="5:5">
      <c r="E8913"/>
    </row>
    <row r="8914" spans="5:5">
      <c r="E8914"/>
    </row>
    <row r="8915" spans="5:5">
      <c r="E8915"/>
    </row>
    <row r="8916" spans="5:5">
      <c r="E8916"/>
    </row>
    <row r="8917" spans="5:5">
      <c r="E8917"/>
    </row>
    <row r="8918" spans="5:5">
      <c r="E8918"/>
    </row>
    <row r="8919" spans="5:5">
      <c r="E8919"/>
    </row>
    <row r="8920" spans="5:5">
      <c r="E8920"/>
    </row>
    <row r="8921" spans="5:5">
      <c r="E8921"/>
    </row>
    <row r="8922" spans="5:5">
      <c r="E8922"/>
    </row>
    <row r="8923" spans="5:5">
      <c r="E8923"/>
    </row>
    <row r="8924" spans="5:5">
      <c r="E8924"/>
    </row>
    <row r="8925" spans="5:5">
      <c r="E8925"/>
    </row>
    <row r="8926" spans="5:5">
      <c r="E8926"/>
    </row>
    <row r="8927" spans="5:5">
      <c r="E8927"/>
    </row>
    <row r="8928" spans="5:5">
      <c r="E8928"/>
    </row>
    <row r="8929" spans="5:5">
      <c r="E8929"/>
    </row>
    <row r="8930" spans="5:5">
      <c r="E8930"/>
    </row>
    <row r="8931" spans="5:5">
      <c r="E8931"/>
    </row>
    <row r="8932" spans="5:5">
      <c r="E8932"/>
    </row>
    <row r="8933" spans="5:5">
      <c r="E8933"/>
    </row>
    <row r="8934" spans="5:5">
      <c r="E8934"/>
    </row>
    <row r="8935" spans="5:5">
      <c r="E8935"/>
    </row>
    <row r="8936" spans="5:5">
      <c r="E8936"/>
    </row>
    <row r="8937" spans="5:5">
      <c r="E8937"/>
    </row>
    <row r="8938" spans="5:5">
      <c r="E8938"/>
    </row>
    <row r="8939" spans="5:5">
      <c r="E8939"/>
    </row>
    <row r="8940" spans="5:5">
      <c r="E8940"/>
    </row>
    <row r="8941" spans="5:5">
      <c r="E8941"/>
    </row>
    <row r="8942" spans="5:5">
      <c r="E8942"/>
    </row>
    <row r="8943" spans="5:5">
      <c r="E8943"/>
    </row>
    <row r="8944" spans="5:5">
      <c r="E8944"/>
    </row>
    <row r="8945" spans="5:5">
      <c r="E8945"/>
    </row>
    <row r="8946" spans="5:5">
      <c r="E8946"/>
    </row>
    <row r="8947" spans="5:5">
      <c r="E8947"/>
    </row>
    <row r="8948" spans="5:5">
      <c r="E8948"/>
    </row>
    <row r="8949" spans="5:5">
      <c r="E8949"/>
    </row>
    <row r="8950" spans="5:5">
      <c r="E8950"/>
    </row>
    <row r="8951" spans="5:5">
      <c r="E8951"/>
    </row>
    <row r="8952" spans="5:5">
      <c r="E8952"/>
    </row>
    <row r="8953" spans="5:5">
      <c r="E8953"/>
    </row>
    <row r="8954" spans="5:5">
      <c r="E8954"/>
    </row>
    <row r="8955" spans="5:5">
      <c r="E8955"/>
    </row>
    <row r="8956" spans="5:5">
      <c r="E8956"/>
    </row>
    <row r="8957" spans="5:5">
      <c r="E8957"/>
    </row>
    <row r="8958" spans="5:5">
      <c r="E8958"/>
    </row>
    <row r="8959" spans="5:5">
      <c r="E8959"/>
    </row>
    <row r="8960" spans="5:5">
      <c r="E8960"/>
    </row>
    <row r="8961" spans="5:5">
      <c r="E8961"/>
    </row>
    <row r="8962" spans="5:5">
      <c r="E8962"/>
    </row>
    <row r="8963" spans="5:5">
      <c r="E8963"/>
    </row>
    <row r="8964" spans="5:5">
      <c r="E8964"/>
    </row>
    <row r="8965" spans="5:5">
      <c r="E8965"/>
    </row>
    <row r="8966" spans="5:5">
      <c r="E8966"/>
    </row>
    <row r="8967" spans="5:5">
      <c r="E8967"/>
    </row>
    <row r="8968" spans="5:5">
      <c r="E8968"/>
    </row>
    <row r="8969" spans="5:5">
      <c r="E8969"/>
    </row>
    <row r="8970" spans="5:5">
      <c r="E8970"/>
    </row>
    <row r="8971" spans="5:5">
      <c r="E8971"/>
    </row>
    <row r="8972" spans="5:5">
      <c r="E8972"/>
    </row>
    <row r="8973" spans="5:5">
      <c r="E8973"/>
    </row>
    <row r="8974" spans="5:5">
      <c r="E8974"/>
    </row>
    <row r="8975" spans="5:5">
      <c r="E8975"/>
    </row>
    <row r="8976" spans="5:5">
      <c r="E8976"/>
    </row>
    <row r="8977" spans="5:5">
      <c r="E8977"/>
    </row>
    <row r="8978" spans="5:5">
      <c r="E8978"/>
    </row>
    <row r="8979" spans="5:5">
      <c r="E8979"/>
    </row>
    <row r="8980" spans="5:5">
      <c r="E8980"/>
    </row>
    <row r="8981" spans="5:5">
      <c r="E8981"/>
    </row>
    <row r="8982" spans="5:5">
      <c r="E8982"/>
    </row>
    <row r="8983" spans="5:5">
      <c r="E8983"/>
    </row>
    <row r="8984" spans="5:5">
      <c r="E8984"/>
    </row>
    <row r="8985" spans="5:5">
      <c r="E8985"/>
    </row>
    <row r="8986" spans="5:5">
      <c r="E8986"/>
    </row>
    <row r="8987" spans="5:5">
      <c r="E8987"/>
    </row>
    <row r="8988" spans="5:5">
      <c r="E8988"/>
    </row>
    <row r="8989" spans="5:5">
      <c r="E8989"/>
    </row>
    <row r="8990" spans="5:5">
      <c r="E8990"/>
    </row>
    <row r="8991" spans="5:5">
      <c r="E8991"/>
    </row>
    <row r="8992" spans="5:5">
      <c r="E8992"/>
    </row>
    <row r="8993" spans="5:5">
      <c r="E8993"/>
    </row>
    <row r="8994" spans="5:5">
      <c r="E8994"/>
    </row>
    <row r="8995" spans="5:5">
      <c r="E8995"/>
    </row>
    <row r="8996" spans="5:5">
      <c r="E8996"/>
    </row>
    <row r="8997" spans="5:5">
      <c r="E8997"/>
    </row>
    <row r="8998" spans="5:5">
      <c r="E8998"/>
    </row>
    <row r="8999" spans="5:5">
      <c r="E8999"/>
    </row>
    <row r="9000" spans="5:5">
      <c r="E9000"/>
    </row>
    <row r="9001" spans="5:5">
      <c r="E9001"/>
    </row>
    <row r="9002" spans="5:5">
      <c r="E9002"/>
    </row>
    <row r="9003" spans="5:5">
      <c r="E9003"/>
    </row>
    <row r="9004" spans="5:5">
      <c r="E9004"/>
    </row>
    <row r="9005" spans="5:5">
      <c r="E9005"/>
    </row>
    <row r="9006" spans="5:5">
      <c r="E9006"/>
    </row>
    <row r="9007" spans="5:5">
      <c r="E9007"/>
    </row>
    <row r="9008" spans="5:5">
      <c r="E9008"/>
    </row>
    <row r="9009" spans="5:5">
      <c r="E9009"/>
    </row>
    <row r="9010" spans="5:5">
      <c r="E9010"/>
    </row>
    <row r="9011" spans="5:5">
      <c r="E9011"/>
    </row>
    <row r="9012" spans="5:5">
      <c r="E9012"/>
    </row>
    <row r="9013" spans="5:5">
      <c r="E9013"/>
    </row>
    <row r="9014" spans="5:5">
      <c r="E9014"/>
    </row>
    <row r="9015" spans="5:5">
      <c r="E9015"/>
    </row>
    <row r="9016" spans="5:5">
      <c r="E9016"/>
    </row>
    <row r="9017" spans="5:5">
      <c r="E9017"/>
    </row>
    <row r="9018" spans="5:5">
      <c r="E9018"/>
    </row>
    <row r="9019" spans="5:5">
      <c r="E9019"/>
    </row>
    <row r="9020" spans="5:5">
      <c r="E9020"/>
    </row>
    <row r="9021" spans="5:5">
      <c r="E9021"/>
    </row>
    <row r="9022" spans="5:5">
      <c r="E9022"/>
    </row>
    <row r="9023" spans="5:5">
      <c r="E9023"/>
    </row>
    <row r="9024" spans="5:5">
      <c r="E9024"/>
    </row>
    <row r="9025" spans="5:5">
      <c r="E9025"/>
    </row>
    <row r="9026" spans="5:5">
      <c r="E9026"/>
    </row>
    <row r="9027" spans="5:5">
      <c r="E9027"/>
    </row>
    <row r="9028" spans="5:5">
      <c r="E9028"/>
    </row>
    <row r="9029" spans="5:5">
      <c r="E9029"/>
    </row>
    <row r="9030" spans="5:5">
      <c r="E9030"/>
    </row>
    <row r="9031" spans="5:5">
      <c r="E9031"/>
    </row>
    <row r="9032" spans="5:5">
      <c r="E9032"/>
    </row>
    <row r="9033" spans="5:5">
      <c r="E9033"/>
    </row>
    <row r="9034" spans="5:5">
      <c r="E9034"/>
    </row>
    <row r="9035" spans="5:5">
      <c r="E9035"/>
    </row>
    <row r="9036" spans="5:5">
      <c r="E9036"/>
    </row>
    <row r="9037" spans="5:5">
      <c r="E9037"/>
    </row>
    <row r="9038" spans="5:5">
      <c r="E9038"/>
    </row>
    <row r="9039" spans="5:5">
      <c r="E9039"/>
    </row>
    <row r="9040" spans="5:5">
      <c r="E9040"/>
    </row>
    <row r="9041" spans="5:5">
      <c r="E9041"/>
    </row>
    <row r="9042" spans="5:5">
      <c r="E9042"/>
    </row>
    <row r="9043" spans="5:5">
      <c r="E9043"/>
    </row>
    <row r="9044" spans="5:5">
      <c r="E9044"/>
    </row>
    <row r="9045" spans="5:5">
      <c r="E9045"/>
    </row>
    <row r="9046" spans="5:5">
      <c r="E9046"/>
    </row>
    <row r="9047" spans="5:5">
      <c r="E9047"/>
    </row>
    <row r="9048" spans="5:5">
      <c r="E9048"/>
    </row>
    <row r="9049" spans="5:5">
      <c r="E9049"/>
    </row>
    <row r="9050" spans="5:5">
      <c r="E9050"/>
    </row>
    <row r="9051" spans="5:5">
      <c r="E9051"/>
    </row>
    <row r="9052" spans="5:5">
      <c r="E9052"/>
    </row>
    <row r="9053" spans="5:5">
      <c r="E9053"/>
    </row>
    <row r="9054" spans="5:5">
      <c r="E9054"/>
    </row>
    <row r="9055" spans="5:5">
      <c r="E9055"/>
    </row>
    <row r="9056" spans="5:5">
      <c r="E9056"/>
    </row>
    <row r="9057" spans="5:5">
      <c r="E9057"/>
    </row>
    <row r="9058" spans="5:5">
      <c r="E9058"/>
    </row>
    <row r="9059" spans="5:5">
      <c r="E9059"/>
    </row>
    <row r="9060" spans="5:5">
      <c r="E9060"/>
    </row>
    <row r="9061" spans="5:5">
      <c r="E9061"/>
    </row>
    <row r="9062" spans="5:5">
      <c r="E9062"/>
    </row>
    <row r="9063" spans="5:5">
      <c r="E9063"/>
    </row>
    <row r="9064" spans="5:5">
      <c r="E9064"/>
    </row>
    <row r="9065" spans="5:5">
      <c r="E9065"/>
    </row>
    <row r="9066" spans="5:5">
      <c r="E9066"/>
    </row>
    <row r="9067" spans="5:5">
      <c r="E9067"/>
    </row>
    <row r="9068" spans="5:5">
      <c r="E9068"/>
    </row>
    <row r="9069" spans="5:5">
      <c r="E9069"/>
    </row>
    <row r="9070" spans="5:5">
      <c r="E9070"/>
    </row>
    <row r="9071" spans="5:5">
      <c r="E9071"/>
    </row>
    <row r="9072" spans="5:5">
      <c r="E9072"/>
    </row>
    <row r="9073" spans="5:5">
      <c r="E9073"/>
    </row>
    <row r="9074" spans="5:5">
      <c r="E9074"/>
    </row>
    <row r="9075" spans="5:5">
      <c r="E9075"/>
    </row>
    <row r="9076" spans="5:5">
      <c r="E9076"/>
    </row>
    <row r="9077" spans="5:5">
      <c r="E9077"/>
    </row>
    <row r="9078" spans="5:5">
      <c r="E9078"/>
    </row>
    <row r="9079" spans="5:5">
      <c r="E9079"/>
    </row>
    <row r="9080" spans="5:5">
      <c r="E9080"/>
    </row>
    <row r="9081" spans="5:5">
      <c r="E9081"/>
    </row>
    <row r="9082" spans="5:5">
      <c r="E9082"/>
    </row>
    <row r="9083" spans="5:5">
      <c r="E9083"/>
    </row>
    <row r="9084" spans="5:5">
      <c r="E9084"/>
    </row>
    <row r="9085" spans="5:5">
      <c r="E9085"/>
    </row>
    <row r="9086" spans="5:5">
      <c r="E9086"/>
    </row>
    <row r="9087" spans="5:5">
      <c r="E9087"/>
    </row>
    <row r="9088" spans="5:5">
      <c r="E9088"/>
    </row>
    <row r="9089" spans="5:5">
      <c r="E9089"/>
    </row>
    <row r="9090" spans="5:5">
      <c r="E9090"/>
    </row>
    <row r="9091" spans="5:5">
      <c r="E9091"/>
    </row>
    <row r="9092" spans="5:5">
      <c r="E9092"/>
    </row>
    <row r="9093" spans="5:5">
      <c r="E9093"/>
    </row>
    <row r="9094" spans="5:5">
      <c r="E9094"/>
    </row>
    <row r="9095" spans="5:5">
      <c r="E9095"/>
    </row>
    <row r="9096" spans="5:5">
      <c r="E9096"/>
    </row>
    <row r="9097" spans="5:5">
      <c r="E9097"/>
    </row>
    <row r="9098" spans="5:5">
      <c r="E9098"/>
    </row>
    <row r="9099" spans="5:5">
      <c r="E9099"/>
    </row>
    <row r="9100" spans="5:5">
      <c r="E9100"/>
    </row>
    <row r="9101" spans="5:5">
      <c r="E9101"/>
    </row>
    <row r="9102" spans="5:5">
      <c r="E9102"/>
    </row>
    <row r="9103" spans="5:5">
      <c r="E9103"/>
    </row>
    <row r="9104" spans="5:5">
      <c r="E9104"/>
    </row>
    <row r="9105" spans="5:5">
      <c r="E9105"/>
    </row>
    <row r="9106" spans="5:5">
      <c r="E9106"/>
    </row>
    <row r="9107" spans="5:5">
      <c r="E9107"/>
    </row>
    <row r="9108" spans="5:5">
      <c r="E9108"/>
    </row>
    <row r="9109" spans="5:5">
      <c r="E9109"/>
    </row>
    <row r="9110" spans="5:5">
      <c r="E9110"/>
    </row>
    <row r="9111" spans="5:5">
      <c r="E9111"/>
    </row>
    <row r="9112" spans="5:5">
      <c r="E9112"/>
    </row>
    <row r="9113" spans="5:5">
      <c r="E9113"/>
    </row>
    <row r="9114" spans="5:5">
      <c r="E9114"/>
    </row>
    <row r="9115" spans="5:5">
      <c r="E9115"/>
    </row>
    <row r="9116" spans="5:5">
      <c r="E9116"/>
    </row>
    <row r="9117" spans="5:5">
      <c r="E9117"/>
    </row>
    <row r="9118" spans="5:5">
      <c r="E9118"/>
    </row>
    <row r="9119" spans="5:5">
      <c r="E9119"/>
    </row>
    <row r="9120" spans="5:5">
      <c r="E9120"/>
    </row>
    <row r="9121" spans="5:5">
      <c r="E9121"/>
    </row>
    <row r="9122" spans="5:5">
      <c r="E9122"/>
    </row>
    <row r="9123" spans="5:5">
      <c r="E9123"/>
    </row>
    <row r="9124" spans="5:5">
      <c r="E9124"/>
    </row>
    <row r="9125" spans="5:5">
      <c r="E9125"/>
    </row>
    <row r="9126" spans="5:5">
      <c r="E9126"/>
    </row>
    <row r="9127" spans="5:5">
      <c r="E9127"/>
    </row>
    <row r="9128" spans="5:5">
      <c r="E9128"/>
    </row>
    <row r="9129" spans="5:5">
      <c r="E9129"/>
    </row>
    <row r="9130" spans="5:5">
      <c r="E9130"/>
    </row>
    <row r="9131" spans="5:5">
      <c r="E9131"/>
    </row>
    <row r="9132" spans="5:5">
      <c r="E9132"/>
    </row>
    <row r="9133" spans="5:5">
      <c r="E9133"/>
    </row>
    <row r="9134" spans="5:5">
      <c r="E9134"/>
    </row>
    <row r="9135" spans="5:5">
      <c r="E9135"/>
    </row>
    <row r="9136" spans="5:5">
      <c r="E9136"/>
    </row>
    <row r="9137" spans="5:5">
      <c r="E9137"/>
    </row>
    <row r="9138" spans="5:5">
      <c r="E9138"/>
    </row>
    <row r="9139" spans="5:5">
      <c r="E9139"/>
    </row>
    <row r="9140" spans="5:5">
      <c r="E9140"/>
    </row>
    <row r="9141" spans="5:5">
      <c r="E9141"/>
    </row>
    <row r="9142" spans="5:5">
      <c r="E9142"/>
    </row>
    <row r="9143" spans="5:5">
      <c r="E9143"/>
    </row>
    <row r="9144" spans="5:5">
      <c r="E9144"/>
    </row>
    <row r="9145" spans="5:5">
      <c r="E9145"/>
    </row>
    <row r="9146" spans="5:5">
      <c r="E9146"/>
    </row>
    <row r="9147" spans="5:5">
      <c r="E9147"/>
    </row>
    <row r="9148" spans="5:5">
      <c r="E9148"/>
    </row>
    <row r="9149" spans="5:5">
      <c r="E9149"/>
    </row>
    <row r="9150" spans="5:5">
      <c r="E9150"/>
    </row>
    <row r="9151" spans="5:5">
      <c r="E9151"/>
    </row>
    <row r="9152" spans="5:5">
      <c r="E9152"/>
    </row>
    <row r="9153" spans="5:5">
      <c r="E9153"/>
    </row>
    <row r="9154" spans="5:5">
      <c r="E9154"/>
    </row>
    <row r="9155" spans="5:5">
      <c r="E9155"/>
    </row>
    <row r="9156" spans="5:5">
      <c r="E9156"/>
    </row>
    <row r="9157" spans="5:5">
      <c r="E9157"/>
    </row>
    <row r="9158" spans="5:5">
      <c r="E9158"/>
    </row>
    <row r="9159" spans="5:5">
      <c r="E9159"/>
    </row>
    <row r="9160" spans="5:5">
      <c r="E9160"/>
    </row>
    <row r="9161" spans="5:5">
      <c r="E9161"/>
    </row>
    <row r="9162" spans="5:5">
      <c r="E9162"/>
    </row>
    <row r="9163" spans="5:5">
      <c r="E9163"/>
    </row>
    <row r="9164" spans="5:5">
      <c r="E9164"/>
    </row>
    <row r="9165" spans="5:5">
      <c r="E9165"/>
    </row>
    <row r="9166" spans="5:5">
      <c r="E9166"/>
    </row>
    <row r="9167" spans="5:5">
      <c r="E9167"/>
    </row>
    <row r="9168" spans="5:5">
      <c r="E9168"/>
    </row>
    <row r="9169" spans="5:5">
      <c r="E9169"/>
    </row>
    <row r="9170" spans="5:5">
      <c r="E9170"/>
    </row>
    <row r="9171" spans="5:5">
      <c r="E9171"/>
    </row>
    <row r="9172" spans="5:5">
      <c r="E9172"/>
    </row>
    <row r="9173" spans="5:5">
      <c r="E9173"/>
    </row>
    <row r="9174" spans="5:5">
      <c r="E9174"/>
    </row>
    <row r="9175" spans="5:5">
      <c r="E9175"/>
    </row>
    <row r="9176" spans="5:5">
      <c r="E9176"/>
    </row>
    <row r="9177" spans="5:5">
      <c r="E9177"/>
    </row>
    <row r="9178" spans="5:5">
      <c r="E9178"/>
    </row>
    <row r="9179" spans="5:5">
      <c r="E9179"/>
    </row>
    <row r="9180" spans="5:5">
      <c r="E9180"/>
    </row>
    <row r="9181" spans="5:5">
      <c r="E9181"/>
    </row>
    <row r="9182" spans="5:5">
      <c r="E9182"/>
    </row>
    <row r="9183" spans="5:5">
      <c r="E9183"/>
    </row>
    <row r="9184" spans="5:5">
      <c r="E9184"/>
    </row>
    <row r="9185" spans="5:5">
      <c r="E9185"/>
    </row>
    <row r="9186" spans="5:5">
      <c r="E9186"/>
    </row>
    <row r="9187" spans="5:5">
      <c r="E9187"/>
    </row>
    <row r="9188" spans="5:5">
      <c r="E9188"/>
    </row>
    <row r="9189" spans="5:5">
      <c r="E9189"/>
    </row>
    <row r="9190" spans="5:5">
      <c r="E9190"/>
    </row>
    <row r="9191" spans="5:5">
      <c r="E9191"/>
    </row>
    <row r="9192" spans="5:5">
      <c r="E9192"/>
    </row>
    <row r="9193" spans="5:5">
      <c r="E9193"/>
    </row>
    <row r="9194" spans="5:5">
      <c r="E9194"/>
    </row>
    <row r="9195" spans="5:5">
      <c r="E9195"/>
    </row>
    <row r="9196" spans="5:5">
      <c r="E9196"/>
    </row>
    <row r="9197" spans="5:5">
      <c r="E9197"/>
    </row>
    <row r="9198" spans="5:5">
      <c r="E9198"/>
    </row>
    <row r="9199" spans="5:5">
      <c r="E9199"/>
    </row>
    <row r="9200" spans="5:5">
      <c r="E9200"/>
    </row>
    <row r="9201" spans="5:5">
      <c r="E9201"/>
    </row>
    <row r="9202" spans="5:5">
      <c r="E9202"/>
    </row>
    <row r="9203" spans="5:5">
      <c r="E9203"/>
    </row>
    <row r="9204" spans="5:5">
      <c r="E9204"/>
    </row>
    <row r="9205" spans="5:5">
      <c r="E9205"/>
    </row>
    <row r="9206" spans="5:5">
      <c r="E9206"/>
    </row>
    <row r="9207" spans="5:5">
      <c r="E9207"/>
    </row>
    <row r="9208" spans="5:5">
      <c r="E9208"/>
    </row>
    <row r="9209" spans="5:5">
      <c r="E9209"/>
    </row>
    <row r="9210" spans="5:5">
      <c r="E9210"/>
    </row>
    <row r="9211" spans="5:5">
      <c r="E9211"/>
    </row>
    <row r="9212" spans="5:5">
      <c r="E9212"/>
    </row>
    <row r="9213" spans="5:5">
      <c r="E9213"/>
    </row>
    <row r="9214" spans="5:5">
      <c r="E9214"/>
    </row>
    <row r="9215" spans="5:5">
      <c r="E9215"/>
    </row>
    <row r="9216" spans="5:5">
      <c r="E9216"/>
    </row>
    <row r="9217" spans="5:5">
      <c r="E9217"/>
    </row>
    <row r="9218" spans="5:5">
      <c r="E9218"/>
    </row>
    <row r="9219" spans="5:5">
      <c r="E9219"/>
    </row>
    <row r="9220" spans="5:5">
      <c r="E9220"/>
    </row>
    <row r="9221" spans="5:5">
      <c r="E9221"/>
    </row>
    <row r="9222" spans="5:5">
      <c r="E9222"/>
    </row>
    <row r="9223" spans="5:5">
      <c r="E9223"/>
    </row>
    <row r="9224" spans="5:5">
      <c r="E9224"/>
    </row>
    <row r="9225" spans="5:5">
      <c r="E9225"/>
    </row>
    <row r="9226" spans="5:5">
      <c r="E9226"/>
    </row>
    <row r="9227" spans="5:5">
      <c r="E9227"/>
    </row>
    <row r="9228" spans="5:5">
      <c r="E9228"/>
    </row>
    <row r="9229" spans="5:5">
      <c r="E9229"/>
    </row>
    <row r="9230" spans="5:5">
      <c r="E9230"/>
    </row>
    <row r="9231" spans="5:5">
      <c r="E9231"/>
    </row>
    <row r="9232" spans="5:5">
      <c r="E9232"/>
    </row>
    <row r="9233" spans="5:5">
      <c r="E9233"/>
    </row>
    <row r="9234" spans="5:5">
      <c r="E9234"/>
    </row>
    <row r="9235" spans="5:5">
      <c r="E9235"/>
    </row>
    <row r="9236" spans="5:5">
      <c r="E9236"/>
    </row>
    <row r="9237" spans="5:5">
      <c r="E9237"/>
    </row>
    <row r="9238" spans="5:5">
      <c r="E9238"/>
    </row>
    <row r="9239" spans="5:5">
      <c r="E9239"/>
    </row>
    <row r="9240" spans="5:5">
      <c r="E9240"/>
    </row>
    <row r="9241" spans="5:5">
      <c r="E9241"/>
    </row>
    <row r="9242" spans="5:5">
      <c r="E9242"/>
    </row>
    <row r="9243" spans="5:5">
      <c r="E9243"/>
    </row>
    <row r="9244" spans="5:5">
      <c r="E9244"/>
    </row>
    <row r="9245" spans="5:5">
      <c r="E9245"/>
    </row>
    <row r="9246" spans="5:5">
      <c r="E9246"/>
    </row>
    <row r="9247" spans="5:5">
      <c r="E9247"/>
    </row>
    <row r="9248" spans="5:5">
      <c r="E9248"/>
    </row>
    <row r="9249" spans="5:5">
      <c r="E9249"/>
    </row>
    <row r="9250" spans="5:5">
      <c r="E9250"/>
    </row>
    <row r="9251" spans="5:5">
      <c r="E9251"/>
    </row>
    <row r="9252" spans="5:5">
      <c r="E9252"/>
    </row>
    <row r="9253" spans="5:5">
      <c r="E9253"/>
    </row>
    <row r="9254" spans="5:5">
      <c r="E9254"/>
    </row>
    <row r="9255" spans="5:5">
      <c r="E9255"/>
    </row>
    <row r="9256" spans="5:5">
      <c r="E9256"/>
    </row>
    <row r="9257" spans="5:5">
      <c r="E9257"/>
    </row>
    <row r="9258" spans="5:5">
      <c r="E9258"/>
    </row>
    <row r="9259" spans="5:5">
      <c r="E9259"/>
    </row>
    <row r="9260" spans="5:5">
      <c r="E9260"/>
    </row>
    <row r="9261" spans="5:5">
      <c r="E9261"/>
    </row>
    <row r="9262" spans="5:5">
      <c r="E9262"/>
    </row>
    <row r="9263" spans="5:5">
      <c r="E9263"/>
    </row>
    <row r="9264" spans="5:5">
      <c r="E9264"/>
    </row>
    <row r="9265" spans="5:5">
      <c r="E9265"/>
    </row>
    <row r="9266" spans="5:5">
      <c r="E9266"/>
    </row>
    <row r="9267" spans="5:5">
      <c r="E9267"/>
    </row>
    <row r="9268" spans="5:5">
      <c r="E9268"/>
    </row>
    <row r="9269" spans="5:5">
      <c r="E9269"/>
    </row>
    <row r="9270" spans="5:5">
      <c r="E9270"/>
    </row>
    <row r="9271" spans="5:5">
      <c r="E9271"/>
    </row>
    <row r="9272" spans="5:5">
      <c r="E9272"/>
    </row>
    <row r="9273" spans="5:5">
      <c r="E9273"/>
    </row>
    <row r="9274" spans="5:5">
      <c r="E9274"/>
    </row>
    <row r="9275" spans="5:5">
      <c r="E9275"/>
    </row>
    <row r="9276" spans="5:5">
      <c r="E9276"/>
    </row>
    <row r="9277" spans="5:5">
      <c r="E9277"/>
    </row>
    <row r="9278" spans="5:5">
      <c r="E9278"/>
    </row>
    <row r="9279" spans="5:5">
      <c r="E9279"/>
    </row>
    <row r="9280" spans="5:5">
      <c r="E9280"/>
    </row>
    <row r="9281" spans="5:5">
      <c r="E9281"/>
    </row>
    <row r="9282" spans="5:5">
      <c r="E9282"/>
    </row>
    <row r="9283" spans="5:5">
      <c r="E9283"/>
    </row>
    <row r="9284" spans="5:5">
      <c r="E9284"/>
    </row>
    <row r="9285" spans="5:5">
      <c r="E9285"/>
    </row>
    <row r="9286" spans="5:5">
      <c r="E9286"/>
    </row>
    <row r="9287" spans="5:5">
      <c r="E9287"/>
    </row>
    <row r="9288" spans="5:5">
      <c r="E9288"/>
    </row>
    <row r="9289" spans="5:5">
      <c r="E9289"/>
    </row>
    <row r="9290" spans="5:5">
      <c r="E9290"/>
    </row>
    <row r="9291" spans="5:5">
      <c r="E9291"/>
    </row>
    <row r="9292" spans="5:5">
      <c r="E9292"/>
    </row>
    <row r="9293" spans="5:5">
      <c r="E9293"/>
    </row>
    <row r="9294" spans="5:5">
      <c r="E9294"/>
    </row>
    <row r="9295" spans="5:5">
      <c r="E9295"/>
    </row>
    <row r="9296" spans="5:5">
      <c r="E9296"/>
    </row>
    <row r="9297" spans="5:5">
      <c r="E9297"/>
    </row>
    <row r="9298" spans="5:5">
      <c r="E9298"/>
    </row>
    <row r="9299" spans="5:5">
      <c r="E9299"/>
    </row>
    <row r="9300" spans="5:5">
      <c r="E9300"/>
    </row>
    <row r="9301" spans="5:5">
      <c r="E9301"/>
    </row>
    <row r="9302" spans="5:5">
      <c r="E9302"/>
    </row>
    <row r="9303" spans="5:5">
      <c r="E9303"/>
    </row>
    <row r="9304" spans="5:5">
      <c r="E9304"/>
    </row>
    <row r="9305" spans="5:5">
      <c r="E9305"/>
    </row>
    <row r="9306" spans="5:5">
      <c r="E9306"/>
    </row>
    <row r="9307" spans="5:5">
      <c r="E9307"/>
    </row>
    <row r="9308" spans="5:5">
      <c r="E9308"/>
    </row>
    <row r="9309" spans="5:5">
      <c r="E9309"/>
    </row>
    <row r="9310" spans="5:5">
      <c r="E9310"/>
    </row>
    <row r="9311" spans="5:5">
      <c r="E9311"/>
    </row>
    <row r="9312" spans="5:5">
      <c r="E9312"/>
    </row>
    <row r="9313" spans="5:5">
      <c r="E9313"/>
    </row>
    <row r="9314" spans="5:5">
      <c r="E9314"/>
    </row>
    <row r="9315" spans="5:5">
      <c r="E9315"/>
    </row>
    <row r="9316" spans="5:5">
      <c r="E9316"/>
    </row>
    <row r="9317" spans="5:5">
      <c r="E9317"/>
    </row>
    <row r="9318" spans="5:5">
      <c r="E9318"/>
    </row>
    <row r="9319" spans="5:5">
      <c r="E9319"/>
    </row>
    <row r="9320" spans="5:5">
      <c r="E9320"/>
    </row>
    <row r="9321" spans="5:5">
      <c r="E9321"/>
    </row>
    <row r="9322" spans="5:5">
      <c r="E9322"/>
    </row>
    <row r="9323" spans="5:5">
      <c r="E9323"/>
    </row>
    <row r="9324" spans="5:5">
      <c r="E9324"/>
    </row>
    <row r="9325" spans="5:5">
      <c r="E9325"/>
    </row>
    <row r="9326" spans="5:5">
      <c r="E9326"/>
    </row>
    <row r="9327" spans="5:5">
      <c r="E9327"/>
    </row>
    <row r="9328" spans="5:5">
      <c r="E9328"/>
    </row>
    <row r="9329" spans="5:5">
      <c r="E9329"/>
    </row>
    <row r="9330" spans="5:5">
      <c r="E9330"/>
    </row>
    <row r="9331" spans="5:5">
      <c r="E9331"/>
    </row>
    <row r="9332" spans="5:5">
      <c r="E9332"/>
    </row>
    <row r="9333" spans="5:5">
      <c r="E9333"/>
    </row>
    <row r="9334" spans="5:5">
      <c r="E9334"/>
    </row>
    <row r="9335" spans="5:5">
      <c r="E9335"/>
    </row>
    <row r="9336" spans="5:5">
      <c r="E9336"/>
    </row>
    <row r="9337" spans="5:5">
      <c r="E9337"/>
    </row>
    <row r="9338" spans="5:5">
      <c r="E9338"/>
    </row>
    <row r="9339" spans="5:5">
      <c r="E9339"/>
    </row>
    <row r="9340" spans="5:5">
      <c r="E9340"/>
    </row>
    <row r="9341" spans="5:5">
      <c r="E9341"/>
    </row>
    <row r="9342" spans="5:5">
      <c r="E9342"/>
    </row>
    <row r="9343" spans="5:5">
      <c r="E9343"/>
    </row>
    <row r="9344" spans="5:5">
      <c r="E9344"/>
    </row>
    <row r="9345" spans="5:5">
      <c r="E9345"/>
    </row>
    <row r="9346" spans="5:5">
      <c r="E9346"/>
    </row>
    <row r="9347" spans="5:5">
      <c r="E9347"/>
    </row>
    <row r="9348" spans="5:5">
      <c r="E9348"/>
    </row>
    <row r="9349" spans="5:5">
      <c r="E9349"/>
    </row>
    <row r="9350" spans="5:5">
      <c r="E9350"/>
    </row>
    <row r="9351" spans="5:5">
      <c r="E9351"/>
    </row>
    <row r="9352" spans="5:5">
      <c r="E9352"/>
    </row>
    <row r="9353" spans="5:5">
      <c r="E9353"/>
    </row>
    <row r="9354" spans="5:5">
      <c r="E9354"/>
    </row>
    <row r="9355" spans="5:5">
      <c r="E9355"/>
    </row>
    <row r="9356" spans="5:5">
      <c r="E9356"/>
    </row>
    <row r="9357" spans="5:5">
      <c r="E9357"/>
    </row>
    <row r="9358" spans="5:5">
      <c r="E9358"/>
    </row>
    <row r="9359" spans="5:5">
      <c r="E9359"/>
    </row>
    <row r="9360" spans="5:5">
      <c r="E9360"/>
    </row>
    <row r="9361" spans="5:5">
      <c r="E9361"/>
    </row>
    <row r="9362" spans="5:5">
      <c r="E9362"/>
    </row>
    <row r="9363" spans="5:5">
      <c r="E9363"/>
    </row>
    <row r="9364" spans="5:5">
      <c r="E9364"/>
    </row>
    <row r="9365" spans="5:5">
      <c r="E9365"/>
    </row>
    <row r="9366" spans="5:5">
      <c r="E9366"/>
    </row>
    <row r="9367" spans="5:5">
      <c r="E9367"/>
    </row>
    <row r="9368" spans="5:5">
      <c r="E9368"/>
    </row>
    <row r="9369" spans="5:5">
      <c r="E9369"/>
    </row>
    <row r="9370" spans="5:5">
      <c r="E9370"/>
    </row>
    <row r="9371" spans="5:5">
      <c r="E9371"/>
    </row>
    <row r="9372" spans="5:5">
      <c r="E9372"/>
    </row>
    <row r="9373" spans="5:5">
      <c r="E9373"/>
    </row>
    <row r="9374" spans="5:5">
      <c r="E9374"/>
    </row>
    <row r="9375" spans="5:5">
      <c r="E9375"/>
    </row>
    <row r="9376" spans="5:5">
      <c r="E9376"/>
    </row>
    <row r="9377" spans="5:5">
      <c r="E9377"/>
    </row>
    <row r="9378" spans="5:5">
      <c r="E9378"/>
    </row>
    <row r="9379" spans="5:5">
      <c r="E9379"/>
    </row>
    <row r="9380" spans="5:5">
      <c r="E9380"/>
    </row>
    <row r="9381" spans="5:5">
      <c r="E9381"/>
    </row>
    <row r="9382" spans="5:5">
      <c r="E9382"/>
    </row>
    <row r="9383" spans="5:5">
      <c r="E9383"/>
    </row>
    <row r="9384" spans="5:5">
      <c r="E9384"/>
    </row>
    <row r="9385" spans="5:5">
      <c r="E9385"/>
    </row>
    <row r="9386" spans="5:5">
      <c r="E9386"/>
    </row>
    <row r="9387" spans="5:5">
      <c r="E9387"/>
    </row>
    <row r="9388" spans="5:5">
      <c r="E9388"/>
    </row>
    <row r="9389" spans="5:5">
      <c r="E9389"/>
    </row>
    <row r="9390" spans="5:5">
      <c r="E9390"/>
    </row>
    <row r="9391" spans="5:5">
      <c r="E9391"/>
    </row>
    <row r="9392" spans="5:5">
      <c r="E9392"/>
    </row>
    <row r="9393" spans="5:5">
      <c r="E9393"/>
    </row>
    <row r="9394" spans="5:5">
      <c r="E9394"/>
    </row>
    <row r="9395" spans="5:5">
      <c r="E9395"/>
    </row>
    <row r="9396" spans="5:5">
      <c r="E9396"/>
    </row>
    <row r="9397" spans="5:5">
      <c r="E9397"/>
    </row>
    <row r="9398" spans="5:5">
      <c r="E9398"/>
    </row>
    <row r="9399" spans="5:5">
      <c r="E9399"/>
    </row>
    <row r="9400" spans="5:5">
      <c r="E9400"/>
    </row>
    <row r="9401" spans="5:5">
      <c r="E9401"/>
    </row>
    <row r="9402" spans="5:5">
      <c r="E9402"/>
    </row>
    <row r="9403" spans="5:5">
      <c r="E9403"/>
    </row>
    <row r="9404" spans="5:5">
      <c r="E9404"/>
    </row>
    <row r="9405" spans="5:5">
      <c r="E9405"/>
    </row>
    <row r="9406" spans="5:5">
      <c r="E9406"/>
    </row>
    <row r="9407" spans="5:5">
      <c r="E9407"/>
    </row>
    <row r="9408" spans="5:5">
      <c r="E9408"/>
    </row>
    <row r="9409" spans="5:5">
      <c r="E9409"/>
    </row>
    <row r="9410" spans="5:5">
      <c r="E9410"/>
    </row>
    <row r="9411" spans="5:5">
      <c r="E9411"/>
    </row>
    <row r="9412" spans="5:5">
      <c r="E9412"/>
    </row>
    <row r="9413" spans="5:5">
      <c r="E9413"/>
    </row>
    <row r="9414" spans="5:5">
      <c r="E9414"/>
    </row>
    <row r="9415" spans="5:5">
      <c r="E9415"/>
    </row>
    <row r="9416" spans="5:5">
      <c r="E9416"/>
    </row>
    <row r="9417" spans="5:5">
      <c r="E9417"/>
    </row>
    <row r="9418" spans="5:5">
      <c r="E9418"/>
    </row>
    <row r="9419" spans="5:5">
      <c r="E9419"/>
    </row>
    <row r="9420" spans="5:5">
      <c r="E9420"/>
    </row>
    <row r="9421" spans="5:5">
      <c r="E9421"/>
    </row>
    <row r="9422" spans="5:5">
      <c r="E9422"/>
    </row>
    <row r="9423" spans="5:5">
      <c r="E9423"/>
    </row>
    <row r="9424" spans="5:5">
      <c r="E9424"/>
    </row>
    <row r="9425" spans="5:5">
      <c r="E9425"/>
    </row>
    <row r="9426" spans="5:5">
      <c r="E9426"/>
    </row>
    <row r="9427" spans="5:5">
      <c r="E9427"/>
    </row>
    <row r="9428" spans="5:5">
      <c r="E9428"/>
    </row>
    <row r="9429" spans="5:5">
      <c r="E9429"/>
    </row>
    <row r="9430" spans="5:5">
      <c r="E9430"/>
    </row>
    <row r="9431" spans="5:5">
      <c r="E9431"/>
    </row>
    <row r="9432" spans="5:5">
      <c r="E9432"/>
    </row>
    <row r="9433" spans="5:5">
      <c r="E9433"/>
    </row>
    <row r="9434" spans="5:5">
      <c r="E9434"/>
    </row>
    <row r="9435" spans="5:5">
      <c r="E9435"/>
    </row>
    <row r="9436" spans="5:5">
      <c r="E9436"/>
    </row>
    <row r="9437" spans="5:5">
      <c r="E9437"/>
    </row>
    <row r="9438" spans="5:5">
      <c r="E9438"/>
    </row>
    <row r="9439" spans="5:5">
      <c r="E9439"/>
    </row>
    <row r="9440" spans="5:5">
      <c r="E9440"/>
    </row>
    <row r="9441" spans="5:5">
      <c r="E9441"/>
    </row>
    <row r="9442" spans="5:5">
      <c r="E9442"/>
    </row>
    <row r="9443" spans="5:5">
      <c r="E9443"/>
    </row>
    <row r="9444" spans="5:5">
      <c r="E9444"/>
    </row>
    <row r="9445" spans="5:5">
      <c r="E9445"/>
    </row>
    <row r="9446" spans="5:5">
      <c r="E9446"/>
    </row>
    <row r="9447" spans="5:5">
      <c r="E9447"/>
    </row>
    <row r="9448" spans="5:5">
      <c r="E9448"/>
    </row>
    <row r="9449" spans="5:5">
      <c r="E9449"/>
    </row>
    <row r="9450" spans="5:5">
      <c r="E9450"/>
    </row>
    <row r="9451" spans="5:5">
      <c r="E9451"/>
    </row>
    <row r="9452" spans="5:5">
      <c r="E9452"/>
    </row>
    <row r="9453" spans="5:5">
      <c r="E9453"/>
    </row>
    <row r="9454" spans="5:5">
      <c r="E9454"/>
    </row>
    <row r="9455" spans="5:5">
      <c r="E9455"/>
    </row>
    <row r="9456" spans="5:5">
      <c r="E9456"/>
    </row>
    <row r="9457" spans="5:5">
      <c r="E9457"/>
    </row>
    <row r="9458" spans="5:5">
      <c r="E9458"/>
    </row>
    <row r="9459" spans="5:5">
      <c r="E9459"/>
    </row>
    <row r="9460" spans="5:5">
      <c r="E9460"/>
    </row>
    <row r="9461" spans="5:5">
      <c r="E9461"/>
    </row>
    <row r="9462" spans="5:5">
      <c r="E9462"/>
    </row>
    <row r="9463" spans="5:5">
      <c r="E9463"/>
    </row>
    <row r="9464" spans="5:5">
      <c r="E9464"/>
    </row>
    <row r="9465" spans="5:5">
      <c r="E9465"/>
    </row>
    <row r="9466" spans="5:5">
      <c r="E9466"/>
    </row>
    <row r="9467" spans="5:5">
      <c r="E9467"/>
    </row>
    <row r="9468" spans="5:5">
      <c r="E9468"/>
    </row>
    <row r="9469" spans="5:5">
      <c r="E9469"/>
    </row>
    <row r="9470" spans="5:5">
      <c r="E9470"/>
    </row>
    <row r="9471" spans="5:5">
      <c r="E9471"/>
    </row>
    <row r="9472" spans="5:5">
      <c r="E9472"/>
    </row>
    <row r="9473" spans="5:5">
      <c r="E9473"/>
    </row>
    <row r="9474" spans="5:5">
      <c r="E9474"/>
    </row>
    <row r="9475" spans="5:5">
      <c r="E9475"/>
    </row>
    <row r="9476" spans="5:5">
      <c r="E9476"/>
    </row>
    <row r="9477" spans="5:5">
      <c r="E9477"/>
    </row>
    <row r="9478" spans="5:5">
      <c r="E9478"/>
    </row>
    <row r="9479" spans="5:5">
      <c r="E9479"/>
    </row>
    <row r="9480" spans="5:5">
      <c r="E9480"/>
    </row>
    <row r="9481" spans="5:5">
      <c r="E9481"/>
    </row>
    <row r="9482" spans="5:5">
      <c r="E9482"/>
    </row>
    <row r="9483" spans="5:5">
      <c r="E9483"/>
    </row>
    <row r="9484" spans="5:5">
      <c r="E9484"/>
    </row>
    <row r="9485" spans="5:5">
      <c r="E9485"/>
    </row>
    <row r="9486" spans="5:5">
      <c r="E9486"/>
    </row>
    <row r="9487" spans="5:5">
      <c r="E9487"/>
    </row>
    <row r="9488" spans="5:5">
      <c r="E9488"/>
    </row>
    <row r="9489" spans="5:5">
      <c r="E9489"/>
    </row>
    <row r="9490" spans="5:5">
      <c r="E9490"/>
    </row>
    <row r="9491" spans="5:5">
      <c r="E9491"/>
    </row>
    <row r="9492" spans="5:5">
      <c r="E9492"/>
    </row>
    <row r="9493" spans="5:5">
      <c r="E9493"/>
    </row>
    <row r="9494" spans="5:5">
      <c r="E9494"/>
    </row>
    <row r="9495" spans="5:5">
      <c r="E9495"/>
    </row>
    <row r="9496" spans="5:5">
      <c r="E9496"/>
    </row>
    <row r="9497" spans="5:5">
      <c r="E9497"/>
    </row>
    <row r="9498" spans="5:5">
      <c r="E9498"/>
    </row>
    <row r="9499" spans="5:5">
      <c r="E9499"/>
    </row>
    <row r="9500" spans="5:5">
      <c r="E9500"/>
    </row>
    <row r="9501" spans="5:5">
      <c r="E9501"/>
    </row>
    <row r="9502" spans="5:5">
      <c r="E9502"/>
    </row>
    <row r="9503" spans="5:5">
      <c r="E9503"/>
    </row>
    <row r="9504" spans="5:5">
      <c r="E9504"/>
    </row>
    <row r="9505" spans="5:5">
      <c r="E9505"/>
    </row>
    <row r="9506" spans="5:5">
      <c r="E9506"/>
    </row>
    <row r="9507" spans="5:5">
      <c r="E9507"/>
    </row>
    <row r="9508" spans="5:5">
      <c r="E9508"/>
    </row>
    <row r="9509" spans="5:5">
      <c r="E9509"/>
    </row>
    <row r="9510" spans="5:5">
      <c r="E9510"/>
    </row>
    <row r="9511" spans="5:5">
      <c r="E9511"/>
    </row>
    <row r="9512" spans="5:5">
      <c r="E9512"/>
    </row>
    <row r="9513" spans="5:5">
      <c r="E9513"/>
    </row>
    <row r="9514" spans="5:5">
      <c r="E9514"/>
    </row>
    <row r="9515" spans="5:5">
      <c r="E9515"/>
    </row>
    <row r="9516" spans="5:5">
      <c r="E9516"/>
    </row>
    <row r="9517" spans="5:5">
      <c r="E9517"/>
    </row>
    <row r="9518" spans="5:5">
      <c r="E9518"/>
    </row>
    <row r="9519" spans="5:5">
      <c r="E9519"/>
    </row>
    <row r="9520" spans="5:5">
      <c r="E9520"/>
    </row>
    <row r="9521" spans="5:5">
      <c r="E9521"/>
    </row>
    <row r="9522" spans="5:5">
      <c r="E9522"/>
    </row>
    <row r="9523" spans="5:5">
      <c r="E9523"/>
    </row>
    <row r="9524" spans="5:5">
      <c r="E9524"/>
    </row>
    <row r="9525" spans="5:5">
      <c r="E9525"/>
    </row>
    <row r="9526" spans="5:5">
      <c r="E9526"/>
    </row>
    <row r="9527" spans="5:5">
      <c r="E9527"/>
    </row>
    <row r="9528" spans="5:5">
      <c r="E9528"/>
    </row>
    <row r="9529" spans="5:5">
      <c r="E9529"/>
    </row>
    <row r="9530" spans="5:5">
      <c r="E9530"/>
    </row>
    <row r="9531" spans="5:5">
      <c r="E9531"/>
    </row>
    <row r="9532" spans="5:5">
      <c r="E9532"/>
    </row>
    <row r="9533" spans="5:5">
      <c r="E9533"/>
    </row>
    <row r="9534" spans="5:5">
      <c r="E9534"/>
    </row>
    <row r="9535" spans="5:5">
      <c r="E9535"/>
    </row>
    <row r="9536" spans="5:5">
      <c r="E9536"/>
    </row>
    <row r="9537" spans="5:5">
      <c r="E9537"/>
    </row>
    <row r="9538" spans="5:5">
      <c r="E9538"/>
    </row>
    <row r="9539" spans="5:5">
      <c r="E9539"/>
    </row>
    <row r="9540" spans="5:5">
      <c r="E9540"/>
    </row>
    <row r="9541" spans="5:5">
      <c r="E9541"/>
    </row>
    <row r="9542" spans="5:5">
      <c r="E9542"/>
    </row>
    <row r="9543" spans="5:5">
      <c r="E9543"/>
    </row>
    <row r="9544" spans="5:5">
      <c r="E9544"/>
    </row>
    <row r="9545" spans="5:5">
      <c r="E9545"/>
    </row>
    <row r="9546" spans="5:5">
      <c r="E9546"/>
    </row>
    <row r="9547" spans="5:5">
      <c r="E9547"/>
    </row>
    <row r="9548" spans="5:5">
      <c r="E9548"/>
    </row>
    <row r="9549" spans="5:5">
      <c r="E9549"/>
    </row>
    <row r="9550" spans="5:5">
      <c r="E9550"/>
    </row>
    <row r="9551" spans="5:5">
      <c r="E9551"/>
    </row>
    <row r="9552" spans="5:5">
      <c r="E9552"/>
    </row>
    <row r="9553" spans="5:5">
      <c r="E9553"/>
    </row>
    <row r="9554" spans="5:5">
      <c r="E9554"/>
    </row>
    <row r="9555" spans="5:5">
      <c r="E9555"/>
    </row>
    <row r="9556" spans="5:5">
      <c r="E9556"/>
    </row>
    <row r="9557" spans="5:5">
      <c r="E9557"/>
    </row>
    <row r="9558" spans="5:5">
      <c r="E9558"/>
    </row>
    <row r="9559" spans="5:5">
      <c r="E9559"/>
    </row>
    <row r="9560" spans="5:5">
      <c r="E9560"/>
    </row>
    <row r="9561" spans="5:5">
      <c r="E9561"/>
    </row>
    <row r="9562" spans="5:5">
      <c r="E9562"/>
    </row>
    <row r="9563" spans="5:5">
      <c r="E9563"/>
    </row>
    <row r="9564" spans="5:5">
      <c r="E9564"/>
    </row>
    <row r="9565" spans="5:5">
      <c r="E9565"/>
    </row>
    <row r="9566" spans="5:5">
      <c r="E9566"/>
    </row>
    <row r="9567" spans="5:5">
      <c r="E9567"/>
    </row>
    <row r="9568" spans="5:5">
      <c r="E9568"/>
    </row>
    <row r="9569" spans="5:5">
      <c r="E9569"/>
    </row>
    <row r="9570" spans="5:5">
      <c r="E9570"/>
    </row>
    <row r="9571" spans="5:5">
      <c r="E9571"/>
    </row>
    <row r="9572" spans="5:5">
      <c r="E9572"/>
    </row>
    <row r="9573" spans="5:5">
      <c r="E9573"/>
    </row>
    <row r="9574" spans="5:5">
      <c r="E9574"/>
    </row>
    <row r="9575" spans="5:5">
      <c r="E9575"/>
    </row>
    <row r="9576" spans="5:5">
      <c r="E9576"/>
    </row>
    <row r="9577" spans="5:5">
      <c r="E9577"/>
    </row>
    <row r="9578" spans="5:5">
      <c r="E9578"/>
    </row>
    <row r="9579" spans="5:5">
      <c r="E9579"/>
    </row>
    <row r="9580" spans="5:5">
      <c r="E9580"/>
    </row>
    <row r="9581" spans="5:5">
      <c r="E9581"/>
    </row>
    <row r="9582" spans="5:5">
      <c r="E9582"/>
    </row>
    <row r="9583" spans="5:5">
      <c r="E9583"/>
    </row>
    <row r="9584" spans="5:5">
      <c r="E9584"/>
    </row>
    <row r="9585" spans="5:5">
      <c r="E9585"/>
    </row>
    <row r="9586" spans="5:5">
      <c r="E9586"/>
    </row>
    <row r="9587" spans="5:5">
      <c r="E9587"/>
    </row>
    <row r="9588" spans="5:5">
      <c r="E9588"/>
    </row>
    <row r="9589" spans="5:5">
      <c r="E9589"/>
    </row>
    <row r="9590" spans="5:5">
      <c r="E9590"/>
    </row>
    <row r="9591" spans="5:5">
      <c r="E9591"/>
    </row>
    <row r="9592" spans="5:5">
      <c r="E9592"/>
    </row>
    <row r="9593" spans="5:5">
      <c r="E9593"/>
    </row>
    <row r="9594" spans="5:5">
      <c r="E9594"/>
    </row>
    <row r="9595" spans="5:5">
      <c r="E9595"/>
    </row>
    <row r="9596" spans="5:5">
      <c r="E9596"/>
    </row>
    <row r="9597" spans="5:5">
      <c r="E9597"/>
    </row>
    <row r="9598" spans="5:5">
      <c r="E9598"/>
    </row>
    <row r="9599" spans="5:5">
      <c r="E9599"/>
    </row>
    <row r="9600" spans="5:5">
      <c r="E9600"/>
    </row>
    <row r="9601" spans="5:5">
      <c r="E9601"/>
    </row>
    <row r="9602" spans="5:5">
      <c r="E9602"/>
    </row>
    <row r="9603" spans="5:5">
      <c r="E9603"/>
    </row>
    <row r="9604" spans="5:5">
      <c r="E9604"/>
    </row>
    <row r="9605" spans="5:5">
      <c r="E9605"/>
    </row>
    <row r="9606" spans="5:5">
      <c r="E9606"/>
    </row>
    <row r="9607" spans="5:5">
      <c r="E9607"/>
    </row>
    <row r="9608" spans="5:5">
      <c r="E9608"/>
    </row>
    <row r="9609" spans="5:5">
      <c r="E9609"/>
    </row>
    <row r="9610" spans="5:5">
      <c r="E9610"/>
    </row>
    <row r="9611" spans="5:5">
      <c r="E9611"/>
    </row>
    <row r="9612" spans="5:5">
      <c r="E9612"/>
    </row>
    <row r="9613" spans="5:5">
      <c r="E9613"/>
    </row>
    <row r="9614" spans="5:5">
      <c r="E9614"/>
    </row>
    <row r="9615" spans="5:5">
      <c r="E9615"/>
    </row>
    <row r="9616" spans="5:5">
      <c r="E9616"/>
    </row>
    <row r="9617" spans="5:5">
      <c r="E9617"/>
    </row>
    <row r="9618" spans="5:5">
      <c r="E9618"/>
    </row>
    <row r="9619" spans="5:5">
      <c r="E9619"/>
    </row>
    <row r="9620" spans="5:5">
      <c r="E9620"/>
    </row>
    <row r="9621" spans="5:5">
      <c r="E9621"/>
    </row>
    <row r="9622" spans="5:5">
      <c r="E9622"/>
    </row>
    <row r="9623" spans="5:5">
      <c r="E9623"/>
    </row>
    <row r="9624" spans="5:5">
      <c r="E9624"/>
    </row>
    <row r="9625" spans="5:5">
      <c r="E9625"/>
    </row>
    <row r="9626" spans="5:5">
      <c r="E9626"/>
    </row>
    <row r="9627" spans="5:5">
      <c r="E9627"/>
    </row>
    <row r="9628" spans="5:5">
      <c r="E9628"/>
    </row>
    <row r="9629" spans="5:5">
      <c r="E9629"/>
    </row>
    <row r="9630" spans="5:5">
      <c r="E9630"/>
    </row>
    <row r="9631" spans="5:5">
      <c r="E9631"/>
    </row>
    <row r="9632" spans="5:5">
      <c r="E9632"/>
    </row>
    <row r="9633" spans="5:5">
      <c r="E9633"/>
    </row>
    <row r="9634" spans="5:5">
      <c r="E9634"/>
    </row>
    <row r="9635" spans="5:5">
      <c r="E9635"/>
    </row>
    <row r="9636" spans="5:5">
      <c r="E9636"/>
    </row>
    <row r="9637" spans="5:5">
      <c r="E9637"/>
    </row>
    <row r="9638" spans="5:5">
      <c r="E9638"/>
    </row>
    <row r="9639" spans="5:5">
      <c r="E9639"/>
    </row>
    <row r="9640" spans="5:5">
      <c r="E9640"/>
    </row>
    <row r="9641" spans="5:5">
      <c r="E9641"/>
    </row>
    <row r="9642" spans="5:5">
      <c r="E9642"/>
    </row>
    <row r="9643" spans="5:5">
      <c r="E9643"/>
    </row>
    <row r="9644" spans="5:5">
      <c r="E9644"/>
    </row>
    <row r="9645" spans="5:5">
      <c r="E9645"/>
    </row>
    <row r="9646" spans="5:5">
      <c r="E9646"/>
    </row>
    <row r="9647" spans="5:5">
      <c r="E9647"/>
    </row>
    <row r="9648" spans="5:5">
      <c r="E9648"/>
    </row>
    <row r="9649" spans="5:5">
      <c r="E9649"/>
    </row>
    <row r="9650" spans="5:5">
      <c r="E9650"/>
    </row>
    <row r="9651" spans="5:5">
      <c r="E9651"/>
    </row>
    <row r="9652" spans="5:5">
      <c r="E9652"/>
    </row>
    <row r="9653" spans="5:5">
      <c r="E9653"/>
    </row>
    <row r="9654" spans="5:5">
      <c r="E9654"/>
    </row>
    <row r="9655" spans="5:5">
      <c r="E9655"/>
    </row>
    <row r="9656" spans="5:5">
      <c r="E9656"/>
    </row>
    <row r="9657" spans="5:5">
      <c r="E9657"/>
    </row>
    <row r="9658" spans="5:5">
      <c r="E9658"/>
    </row>
    <row r="9659" spans="5:5">
      <c r="E9659"/>
    </row>
    <row r="9660" spans="5:5">
      <c r="E9660"/>
    </row>
    <row r="9661" spans="5:5">
      <c r="E9661"/>
    </row>
    <row r="9662" spans="5:5">
      <c r="E9662"/>
    </row>
    <row r="9663" spans="5:5">
      <c r="E9663"/>
    </row>
    <row r="9664" spans="5:5">
      <c r="E9664"/>
    </row>
    <row r="9665" spans="5:5">
      <c r="E9665"/>
    </row>
    <row r="9666" spans="5:5">
      <c r="E9666"/>
    </row>
    <row r="9667" spans="5:5">
      <c r="E9667"/>
    </row>
    <row r="9668" spans="5:5">
      <c r="E9668"/>
    </row>
    <row r="9669" spans="5:5">
      <c r="E9669"/>
    </row>
    <row r="9670" spans="5:5">
      <c r="E9670"/>
    </row>
    <row r="9671" spans="5:5">
      <c r="E9671"/>
    </row>
    <row r="9672" spans="5:5">
      <c r="E9672"/>
    </row>
    <row r="9673" spans="5:5">
      <c r="E9673"/>
    </row>
    <row r="9674" spans="5:5">
      <c r="E9674"/>
    </row>
    <row r="9675" spans="5:5">
      <c r="E9675"/>
    </row>
    <row r="9676" spans="5:5">
      <c r="E9676"/>
    </row>
    <row r="9677" spans="5:5">
      <c r="E9677"/>
    </row>
    <row r="9678" spans="5:5">
      <c r="E9678"/>
    </row>
    <row r="9679" spans="5:5">
      <c r="E9679"/>
    </row>
    <row r="9680" spans="5:5">
      <c r="E9680"/>
    </row>
    <row r="9681" spans="5:5">
      <c r="E9681"/>
    </row>
    <row r="9682" spans="5:5">
      <c r="E9682"/>
    </row>
    <row r="9683" spans="5:5">
      <c r="E9683"/>
    </row>
    <row r="9684" spans="5:5">
      <c r="E9684"/>
    </row>
    <row r="9685" spans="5:5">
      <c r="E9685"/>
    </row>
    <row r="9686" spans="5:5">
      <c r="E9686"/>
    </row>
    <row r="9687" spans="5:5">
      <c r="E9687"/>
    </row>
    <row r="9688" spans="5:5">
      <c r="E9688"/>
    </row>
    <row r="9689" spans="5:5">
      <c r="E9689"/>
    </row>
    <row r="9690" spans="5:5">
      <c r="E9690"/>
    </row>
    <row r="9691" spans="5:5">
      <c r="E9691"/>
    </row>
    <row r="9692" spans="5:5">
      <c r="E9692"/>
    </row>
    <row r="9693" spans="5:5">
      <c r="E9693"/>
    </row>
    <row r="9694" spans="5:5">
      <c r="E9694"/>
    </row>
    <row r="9695" spans="5:5">
      <c r="E9695"/>
    </row>
    <row r="9696" spans="5:5">
      <c r="E9696"/>
    </row>
    <row r="9697" spans="5:5">
      <c r="E9697"/>
    </row>
    <row r="9698" spans="5:5">
      <c r="E9698"/>
    </row>
    <row r="9699" spans="5:5">
      <c r="E9699"/>
    </row>
    <row r="9700" spans="5:5">
      <c r="E9700"/>
    </row>
    <row r="9701" spans="5:5">
      <c r="E9701"/>
    </row>
    <row r="9702" spans="5:5">
      <c r="E9702"/>
    </row>
    <row r="9703" spans="5:5">
      <c r="E9703"/>
    </row>
    <row r="9704" spans="5:5">
      <c r="E9704"/>
    </row>
    <row r="9705" spans="5:5">
      <c r="E9705"/>
    </row>
    <row r="9706" spans="5:5">
      <c r="E9706"/>
    </row>
    <row r="9707" spans="5:5">
      <c r="E9707"/>
    </row>
    <row r="9708" spans="5:5">
      <c r="E9708"/>
    </row>
    <row r="9709" spans="5:5">
      <c r="E9709"/>
    </row>
    <row r="9710" spans="5:5">
      <c r="E9710"/>
    </row>
    <row r="9711" spans="5:5">
      <c r="E9711"/>
    </row>
    <row r="9712" spans="5:5">
      <c r="E9712"/>
    </row>
    <row r="9713" spans="5:5">
      <c r="E9713"/>
    </row>
    <row r="9714" spans="5:5">
      <c r="E9714"/>
    </row>
    <row r="9715" spans="5:5">
      <c r="E9715"/>
    </row>
    <row r="9716" spans="5:5">
      <c r="E9716"/>
    </row>
    <row r="9717" spans="5:5">
      <c r="E9717"/>
    </row>
    <row r="9718" spans="5:5">
      <c r="E9718"/>
    </row>
    <row r="9719" spans="5:5">
      <c r="E9719"/>
    </row>
    <row r="9720" spans="5:5">
      <c r="E9720"/>
    </row>
    <row r="9721" spans="5:5">
      <c r="E9721"/>
    </row>
    <row r="9722" spans="5:5">
      <c r="E9722"/>
    </row>
    <row r="9723" spans="5:5">
      <c r="E9723"/>
    </row>
    <row r="9724" spans="5:5">
      <c r="E9724"/>
    </row>
    <row r="9725" spans="5:5">
      <c r="E9725"/>
    </row>
    <row r="9726" spans="5:5">
      <c r="E9726"/>
    </row>
    <row r="9727" spans="5:5">
      <c r="E9727"/>
    </row>
    <row r="9728" spans="5:5">
      <c r="E9728"/>
    </row>
    <row r="9729" spans="5:5">
      <c r="E9729"/>
    </row>
    <row r="9730" spans="5:5">
      <c r="E9730"/>
    </row>
    <row r="9731" spans="5:5">
      <c r="E9731"/>
    </row>
    <row r="9732" spans="5:5">
      <c r="E9732"/>
    </row>
    <row r="9733" spans="5:5">
      <c r="E9733"/>
    </row>
    <row r="9734" spans="5:5">
      <c r="E9734"/>
    </row>
    <row r="9735" spans="5:5">
      <c r="E9735"/>
    </row>
    <row r="9736" spans="5:5">
      <c r="E9736"/>
    </row>
    <row r="9737" spans="5:5">
      <c r="E9737"/>
    </row>
    <row r="9738" spans="5:5">
      <c r="E9738"/>
    </row>
    <row r="9739" spans="5:5">
      <c r="E9739"/>
    </row>
    <row r="9740" spans="5:5">
      <c r="E9740"/>
    </row>
    <row r="9741" spans="5:5">
      <c r="E9741"/>
    </row>
    <row r="9742" spans="5:5">
      <c r="E9742"/>
    </row>
    <row r="9743" spans="5:5">
      <c r="E9743"/>
    </row>
    <row r="9744" spans="5:5">
      <c r="E9744"/>
    </row>
    <row r="9745" spans="5:5">
      <c r="E9745"/>
    </row>
    <row r="9746" spans="5:5">
      <c r="E9746"/>
    </row>
    <row r="9747" spans="5:5">
      <c r="E9747"/>
    </row>
    <row r="9748" spans="5:5">
      <c r="E9748"/>
    </row>
    <row r="9749" spans="5:5">
      <c r="E9749"/>
    </row>
    <row r="9750" spans="5:5">
      <c r="E9750"/>
    </row>
    <row r="9751" spans="5:5">
      <c r="E9751"/>
    </row>
    <row r="9752" spans="5:5">
      <c r="E9752"/>
    </row>
    <row r="9753" spans="5:5">
      <c r="E9753"/>
    </row>
    <row r="9754" spans="5:5">
      <c r="E9754"/>
    </row>
    <row r="9755" spans="5:5">
      <c r="E9755"/>
    </row>
    <row r="9756" spans="5:5">
      <c r="E9756"/>
    </row>
    <row r="9757" spans="5:5">
      <c r="E9757"/>
    </row>
    <row r="9758" spans="5:5">
      <c r="E9758"/>
    </row>
    <row r="9759" spans="5:5">
      <c r="E9759"/>
    </row>
    <row r="9760" spans="5:5">
      <c r="E9760"/>
    </row>
    <row r="9761" spans="5:5">
      <c r="E9761"/>
    </row>
    <row r="9762" spans="5:5">
      <c r="E9762"/>
    </row>
    <row r="9763" spans="5:5">
      <c r="E9763"/>
    </row>
    <row r="9764" spans="5:5">
      <c r="E9764"/>
    </row>
    <row r="9765" spans="5:5">
      <c r="E9765"/>
    </row>
    <row r="9766" spans="5:5">
      <c r="E9766"/>
    </row>
    <row r="9767" spans="5:5">
      <c r="E9767"/>
    </row>
    <row r="9768" spans="5:5">
      <c r="E9768"/>
    </row>
    <row r="9769" spans="5:5">
      <c r="E9769"/>
    </row>
    <row r="9770" spans="5:5">
      <c r="E9770"/>
    </row>
    <row r="9771" spans="5:5">
      <c r="E9771"/>
    </row>
    <row r="9772" spans="5:5">
      <c r="E9772"/>
    </row>
    <row r="9773" spans="5:5">
      <c r="E9773"/>
    </row>
    <row r="9774" spans="5:5">
      <c r="E9774"/>
    </row>
    <row r="9775" spans="5:5">
      <c r="E9775"/>
    </row>
    <row r="9776" spans="5:5">
      <c r="E9776"/>
    </row>
    <row r="9777" spans="5:5">
      <c r="E9777"/>
    </row>
    <row r="9778" spans="5:5">
      <c r="E9778"/>
    </row>
    <row r="9779" spans="5:5">
      <c r="E9779"/>
    </row>
    <row r="9780" spans="5:5">
      <c r="E9780"/>
    </row>
    <row r="9781" spans="5:5">
      <c r="E9781"/>
    </row>
    <row r="9782" spans="5:5">
      <c r="E9782"/>
    </row>
    <row r="9783" spans="5:5">
      <c r="E9783"/>
    </row>
    <row r="9784" spans="5:5">
      <c r="E9784"/>
    </row>
    <row r="9785" spans="5:5">
      <c r="E9785"/>
    </row>
    <row r="9786" spans="5:5">
      <c r="E9786"/>
    </row>
    <row r="9787" spans="5:5">
      <c r="E9787"/>
    </row>
    <row r="9788" spans="5:5">
      <c r="E9788"/>
    </row>
    <row r="9789" spans="5:5">
      <c r="E9789"/>
    </row>
    <row r="9790" spans="5:5">
      <c r="E9790"/>
    </row>
    <row r="9791" spans="5:5">
      <c r="E9791"/>
    </row>
    <row r="9792" spans="5:5">
      <c r="E9792"/>
    </row>
    <row r="9793" spans="5:5">
      <c r="E9793"/>
    </row>
    <row r="9794" spans="5:5">
      <c r="E9794"/>
    </row>
    <row r="9795" spans="5:5">
      <c r="E9795"/>
    </row>
    <row r="9796" spans="5:5">
      <c r="E9796"/>
    </row>
    <row r="9797" spans="5:5">
      <c r="E9797"/>
    </row>
    <row r="9798" spans="5:5">
      <c r="E9798"/>
    </row>
    <row r="9799" spans="5:5">
      <c r="E9799"/>
    </row>
    <row r="9800" spans="5:5">
      <c r="E9800"/>
    </row>
    <row r="9801" spans="5:5">
      <c r="E9801"/>
    </row>
    <row r="9802" spans="5:5">
      <c r="E9802"/>
    </row>
    <row r="9803" spans="5:5">
      <c r="E9803"/>
    </row>
    <row r="9804" spans="5:5">
      <c r="E9804"/>
    </row>
    <row r="9805" spans="5:5">
      <c r="E9805"/>
    </row>
    <row r="9806" spans="5:5">
      <c r="E9806"/>
    </row>
    <row r="9807" spans="5:5">
      <c r="E9807"/>
    </row>
    <row r="9808" spans="5:5">
      <c r="E9808"/>
    </row>
    <row r="9809" spans="5:5">
      <c r="E9809"/>
    </row>
    <row r="9810" spans="5:5">
      <c r="E9810"/>
    </row>
    <row r="9811" spans="5:5">
      <c r="E9811"/>
    </row>
    <row r="9812" spans="5:5">
      <c r="E9812"/>
    </row>
    <row r="9813" spans="5:5">
      <c r="E9813"/>
    </row>
    <row r="9814" spans="5:5">
      <c r="E9814"/>
    </row>
    <row r="9815" spans="5:5">
      <c r="E9815"/>
    </row>
    <row r="9816" spans="5:5">
      <c r="E9816"/>
    </row>
    <row r="9817" spans="5:5">
      <c r="E9817"/>
    </row>
    <row r="9818" spans="5:5">
      <c r="E9818"/>
    </row>
    <row r="9819" spans="5:5">
      <c r="E9819"/>
    </row>
    <row r="9820" spans="5:5">
      <c r="E9820"/>
    </row>
    <row r="9821" spans="5:5">
      <c r="E9821"/>
    </row>
    <row r="9822" spans="5:5">
      <c r="E9822"/>
    </row>
    <row r="9823" spans="5:5">
      <c r="E9823"/>
    </row>
    <row r="9824" spans="5:5">
      <c r="E9824"/>
    </row>
    <row r="9825" spans="5:5">
      <c r="E9825"/>
    </row>
    <row r="9826" spans="5:5">
      <c r="E9826"/>
    </row>
    <row r="9827" spans="5:5">
      <c r="E9827"/>
    </row>
    <row r="9828" spans="5:5">
      <c r="E9828"/>
    </row>
    <row r="9829" spans="5:5">
      <c r="E9829"/>
    </row>
    <row r="9830" spans="5:5">
      <c r="E9830"/>
    </row>
    <row r="9831" spans="5:5">
      <c r="E9831"/>
    </row>
    <row r="9832" spans="5:5">
      <c r="E9832"/>
    </row>
    <row r="9833" spans="5:5">
      <c r="E9833"/>
    </row>
    <row r="9834" spans="5:5">
      <c r="E9834"/>
    </row>
    <row r="9835" spans="5:5">
      <c r="E9835"/>
    </row>
    <row r="9836" spans="5:5">
      <c r="E9836"/>
    </row>
    <row r="9837" spans="5:5">
      <c r="E9837"/>
    </row>
    <row r="9838" spans="5:5">
      <c r="E9838"/>
    </row>
    <row r="9839" spans="5:5">
      <c r="E9839"/>
    </row>
    <row r="9840" spans="5:5">
      <c r="E9840"/>
    </row>
    <row r="9841" spans="5:5">
      <c r="E9841"/>
    </row>
    <row r="9842" spans="5:5">
      <c r="E9842"/>
    </row>
    <row r="9843" spans="5:5">
      <c r="E9843"/>
    </row>
    <row r="9844" spans="5:5">
      <c r="E9844"/>
    </row>
    <row r="9845" spans="5:5">
      <c r="E9845"/>
    </row>
    <row r="9846" spans="5:5">
      <c r="E9846"/>
    </row>
    <row r="9847" spans="5:5">
      <c r="E9847"/>
    </row>
    <row r="9848" spans="5:5">
      <c r="E9848"/>
    </row>
    <row r="9849" spans="5:5">
      <c r="E9849"/>
    </row>
    <row r="9850" spans="5:5">
      <c r="E9850"/>
    </row>
    <row r="9851" spans="5:5">
      <c r="E9851"/>
    </row>
    <row r="9852" spans="5:5">
      <c r="E9852"/>
    </row>
    <row r="9853" spans="5:5">
      <c r="E9853"/>
    </row>
    <row r="9854" spans="5:5">
      <c r="E9854"/>
    </row>
    <row r="9855" spans="5:5">
      <c r="E9855"/>
    </row>
    <row r="9856" spans="5:5">
      <c r="E9856"/>
    </row>
    <row r="9857" spans="5:5">
      <c r="E9857"/>
    </row>
    <row r="9858" spans="5:5">
      <c r="E9858"/>
    </row>
    <row r="9859" spans="5:5">
      <c r="E9859"/>
    </row>
    <row r="9860" spans="5:5">
      <c r="E9860"/>
    </row>
    <row r="9861" spans="5:5">
      <c r="E9861"/>
    </row>
    <row r="9862" spans="5:5">
      <c r="E9862"/>
    </row>
    <row r="9863" spans="5:5">
      <c r="E9863"/>
    </row>
    <row r="9864" spans="5:5">
      <c r="E9864"/>
    </row>
    <row r="9865" spans="5:5">
      <c r="E9865"/>
    </row>
    <row r="9866" spans="5:5">
      <c r="E9866"/>
    </row>
    <row r="9867" spans="5:5">
      <c r="E9867"/>
    </row>
    <row r="9868" spans="5:5">
      <c r="E9868"/>
    </row>
    <row r="9869" spans="5:5">
      <c r="E9869"/>
    </row>
    <row r="9870" spans="5:5">
      <c r="E9870"/>
    </row>
    <row r="9871" spans="5:5">
      <c r="E9871"/>
    </row>
    <row r="9872" spans="5:5">
      <c r="E9872"/>
    </row>
    <row r="9873" spans="5:5">
      <c r="E9873"/>
    </row>
    <row r="9874" spans="5:5">
      <c r="E9874"/>
    </row>
    <row r="9875" spans="5:5">
      <c r="E9875"/>
    </row>
    <row r="9876" spans="5:5">
      <c r="E9876"/>
    </row>
    <row r="9877" spans="5:5">
      <c r="E9877"/>
    </row>
    <row r="9878" spans="5:5">
      <c r="E9878"/>
    </row>
    <row r="9879" spans="5:5">
      <c r="E9879"/>
    </row>
    <row r="9880" spans="5:5">
      <c r="E9880"/>
    </row>
    <row r="9881" spans="5:5">
      <c r="E9881"/>
    </row>
    <row r="9882" spans="5:5">
      <c r="E9882"/>
    </row>
    <row r="9883" spans="5:5">
      <c r="E9883"/>
    </row>
    <row r="9884" spans="5:5">
      <c r="E9884"/>
    </row>
    <row r="9885" spans="5:5">
      <c r="E9885"/>
    </row>
    <row r="9886" spans="5:5">
      <c r="E9886"/>
    </row>
    <row r="9887" spans="5:5">
      <c r="E9887"/>
    </row>
    <row r="9888" spans="5:5">
      <c r="E9888"/>
    </row>
    <row r="9889" spans="5:5">
      <c r="E9889"/>
    </row>
    <row r="9890" spans="5:5">
      <c r="E9890"/>
    </row>
    <row r="9891" spans="5:5">
      <c r="E9891"/>
    </row>
    <row r="9892" spans="5:5">
      <c r="E9892"/>
    </row>
    <row r="9893" spans="5:5">
      <c r="E9893"/>
    </row>
    <row r="9894" spans="5:5">
      <c r="E9894"/>
    </row>
    <row r="9895" spans="5:5">
      <c r="E9895"/>
    </row>
    <row r="9896" spans="5:5">
      <c r="E9896"/>
    </row>
    <row r="9897" spans="5:5">
      <c r="E9897"/>
    </row>
    <row r="9898" spans="5:5">
      <c r="E9898"/>
    </row>
    <row r="9899" spans="5:5">
      <c r="E9899"/>
    </row>
    <row r="9900" spans="5:5">
      <c r="E9900"/>
    </row>
    <row r="9901" spans="5:5">
      <c r="E9901"/>
    </row>
    <row r="9902" spans="5:5">
      <c r="E9902"/>
    </row>
    <row r="9903" spans="5:5">
      <c r="E9903"/>
    </row>
    <row r="9904" spans="5:5">
      <c r="E9904"/>
    </row>
    <row r="9905" spans="5:5">
      <c r="E9905"/>
    </row>
    <row r="9906" spans="5:5">
      <c r="E9906"/>
    </row>
    <row r="9907" spans="5:5">
      <c r="E9907"/>
    </row>
    <row r="9908" spans="5:5">
      <c r="E9908"/>
    </row>
    <row r="9909" spans="5:5">
      <c r="E9909"/>
    </row>
    <row r="9910" spans="5:5">
      <c r="E9910"/>
    </row>
    <row r="9911" spans="5:5">
      <c r="E9911"/>
    </row>
    <row r="9912" spans="5:5">
      <c r="E9912"/>
    </row>
    <row r="9913" spans="5:5">
      <c r="E9913"/>
    </row>
    <row r="9914" spans="5:5">
      <c r="E9914"/>
    </row>
    <row r="9915" spans="5:5">
      <c r="E9915"/>
    </row>
    <row r="9916" spans="5:5">
      <c r="E9916"/>
    </row>
    <row r="9917" spans="5:5">
      <c r="E9917"/>
    </row>
    <row r="9918" spans="5:5">
      <c r="E9918"/>
    </row>
    <row r="9919" spans="5:5">
      <c r="E9919"/>
    </row>
    <row r="9920" spans="5:5">
      <c r="E9920"/>
    </row>
    <row r="9921" spans="5:5">
      <c r="E9921"/>
    </row>
    <row r="9922" spans="5:5">
      <c r="E9922"/>
    </row>
    <row r="9923" spans="5:5">
      <c r="E9923"/>
    </row>
    <row r="9924" spans="5:5">
      <c r="E9924"/>
    </row>
    <row r="9925" spans="5:5">
      <c r="E9925"/>
    </row>
    <row r="9926" spans="5:5">
      <c r="E9926"/>
    </row>
    <row r="9927" spans="5:5">
      <c r="E9927"/>
    </row>
    <row r="9928" spans="5:5">
      <c r="E9928"/>
    </row>
    <row r="9929" spans="5:5">
      <c r="E9929"/>
    </row>
    <row r="9930" spans="5:5">
      <c r="E9930"/>
    </row>
    <row r="9931" spans="5:5">
      <c r="E9931"/>
    </row>
    <row r="9932" spans="5:5">
      <c r="E9932"/>
    </row>
    <row r="9933" spans="5:5">
      <c r="E9933"/>
    </row>
    <row r="9934" spans="5:5">
      <c r="E9934"/>
    </row>
    <row r="9935" spans="5:5">
      <c r="E9935"/>
    </row>
    <row r="9936" spans="5:5">
      <c r="E9936"/>
    </row>
    <row r="9937" spans="5:5">
      <c r="E9937"/>
    </row>
    <row r="9938" spans="5:5">
      <c r="E9938"/>
    </row>
    <row r="9939" spans="5:5">
      <c r="E9939"/>
    </row>
    <row r="9940" spans="5:5">
      <c r="E9940"/>
    </row>
    <row r="9941" spans="5:5">
      <c r="E9941"/>
    </row>
    <row r="9942" spans="5:5">
      <c r="E9942"/>
    </row>
    <row r="9943" spans="5:5">
      <c r="E9943"/>
    </row>
    <row r="9944" spans="5:5">
      <c r="E9944"/>
    </row>
    <row r="9945" spans="5:5">
      <c r="E9945"/>
    </row>
    <row r="9946" spans="5:5">
      <c r="E9946"/>
    </row>
    <row r="9947" spans="5:5">
      <c r="E9947"/>
    </row>
    <row r="9948" spans="5:5">
      <c r="E9948"/>
    </row>
    <row r="9949" spans="5:5">
      <c r="E9949"/>
    </row>
    <row r="9950" spans="5:5">
      <c r="E9950"/>
    </row>
    <row r="9951" spans="5:5">
      <c r="E9951"/>
    </row>
    <row r="9952" spans="5:5">
      <c r="E9952"/>
    </row>
    <row r="9953" spans="5:5">
      <c r="E9953"/>
    </row>
    <row r="9954" spans="5:5">
      <c r="E9954"/>
    </row>
    <row r="9955" spans="5:5">
      <c r="E9955"/>
    </row>
    <row r="9956" spans="5:5">
      <c r="E9956"/>
    </row>
    <row r="9957" spans="5:5">
      <c r="E9957"/>
    </row>
    <row r="9958" spans="5:5">
      <c r="E9958"/>
    </row>
    <row r="9959" spans="5:5">
      <c r="E9959"/>
    </row>
    <row r="9960" spans="5:5">
      <c r="E9960"/>
    </row>
    <row r="9961" spans="5:5">
      <c r="E9961"/>
    </row>
    <row r="9962" spans="5:5">
      <c r="E9962"/>
    </row>
    <row r="9963" spans="5:5">
      <c r="E9963"/>
    </row>
    <row r="9964" spans="5:5">
      <c r="E9964"/>
    </row>
    <row r="9965" spans="5:5">
      <c r="E9965"/>
    </row>
    <row r="9966" spans="5:5">
      <c r="E9966"/>
    </row>
    <row r="9967" spans="5:5">
      <c r="E9967"/>
    </row>
    <row r="9968" spans="5:5">
      <c r="E9968"/>
    </row>
    <row r="9969" spans="5:5">
      <c r="E9969"/>
    </row>
    <row r="9970" spans="5:5">
      <c r="E9970"/>
    </row>
    <row r="9971" spans="5:5">
      <c r="E9971"/>
    </row>
    <row r="9972" spans="5:5">
      <c r="E9972"/>
    </row>
    <row r="9973" spans="5:5">
      <c r="E9973"/>
    </row>
    <row r="9974" spans="5:5">
      <c r="E9974"/>
    </row>
    <row r="9975" spans="5:5">
      <c r="E9975"/>
    </row>
    <row r="9976" spans="5:5">
      <c r="E9976"/>
    </row>
    <row r="9977" spans="5:5">
      <c r="E9977"/>
    </row>
    <row r="9978" spans="5:5">
      <c r="E9978"/>
    </row>
    <row r="9979" spans="5:5">
      <c r="E9979"/>
    </row>
    <row r="9980" spans="5:5">
      <c r="E9980"/>
    </row>
    <row r="9981" spans="5:5">
      <c r="E9981"/>
    </row>
    <row r="9982" spans="5:5">
      <c r="E9982"/>
    </row>
    <row r="9983" spans="5:5">
      <c r="E9983"/>
    </row>
    <row r="9984" spans="5:5">
      <c r="E9984"/>
    </row>
    <row r="9985" spans="5:5">
      <c r="E9985"/>
    </row>
    <row r="9986" spans="5:5">
      <c r="E9986"/>
    </row>
    <row r="9987" spans="5:5">
      <c r="E9987"/>
    </row>
    <row r="9988" spans="5:5">
      <c r="E9988"/>
    </row>
    <row r="9989" spans="5:5">
      <c r="E9989"/>
    </row>
    <row r="9990" spans="5:5">
      <c r="E9990"/>
    </row>
    <row r="9991" spans="5:5">
      <c r="E9991"/>
    </row>
    <row r="9992" spans="5:5">
      <c r="E9992"/>
    </row>
    <row r="9993" spans="5:5">
      <c r="E9993"/>
    </row>
    <row r="9994" spans="5:5">
      <c r="E9994"/>
    </row>
    <row r="9995" spans="5:5">
      <c r="E9995"/>
    </row>
    <row r="9996" spans="5:5">
      <c r="E9996"/>
    </row>
    <row r="9997" spans="5:5">
      <c r="E9997"/>
    </row>
    <row r="9998" spans="5:5">
      <c r="E9998"/>
    </row>
    <row r="9999" spans="5:5">
      <c r="E9999"/>
    </row>
    <row r="10000" spans="5:5">
      <c r="E10000"/>
    </row>
    <row r="10001" spans="5:5">
      <c r="E10001"/>
    </row>
    <row r="10002" spans="5:5">
      <c r="E10002"/>
    </row>
    <row r="10003" spans="5:5">
      <c r="E10003"/>
    </row>
    <row r="10004" spans="5:5">
      <c r="E10004"/>
    </row>
    <row r="10005" spans="5:5">
      <c r="E10005"/>
    </row>
    <row r="10006" spans="5:5">
      <c r="E10006"/>
    </row>
    <row r="10007" spans="5:5">
      <c r="E10007"/>
    </row>
    <row r="10008" spans="5:5">
      <c r="E10008"/>
    </row>
    <row r="10009" spans="5:5">
      <c r="E10009"/>
    </row>
    <row r="10010" spans="5:5">
      <c r="E10010"/>
    </row>
    <row r="10011" spans="5:5">
      <c r="E10011"/>
    </row>
    <row r="10012" spans="5:5">
      <c r="E10012"/>
    </row>
    <row r="10013" spans="5:5">
      <c r="E10013"/>
    </row>
    <row r="10014" spans="5:5">
      <c r="E10014"/>
    </row>
    <row r="10015" spans="5:5">
      <c r="E10015"/>
    </row>
    <row r="10016" spans="5:5">
      <c r="E10016"/>
    </row>
    <row r="10017" spans="5:5">
      <c r="E10017"/>
    </row>
    <row r="10018" spans="5:5">
      <c r="E10018"/>
    </row>
    <row r="10019" spans="5:5">
      <c r="E10019"/>
    </row>
    <row r="10020" spans="5:5">
      <c r="E10020"/>
    </row>
    <row r="10021" spans="5:5">
      <c r="E10021"/>
    </row>
    <row r="10022" spans="5:5">
      <c r="E10022"/>
    </row>
    <row r="10023" spans="5:5">
      <c r="E10023"/>
    </row>
    <row r="10024" spans="5:5">
      <c r="E10024"/>
    </row>
    <row r="10025" spans="5:5">
      <c r="E10025"/>
    </row>
    <row r="10026" spans="5:5">
      <c r="E10026"/>
    </row>
    <row r="10027" spans="5:5">
      <c r="E10027"/>
    </row>
    <row r="10028" spans="5:5">
      <c r="E10028"/>
    </row>
    <row r="10029" spans="5:5">
      <c r="E10029"/>
    </row>
    <row r="10030" spans="5:5">
      <c r="E10030"/>
    </row>
    <row r="10031" spans="5:5">
      <c r="E10031"/>
    </row>
    <row r="10032" spans="5:5">
      <c r="E10032"/>
    </row>
    <row r="10033" spans="5:5">
      <c r="E10033"/>
    </row>
    <row r="10034" spans="5:5">
      <c r="E10034"/>
    </row>
    <row r="10035" spans="5:5">
      <c r="E10035"/>
    </row>
    <row r="10036" spans="5:5">
      <c r="E10036"/>
    </row>
    <row r="10037" spans="5:5">
      <c r="E10037"/>
    </row>
    <row r="10038" spans="5:5">
      <c r="E10038"/>
    </row>
    <row r="10039" spans="5:5">
      <c r="E10039"/>
    </row>
    <row r="10040" spans="5:5">
      <c r="E10040"/>
    </row>
    <row r="10041" spans="5:5">
      <c r="E10041"/>
    </row>
    <row r="10042" spans="5:5">
      <c r="E10042"/>
    </row>
    <row r="10043" spans="5:5">
      <c r="E10043"/>
    </row>
    <row r="10044" spans="5:5">
      <c r="E10044"/>
    </row>
    <row r="10045" spans="5:5">
      <c r="E10045"/>
    </row>
    <row r="10046" spans="5:5">
      <c r="E10046"/>
    </row>
    <row r="10047" spans="5:5">
      <c r="E10047"/>
    </row>
    <row r="10048" spans="5:5">
      <c r="E10048"/>
    </row>
    <row r="10049" spans="5:5">
      <c r="E10049"/>
    </row>
    <row r="10050" spans="5:5">
      <c r="E10050"/>
    </row>
    <row r="10051" spans="5:5">
      <c r="E10051"/>
    </row>
    <row r="10052" spans="5:5">
      <c r="E10052"/>
    </row>
    <row r="10053" spans="5:5">
      <c r="E10053"/>
    </row>
    <row r="10054" spans="5:5">
      <c r="E10054"/>
    </row>
    <row r="10055" spans="5:5">
      <c r="E10055"/>
    </row>
    <row r="10056" spans="5:5">
      <c r="E10056"/>
    </row>
    <row r="10057" spans="5:5">
      <c r="E10057"/>
    </row>
    <row r="10058" spans="5:5">
      <c r="E10058"/>
    </row>
    <row r="10059" spans="5:5">
      <c r="E10059"/>
    </row>
    <row r="10060" spans="5:5">
      <c r="E10060"/>
    </row>
    <row r="10061" spans="5:5">
      <c r="E10061"/>
    </row>
    <row r="10062" spans="5:5">
      <c r="E10062"/>
    </row>
    <row r="10063" spans="5:5">
      <c r="E10063"/>
    </row>
    <row r="10064" spans="5:5">
      <c r="E10064"/>
    </row>
    <row r="10065" spans="5:5">
      <c r="E10065"/>
    </row>
    <row r="10066" spans="5:5">
      <c r="E10066"/>
    </row>
    <row r="10067" spans="5:5">
      <c r="E10067"/>
    </row>
    <row r="10068" spans="5:5">
      <c r="E10068"/>
    </row>
    <row r="10069" spans="5:5">
      <c r="E10069"/>
    </row>
    <row r="10070" spans="5:5">
      <c r="E10070"/>
    </row>
    <row r="10071" spans="5:5">
      <c r="E10071"/>
    </row>
    <row r="10072" spans="5:5">
      <c r="E10072"/>
    </row>
    <row r="10073" spans="5:5">
      <c r="E10073"/>
    </row>
    <row r="10074" spans="5:5">
      <c r="E10074"/>
    </row>
    <row r="10075" spans="5:5">
      <c r="E10075"/>
    </row>
    <row r="10076" spans="5:5">
      <c r="E10076"/>
    </row>
    <row r="10077" spans="5:5">
      <c r="E10077"/>
    </row>
    <row r="10078" spans="5:5">
      <c r="E10078"/>
    </row>
    <row r="10079" spans="5:5">
      <c r="E10079"/>
    </row>
    <row r="10080" spans="5:5">
      <c r="E10080"/>
    </row>
    <row r="10081" spans="5:5">
      <c r="E10081"/>
    </row>
    <row r="10082" spans="5:5">
      <c r="E10082"/>
    </row>
    <row r="10083" spans="5:5">
      <c r="E10083"/>
    </row>
    <row r="10084" spans="5:5">
      <c r="E10084"/>
    </row>
    <row r="10085" spans="5:5">
      <c r="E10085"/>
    </row>
    <row r="10086" spans="5:5">
      <c r="E10086"/>
    </row>
    <row r="10087" spans="5:5">
      <c r="E10087"/>
    </row>
    <row r="10088" spans="5:5">
      <c r="E10088"/>
    </row>
    <row r="10089" spans="5:5">
      <c r="E10089"/>
    </row>
    <row r="10090" spans="5:5">
      <c r="E10090"/>
    </row>
    <row r="10091" spans="5:5">
      <c r="E10091"/>
    </row>
    <row r="10092" spans="5:5">
      <c r="E10092"/>
    </row>
    <row r="10093" spans="5:5">
      <c r="E10093"/>
    </row>
    <row r="10094" spans="5:5">
      <c r="E10094"/>
    </row>
    <row r="10095" spans="5:5">
      <c r="E10095"/>
    </row>
    <row r="10096" spans="5:5">
      <c r="E10096"/>
    </row>
    <row r="10097" spans="5:5">
      <c r="E10097"/>
    </row>
    <row r="10098" spans="5:5">
      <c r="E10098"/>
    </row>
    <row r="10099" spans="5:5">
      <c r="E10099"/>
    </row>
    <row r="10100" spans="5:5">
      <c r="E10100"/>
    </row>
    <row r="10101" spans="5:5">
      <c r="E10101"/>
    </row>
    <row r="10102" spans="5:5">
      <c r="E10102"/>
    </row>
    <row r="10103" spans="5:5">
      <c r="E10103"/>
    </row>
    <row r="10104" spans="5:5">
      <c r="E10104"/>
    </row>
    <row r="10105" spans="5:5">
      <c r="E10105"/>
    </row>
    <row r="10106" spans="5:5">
      <c r="E10106"/>
    </row>
    <row r="10107" spans="5:5">
      <c r="E10107"/>
    </row>
    <row r="10108" spans="5:5">
      <c r="E10108"/>
    </row>
    <row r="10109" spans="5:5">
      <c r="E10109"/>
    </row>
    <row r="10110" spans="5:5">
      <c r="E10110"/>
    </row>
    <row r="10111" spans="5:5">
      <c r="E10111"/>
    </row>
    <row r="10112" spans="5:5">
      <c r="E10112"/>
    </row>
    <row r="10113" spans="5:5">
      <c r="E10113"/>
    </row>
    <row r="10114" spans="5:5">
      <c r="E10114"/>
    </row>
    <row r="10115" spans="5:5">
      <c r="E10115"/>
    </row>
    <row r="10116" spans="5:5">
      <c r="E10116"/>
    </row>
    <row r="10117" spans="5:5">
      <c r="E10117"/>
    </row>
    <row r="10118" spans="5:5">
      <c r="E10118"/>
    </row>
    <row r="10119" spans="5:5">
      <c r="E10119"/>
    </row>
    <row r="10120" spans="5:5">
      <c r="E10120"/>
    </row>
    <row r="10121" spans="5:5">
      <c r="E10121"/>
    </row>
    <row r="10122" spans="5:5">
      <c r="E10122"/>
    </row>
    <row r="10123" spans="5:5">
      <c r="E10123"/>
    </row>
    <row r="10124" spans="5:5">
      <c r="E10124"/>
    </row>
    <row r="10125" spans="5:5">
      <c r="E10125"/>
    </row>
    <row r="10126" spans="5:5">
      <c r="E10126"/>
    </row>
    <row r="10127" spans="5:5">
      <c r="E10127"/>
    </row>
    <row r="10128" spans="5:5">
      <c r="E10128"/>
    </row>
    <row r="10129" spans="5:5">
      <c r="E10129"/>
    </row>
    <row r="10130" spans="5:5">
      <c r="E10130"/>
    </row>
    <row r="10131" spans="5:5">
      <c r="E10131"/>
    </row>
    <row r="10132" spans="5:5">
      <c r="E10132"/>
    </row>
    <row r="10133" spans="5:5">
      <c r="E10133"/>
    </row>
    <row r="10134" spans="5:5">
      <c r="E10134"/>
    </row>
    <row r="10135" spans="5:5">
      <c r="E10135"/>
    </row>
    <row r="10136" spans="5:5">
      <c r="E10136"/>
    </row>
    <row r="10137" spans="5:5">
      <c r="E10137"/>
    </row>
    <row r="10138" spans="5:5">
      <c r="E10138"/>
    </row>
    <row r="10139" spans="5:5">
      <c r="E10139"/>
    </row>
    <row r="10140" spans="5:5">
      <c r="E10140"/>
    </row>
    <row r="10141" spans="5:5">
      <c r="E10141"/>
    </row>
    <row r="10142" spans="5:5">
      <c r="E10142"/>
    </row>
    <row r="10143" spans="5:5">
      <c r="E10143"/>
    </row>
    <row r="10144" spans="5:5">
      <c r="E10144"/>
    </row>
    <row r="10145" spans="5:5">
      <c r="E10145"/>
    </row>
    <row r="10146" spans="5:5">
      <c r="E10146"/>
    </row>
    <row r="10147" spans="5:5">
      <c r="E10147"/>
    </row>
    <row r="10148" spans="5:5">
      <c r="E10148"/>
    </row>
    <row r="10149" spans="5:5">
      <c r="E10149"/>
    </row>
    <row r="10150" spans="5:5">
      <c r="E10150"/>
    </row>
    <row r="10151" spans="5:5">
      <c r="E10151"/>
    </row>
    <row r="10152" spans="5:5">
      <c r="E10152"/>
    </row>
    <row r="10153" spans="5:5">
      <c r="E10153"/>
    </row>
    <row r="10154" spans="5:5">
      <c r="E10154"/>
    </row>
    <row r="10155" spans="5:5">
      <c r="E10155"/>
    </row>
    <row r="10156" spans="5:5">
      <c r="E10156"/>
    </row>
    <row r="10157" spans="5:5">
      <c r="E10157"/>
    </row>
    <row r="10158" spans="5:5">
      <c r="E10158"/>
    </row>
    <row r="10159" spans="5:5">
      <c r="E10159"/>
    </row>
    <row r="10160" spans="5:5">
      <c r="E10160"/>
    </row>
    <row r="10161" spans="5:5">
      <c r="E10161"/>
    </row>
    <row r="10162" spans="5:5">
      <c r="E10162"/>
    </row>
    <row r="10163" spans="5:5">
      <c r="E10163"/>
    </row>
    <row r="10164" spans="5:5">
      <c r="E10164"/>
    </row>
    <row r="10165" spans="5:5">
      <c r="E10165"/>
    </row>
    <row r="10166" spans="5:5">
      <c r="E10166"/>
    </row>
    <row r="10167" spans="5:5">
      <c r="E10167"/>
    </row>
    <row r="10168" spans="5:5">
      <c r="E10168"/>
    </row>
    <row r="10169" spans="5:5">
      <c r="E10169"/>
    </row>
    <row r="10170" spans="5:5">
      <c r="E10170"/>
    </row>
    <row r="10171" spans="5:5">
      <c r="E10171"/>
    </row>
    <row r="10172" spans="5:5">
      <c r="E10172"/>
    </row>
    <row r="10173" spans="5:5">
      <c r="E10173"/>
    </row>
    <row r="10174" spans="5:5">
      <c r="E10174"/>
    </row>
    <row r="10175" spans="5:5">
      <c r="E10175"/>
    </row>
    <row r="10176" spans="5:5">
      <c r="E10176"/>
    </row>
    <row r="10177" spans="5:5">
      <c r="E10177"/>
    </row>
    <row r="10178" spans="5:5">
      <c r="E10178"/>
    </row>
    <row r="10179" spans="5:5">
      <c r="E10179"/>
    </row>
    <row r="10180" spans="5:5">
      <c r="E10180"/>
    </row>
    <row r="10181" spans="5:5">
      <c r="E10181"/>
    </row>
    <row r="10182" spans="5:5">
      <c r="E10182"/>
    </row>
    <row r="10183" spans="5:5">
      <c r="E10183"/>
    </row>
    <row r="10184" spans="5:5">
      <c r="E10184"/>
    </row>
    <row r="10185" spans="5:5">
      <c r="E10185"/>
    </row>
    <row r="10186" spans="5:5">
      <c r="E10186"/>
    </row>
    <row r="10187" spans="5:5">
      <c r="E10187"/>
    </row>
    <row r="10188" spans="5:5">
      <c r="E10188"/>
    </row>
    <row r="10189" spans="5:5">
      <c r="E10189"/>
    </row>
    <row r="10190" spans="5:5">
      <c r="E10190"/>
    </row>
    <row r="10191" spans="5:5">
      <c r="E10191"/>
    </row>
    <row r="10192" spans="5:5">
      <c r="E10192"/>
    </row>
    <row r="10193" spans="5:5">
      <c r="E10193"/>
    </row>
    <row r="10194" spans="5:5">
      <c r="E10194"/>
    </row>
    <row r="10195" spans="5:5">
      <c r="E10195"/>
    </row>
    <row r="10196" spans="5:5">
      <c r="E10196"/>
    </row>
    <row r="10197" spans="5:5">
      <c r="E10197"/>
    </row>
    <row r="10198" spans="5:5">
      <c r="E10198"/>
    </row>
    <row r="10199" spans="5:5">
      <c r="E10199"/>
    </row>
    <row r="10200" spans="5:5">
      <c r="E10200"/>
    </row>
    <row r="10201" spans="5:5">
      <c r="E10201"/>
    </row>
    <row r="10202" spans="5:5">
      <c r="E10202"/>
    </row>
    <row r="10203" spans="5:5">
      <c r="E10203"/>
    </row>
    <row r="10204" spans="5:5">
      <c r="E10204"/>
    </row>
    <row r="10205" spans="5:5">
      <c r="E10205"/>
    </row>
    <row r="10206" spans="5:5">
      <c r="E10206"/>
    </row>
    <row r="10207" spans="5:5">
      <c r="E10207"/>
    </row>
    <row r="10208" spans="5:5">
      <c r="E10208"/>
    </row>
    <row r="10209" spans="5:5">
      <c r="E10209"/>
    </row>
    <row r="10210" spans="5:5">
      <c r="E10210"/>
    </row>
    <row r="10211" spans="5:5">
      <c r="E10211"/>
    </row>
    <row r="10212" spans="5:5">
      <c r="E10212"/>
    </row>
    <row r="10213" spans="5:5">
      <c r="E10213"/>
    </row>
    <row r="10214" spans="5:5">
      <c r="E10214"/>
    </row>
    <row r="10215" spans="5:5">
      <c r="E10215"/>
    </row>
    <row r="10216" spans="5:5">
      <c r="E10216"/>
    </row>
    <row r="10217" spans="5:5">
      <c r="E10217"/>
    </row>
    <row r="10218" spans="5:5">
      <c r="E10218"/>
    </row>
    <row r="10219" spans="5:5">
      <c r="E10219"/>
    </row>
    <row r="10220" spans="5:5">
      <c r="E10220"/>
    </row>
    <row r="10221" spans="5:5">
      <c r="E10221"/>
    </row>
    <row r="10222" spans="5:5">
      <c r="E10222"/>
    </row>
    <row r="10223" spans="5:5">
      <c r="E10223"/>
    </row>
    <row r="10224" spans="5:5">
      <c r="E10224"/>
    </row>
    <row r="10225" spans="5:5">
      <c r="E10225"/>
    </row>
    <row r="10226" spans="5:5">
      <c r="E10226"/>
    </row>
    <row r="10227" spans="5:5">
      <c r="E10227"/>
    </row>
    <row r="10228" spans="5:5">
      <c r="E10228"/>
    </row>
    <row r="10229" spans="5:5">
      <c r="E10229"/>
    </row>
    <row r="10230" spans="5:5">
      <c r="E10230"/>
    </row>
    <row r="10231" spans="5:5">
      <c r="E10231"/>
    </row>
    <row r="10232" spans="5:5">
      <c r="E10232"/>
    </row>
    <row r="10233" spans="5:5">
      <c r="E10233"/>
    </row>
    <row r="10234" spans="5:5">
      <c r="E10234"/>
    </row>
    <row r="10235" spans="5:5">
      <c r="E10235"/>
    </row>
    <row r="10236" spans="5:5">
      <c r="E10236"/>
    </row>
    <row r="10237" spans="5:5">
      <c r="E10237"/>
    </row>
    <row r="10238" spans="5:5">
      <c r="E10238"/>
    </row>
    <row r="10239" spans="5:5">
      <c r="E10239"/>
    </row>
    <row r="10240" spans="5:5">
      <c r="E10240"/>
    </row>
    <row r="10241" spans="5:5">
      <c r="E10241"/>
    </row>
    <row r="10242" spans="5:5">
      <c r="E10242"/>
    </row>
    <row r="10243" spans="5:5">
      <c r="E10243"/>
    </row>
    <row r="10244" spans="5:5">
      <c r="E10244"/>
    </row>
    <row r="10245" spans="5:5">
      <c r="E10245"/>
    </row>
    <row r="10246" spans="5:5">
      <c r="E10246"/>
    </row>
    <row r="10247" spans="5:5">
      <c r="E10247"/>
    </row>
    <row r="10248" spans="5:5">
      <c r="E10248"/>
    </row>
    <row r="10249" spans="5:5">
      <c r="E10249"/>
    </row>
    <row r="10250" spans="5:5">
      <c r="E10250"/>
    </row>
    <row r="10251" spans="5:5">
      <c r="E10251"/>
    </row>
    <row r="10252" spans="5:5">
      <c r="E10252"/>
    </row>
    <row r="10253" spans="5:5">
      <c r="E10253"/>
    </row>
    <row r="10254" spans="5:5">
      <c r="E10254"/>
    </row>
    <row r="10255" spans="5:5">
      <c r="E10255"/>
    </row>
    <row r="10256" spans="5:5">
      <c r="E10256"/>
    </row>
    <row r="10257" spans="5:5">
      <c r="E10257"/>
    </row>
    <row r="10258" spans="5:5">
      <c r="E10258"/>
    </row>
    <row r="10259" spans="5:5">
      <c r="E10259"/>
    </row>
    <row r="10260" spans="5:5">
      <c r="E10260"/>
    </row>
    <row r="10261" spans="5:5">
      <c r="E10261"/>
    </row>
    <row r="10262" spans="5:5">
      <c r="E10262"/>
    </row>
    <row r="10263" spans="5:5">
      <c r="E10263"/>
    </row>
    <row r="10264" spans="5:5">
      <c r="E10264"/>
    </row>
    <row r="10265" spans="5:5">
      <c r="E10265"/>
    </row>
    <row r="10266" spans="5:5">
      <c r="E10266"/>
    </row>
    <row r="10267" spans="5:5">
      <c r="E10267"/>
    </row>
    <row r="10268" spans="5:5">
      <c r="E10268"/>
    </row>
    <row r="10269" spans="5:5">
      <c r="E10269"/>
    </row>
    <row r="10270" spans="5:5">
      <c r="E10270"/>
    </row>
    <row r="10271" spans="5:5">
      <c r="E10271"/>
    </row>
    <row r="10272" spans="5:5">
      <c r="E10272"/>
    </row>
    <row r="10273" spans="5:5">
      <c r="E10273"/>
    </row>
    <row r="10274" spans="5:5">
      <c r="E10274"/>
    </row>
    <row r="10275" spans="5:5">
      <c r="E10275"/>
    </row>
    <row r="10276" spans="5:5">
      <c r="E10276"/>
    </row>
    <row r="10277" spans="5:5">
      <c r="E10277"/>
    </row>
    <row r="10278" spans="5:5">
      <c r="E10278"/>
    </row>
    <row r="10279" spans="5:5">
      <c r="E10279"/>
    </row>
    <row r="10280" spans="5:5">
      <c r="E10280"/>
    </row>
    <row r="10281" spans="5:5">
      <c r="E10281"/>
    </row>
    <row r="10282" spans="5:5">
      <c r="E10282"/>
    </row>
    <row r="10283" spans="5:5">
      <c r="E10283"/>
    </row>
    <row r="10284" spans="5:5">
      <c r="E10284"/>
    </row>
    <row r="10285" spans="5:5">
      <c r="E10285"/>
    </row>
    <row r="10286" spans="5:5">
      <c r="E10286"/>
    </row>
    <row r="10287" spans="5:5">
      <c r="E10287"/>
    </row>
    <row r="10288" spans="5:5">
      <c r="E10288"/>
    </row>
    <row r="10289" spans="5:5">
      <c r="E10289"/>
    </row>
    <row r="10290" spans="5:5">
      <c r="E10290"/>
    </row>
    <row r="10291" spans="5:5">
      <c r="E10291"/>
    </row>
    <row r="10292" spans="5:5">
      <c r="E10292"/>
    </row>
    <row r="10293" spans="5:5">
      <c r="E10293"/>
    </row>
    <row r="10294" spans="5:5">
      <c r="E10294"/>
    </row>
    <row r="10295" spans="5:5">
      <c r="E10295"/>
    </row>
    <row r="10296" spans="5:5">
      <c r="E10296"/>
    </row>
    <row r="10297" spans="5:5">
      <c r="E10297"/>
    </row>
    <row r="10298" spans="5:5">
      <c r="E10298"/>
    </row>
    <row r="10299" spans="5:5">
      <c r="E10299"/>
    </row>
    <row r="10300" spans="5:5">
      <c r="E10300"/>
    </row>
    <row r="10301" spans="5:5">
      <c r="E10301"/>
    </row>
    <row r="10302" spans="5:5">
      <c r="E10302"/>
    </row>
    <row r="10303" spans="5:5">
      <c r="E10303"/>
    </row>
    <row r="10304" spans="5:5">
      <c r="E10304"/>
    </row>
    <row r="10305" spans="5:5">
      <c r="E10305"/>
    </row>
    <row r="10306" spans="5:5">
      <c r="E10306"/>
    </row>
    <row r="10307" spans="5:5">
      <c r="E10307"/>
    </row>
    <row r="10308" spans="5:5">
      <c r="E10308"/>
    </row>
    <row r="10309" spans="5:5">
      <c r="E10309"/>
    </row>
    <row r="10310" spans="5:5">
      <c r="E10310"/>
    </row>
    <row r="10311" spans="5:5">
      <c r="E10311"/>
    </row>
    <row r="10312" spans="5:5">
      <c r="E10312"/>
    </row>
    <row r="10313" spans="5:5">
      <c r="E10313"/>
    </row>
    <row r="10314" spans="5:5">
      <c r="E10314"/>
    </row>
    <row r="10315" spans="5:5">
      <c r="E10315"/>
    </row>
    <row r="10316" spans="5:5">
      <c r="E10316"/>
    </row>
    <row r="10317" spans="5:5">
      <c r="E10317"/>
    </row>
    <row r="10318" spans="5:5">
      <c r="E10318"/>
    </row>
    <row r="10319" spans="5:5">
      <c r="E10319"/>
    </row>
    <row r="10320" spans="5:5">
      <c r="E10320"/>
    </row>
    <row r="10321" spans="5:5">
      <c r="E10321"/>
    </row>
    <row r="10322" spans="5:5">
      <c r="E10322"/>
    </row>
    <row r="10323" spans="5:5">
      <c r="E10323"/>
    </row>
    <row r="10324" spans="5:5">
      <c r="E10324"/>
    </row>
    <row r="10325" spans="5:5">
      <c r="E10325"/>
    </row>
    <row r="10326" spans="5:5">
      <c r="E10326"/>
    </row>
    <row r="10327" spans="5:5">
      <c r="E10327"/>
    </row>
    <row r="10328" spans="5:5">
      <c r="E10328"/>
    </row>
    <row r="10329" spans="5:5">
      <c r="E10329"/>
    </row>
    <row r="10330" spans="5:5">
      <c r="E10330"/>
    </row>
    <row r="10331" spans="5:5">
      <c r="E10331"/>
    </row>
    <row r="10332" spans="5:5">
      <c r="E10332"/>
    </row>
    <row r="10333" spans="5:5">
      <c r="E10333"/>
    </row>
    <row r="10334" spans="5:5">
      <c r="E10334"/>
    </row>
    <row r="10335" spans="5:5">
      <c r="E10335"/>
    </row>
    <row r="10336" spans="5:5">
      <c r="E10336"/>
    </row>
    <row r="10337" spans="5:5">
      <c r="E10337"/>
    </row>
    <row r="10338" spans="5:5">
      <c r="E10338"/>
    </row>
    <row r="10339" spans="5:5">
      <c r="E10339"/>
    </row>
    <row r="10340" spans="5:5">
      <c r="E10340"/>
    </row>
    <row r="10341" spans="5:5">
      <c r="E10341"/>
    </row>
    <row r="10342" spans="5:5">
      <c r="E10342"/>
    </row>
    <row r="10343" spans="5:5">
      <c r="E10343"/>
    </row>
    <row r="10344" spans="5:5">
      <c r="E10344"/>
    </row>
    <row r="10345" spans="5:5">
      <c r="E10345"/>
    </row>
    <row r="10346" spans="5:5">
      <c r="E10346"/>
    </row>
    <row r="10347" spans="5:5">
      <c r="E10347"/>
    </row>
    <row r="10348" spans="5:5">
      <c r="E10348"/>
    </row>
    <row r="10349" spans="5:5">
      <c r="E10349"/>
    </row>
    <row r="10350" spans="5:5">
      <c r="E10350"/>
    </row>
    <row r="10351" spans="5:5">
      <c r="E10351"/>
    </row>
    <row r="10352" spans="5:5">
      <c r="E10352"/>
    </row>
    <row r="10353" spans="5:5">
      <c r="E10353"/>
    </row>
    <row r="10354" spans="5:5">
      <c r="E10354"/>
    </row>
    <row r="10355" spans="5:5">
      <c r="E10355"/>
    </row>
    <row r="10356" spans="5:5">
      <c r="E10356"/>
    </row>
    <row r="10357" spans="5:5">
      <c r="E10357"/>
    </row>
    <row r="10358" spans="5:5">
      <c r="E10358"/>
    </row>
    <row r="10359" spans="5:5">
      <c r="E10359"/>
    </row>
    <row r="10360" spans="5:5">
      <c r="E10360"/>
    </row>
    <row r="10361" spans="5:5">
      <c r="E10361"/>
    </row>
    <row r="10362" spans="5:5">
      <c r="E10362"/>
    </row>
    <row r="10363" spans="5:5">
      <c r="E10363"/>
    </row>
    <row r="10364" spans="5:5">
      <c r="E10364"/>
    </row>
    <row r="10365" spans="5:5">
      <c r="E10365"/>
    </row>
    <row r="10366" spans="5:5">
      <c r="E10366"/>
    </row>
    <row r="10367" spans="5:5">
      <c r="E10367"/>
    </row>
    <row r="10368" spans="5:5">
      <c r="E10368"/>
    </row>
    <row r="10369" spans="5:5">
      <c r="E10369"/>
    </row>
    <row r="10370" spans="5:5">
      <c r="E10370"/>
    </row>
    <row r="10371" spans="5:5">
      <c r="E10371"/>
    </row>
    <row r="10372" spans="5:5">
      <c r="E10372"/>
    </row>
    <row r="10373" spans="5:5">
      <c r="E10373"/>
    </row>
    <row r="10374" spans="5:5">
      <c r="E10374"/>
    </row>
    <row r="10375" spans="5:5">
      <c r="E10375"/>
    </row>
    <row r="10376" spans="5:5">
      <c r="E10376"/>
    </row>
    <row r="10377" spans="5:5">
      <c r="E10377"/>
    </row>
    <row r="10378" spans="5:5">
      <c r="E10378"/>
    </row>
    <row r="10379" spans="5:5">
      <c r="E10379"/>
    </row>
    <row r="10380" spans="5:5">
      <c r="E10380"/>
    </row>
    <row r="10381" spans="5:5">
      <c r="E10381"/>
    </row>
    <row r="10382" spans="5:5">
      <c r="E10382"/>
    </row>
    <row r="10383" spans="5:5">
      <c r="E10383"/>
    </row>
    <row r="10384" spans="5:5">
      <c r="E10384"/>
    </row>
    <row r="10385" spans="5:5">
      <c r="E10385"/>
    </row>
    <row r="10386" spans="5:5">
      <c r="E10386"/>
    </row>
    <row r="10387" spans="5:5">
      <c r="E10387"/>
    </row>
    <row r="10388" spans="5:5">
      <c r="E10388"/>
    </row>
    <row r="10389" spans="5:5">
      <c r="E10389"/>
    </row>
    <row r="10390" spans="5:5">
      <c r="E10390"/>
    </row>
    <row r="10391" spans="5:5">
      <c r="E10391"/>
    </row>
    <row r="10392" spans="5:5">
      <c r="E10392"/>
    </row>
    <row r="10393" spans="5:5">
      <c r="E10393"/>
    </row>
    <row r="10394" spans="5:5">
      <c r="E10394"/>
    </row>
    <row r="10395" spans="5:5">
      <c r="E10395"/>
    </row>
    <row r="10396" spans="5:5">
      <c r="E10396"/>
    </row>
    <row r="10397" spans="5:5">
      <c r="E10397"/>
    </row>
    <row r="10398" spans="5:5">
      <c r="E10398"/>
    </row>
    <row r="10399" spans="5:5">
      <c r="E10399"/>
    </row>
    <row r="10400" spans="5:5">
      <c r="E10400"/>
    </row>
    <row r="10401" spans="5:5">
      <c r="E10401"/>
    </row>
    <row r="10402" spans="5:5">
      <c r="E10402"/>
    </row>
    <row r="10403" spans="5:5">
      <c r="E10403"/>
    </row>
    <row r="10404" spans="5:5">
      <c r="E10404"/>
    </row>
    <row r="10405" spans="5:5">
      <c r="E10405"/>
    </row>
    <row r="10406" spans="5:5">
      <c r="E10406"/>
    </row>
    <row r="10407" spans="5:5">
      <c r="E10407"/>
    </row>
    <row r="10408" spans="5:5">
      <c r="E10408"/>
    </row>
    <row r="10409" spans="5:5">
      <c r="E10409"/>
    </row>
    <row r="10410" spans="5:5">
      <c r="E10410"/>
    </row>
    <row r="10411" spans="5:5">
      <c r="E10411"/>
    </row>
    <row r="10412" spans="5:5">
      <c r="E10412"/>
    </row>
    <row r="10413" spans="5:5">
      <c r="E10413"/>
    </row>
    <row r="10414" spans="5:5">
      <c r="E10414"/>
    </row>
    <row r="10415" spans="5:5">
      <c r="E10415"/>
    </row>
    <row r="10416" spans="5:5">
      <c r="E10416"/>
    </row>
    <row r="10417" spans="5:5">
      <c r="E10417"/>
    </row>
    <row r="10418" spans="5:5">
      <c r="E10418"/>
    </row>
    <row r="10419" spans="5:5">
      <c r="E10419"/>
    </row>
    <row r="10420" spans="5:5">
      <c r="E10420"/>
    </row>
    <row r="10421" spans="5:5">
      <c r="E10421"/>
    </row>
    <row r="10422" spans="5:5">
      <c r="E10422"/>
    </row>
    <row r="10423" spans="5:5">
      <c r="E10423"/>
    </row>
    <row r="10424" spans="5:5">
      <c r="E10424"/>
    </row>
    <row r="10425" spans="5:5">
      <c r="E10425"/>
    </row>
    <row r="10426" spans="5:5">
      <c r="E10426"/>
    </row>
    <row r="10427" spans="5:5">
      <c r="E10427"/>
    </row>
    <row r="10428" spans="5:5">
      <c r="E10428"/>
    </row>
    <row r="10429" spans="5:5">
      <c r="E10429"/>
    </row>
    <row r="10430" spans="5:5">
      <c r="E10430"/>
    </row>
    <row r="10431" spans="5:5">
      <c r="E10431"/>
    </row>
    <row r="10432" spans="5:5">
      <c r="E10432"/>
    </row>
    <row r="10433" spans="5:5">
      <c r="E10433"/>
    </row>
    <row r="10434" spans="5:5">
      <c r="E10434"/>
    </row>
    <row r="10435" spans="5:5">
      <c r="E10435"/>
    </row>
    <row r="10436" spans="5:5">
      <c r="E10436"/>
    </row>
    <row r="10437" spans="5:5">
      <c r="E10437"/>
    </row>
    <row r="10438" spans="5:5">
      <c r="E10438"/>
    </row>
    <row r="10439" spans="5:5">
      <c r="E10439"/>
    </row>
    <row r="10440" spans="5:5">
      <c r="E10440"/>
    </row>
    <row r="10441" spans="5:5">
      <c r="E10441"/>
    </row>
    <row r="10442" spans="5:5">
      <c r="E10442"/>
    </row>
    <row r="10443" spans="5:5">
      <c r="E10443"/>
    </row>
    <row r="10444" spans="5:5">
      <c r="E10444"/>
    </row>
    <row r="10445" spans="5:5">
      <c r="E10445"/>
    </row>
    <row r="10446" spans="5:5">
      <c r="E10446"/>
    </row>
    <row r="10447" spans="5:5">
      <c r="E10447"/>
    </row>
    <row r="10448" spans="5:5">
      <c r="E10448"/>
    </row>
    <row r="10449" spans="5:5">
      <c r="E10449"/>
    </row>
    <row r="10450" spans="5:5">
      <c r="E10450"/>
    </row>
    <row r="10451" spans="5:5">
      <c r="E10451"/>
    </row>
    <row r="10452" spans="5:5">
      <c r="E10452"/>
    </row>
    <row r="10453" spans="5:5">
      <c r="E10453"/>
    </row>
    <row r="10454" spans="5:5">
      <c r="E10454"/>
    </row>
    <row r="10455" spans="5:5">
      <c r="E10455"/>
    </row>
    <row r="10456" spans="5:5">
      <c r="E10456"/>
    </row>
    <row r="10457" spans="5:5">
      <c r="E10457"/>
    </row>
    <row r="10458" spans="5:5">
      <c r="E10458"/>
    </row>
    <row r="10459" spans="5:5">
      <c r="E10459"/>
    </row>
    <row r="10460" spans="5:5">
      <c r="E10460"/>
    </row>
    <row r="10461" spans="5:5">
      <c r="E10461"/>
    </row>
    <row r="10462" spans="5:5">
      <c r="E10462"/>
    </row>
    <row r="10463" spans="5:5">
      <c r="E10463"/>
    </row>
    <row r="10464" spans="5:5">
      <c r="E10464"/>
    </row>
    <row r="10465" spans="5:5">
      <c r="E10465"/>
    </row>
    <row r="10466" spans="5:5">
      <c r="E10466"/>
    </row>
    <row r="10467" spans="5:5">
      <c r="E10467"/>
    </row>
    <row r="10468" spans="5:5">
      <c r="E10468"/>
    </row>
    <row r="10469" spans="5:5">
      <c r="E10469"/>
    </row>
    <row r="10470" spans="5:5">
      <c r="E10470"/>
    </row>
    <row r="10471" spans="5:5">
      <c r="E10471"/>
    </row>
    <row r="10472" spans="5:5">
      <c r="E10472"/>
    </row>
    <row r="10473" spans="5:5">
      <c r="E10473"/>
    </row>
    <row r="10474" spans="5:5">
      <c r="E10474"/>
    </row>
    <row r="10475" spans="5:5">
      <c r="E10475"/>
    </row>
    <row r="10476" spans="5:5">
      <c r="E10476"/>
    </row>
    <row r="10477" spans="5:5">
      <c r="E10477"/>
    </row>
    <row r="10478" spans="5:5">
      <c r="E10478"/>
    </row>
    <row r="10479" spans="5:5">
      <c r="E10479"/>
    </row>
    <row r="10480" spans="5:5">
      <c r="E10480"/>
    </row>
    <row r="10481" spans="5:5">
      <c r="E10481"/>
    </row>
    <row r="10482" spans="5:5">
      <c r="E10482"/>
    </row>
    <row r="10483" spans="5:5">
      <c r="E10483"/>
    </row>
    <row r="10484" spans="5:5">
      <c r="E10484"/>
    </row>
    <row r="10485" spans="5:5">
      <c r="E10485"/>
    </row>
    <row r="10486" spans="5:5">
      <c r="E10486"/>
    </row>
    <row r="10487" spans="5:5">
      <c r="E10487"/>
    </row>
    <row r="10488" spans="5:5">
      <c r="E10488"/>
    </row>
    <row r="10489" spans="5:5">
      <c r="E10489"/>
    </row>
    <row r="10490" spans="5:5">
      <c r="E10490"/>
    </row>
    <row r="10491" spans="5:5">
      <c r="E10491"/>
    </row>
    <row r="10492" spans="5:5">
      <c r="E10492"/>
    </row>
    <row r="10493" spans="5:5">
      <c r="E10493"/>
    </row>
    <row r="10494" spans="5:5">
      <c r="E10494"/>
    </row>
    <row r="10495" spans="5:5">
      <c r="E10495"/>
    </row>
    <row r="10496" spans="5:5">
      <c r="E10496"/>
    </row>
    <row r="10497" spans="5:5">
      <c r="E10497"/>
    </row>
    <row r="10498" spans="5:5">
      <c r="E10498"/>
    </row>
    <row r="10499" spans="5:5">
      <c r="E10499"/>
    </row>
    <row r="10500" spans="5:5">
      <c r="E10500"/>
    </row>
    <row r="10501" spans="5:5">
      <c r="E10501"/>
    </row>
    <row r="10502" spans="5:5">
      <c r="E10502"/>
    </row>
    <row r="10503" spans="5:5">
      <c r="E10503"/>
    </row>
    <row r="10504" spans="5:5">
      <c r="E10504"/>
    </row>
    <row r="10505" spans="5:5">
      <c r="E10505"/>
    </row>
    <row r="10506" spans="5:5">
      <c r="E10506"/>
    </row>
    <row r="10507" spans="5:5">
      <c r="E10507"/>
    </row>
    <row r="10508" spans="5:5">
      <c r="E10508"/>
    </row>
    <row r="10509" spans="5:5">
      <c r="E10509"/>
    </row>
    <row r="10510" spans="5:5">
      <c r="E10510"/>
    </row>
    <row r="10511" spans="5:5">
      <c r="E10511"/>
    </row>
    <row r="10512" spans="5:5">
      <c r="E10512"/>
    </row>
    <row r="10513" spans="5:5">
      <c r="E10513"/>
    </row>
    <row r="10514" spans="5:5">
      <c r="E10514"/>
    </row>
    <row r="10515" spans="5:5">
      <c r="E10515"/>
    </row>
    <row r="10516" spans="5:5">
      <c r="E10516"/>
    </row>
    <row r="10517" spans="5:5">
      <c r="E10517"/>
    </row>
    <row r="10518" spans="5:5">
      <c r="E10518"/>
    </row>
    <row r="10519" spans="5:5">
      <c r="E10519"/>
    </row>
    <row r="10520" spans="5:5">
      <c r="E10520"/>
    </row>
    <row r="10521" spans="5:5">
      <c r="E10521"/>
    </row>
    <row r="10522" spans="5:5">
      <c r="E10522"/>
    </row>
    <row r="10523" spans="5:5">
      <c r="E10523"/>
    </row>
    <row r="10524" spans="5:5">
      <c r="E10524"/>
    </row>
    <row r="10525" spans="5:5">
      <c r="E10525"/>
    </row>
    <row r="10526" spans="5:5">
      <c r="E10526"/>
    </row>
    <row r="10527" spans="5:5">
      <c r="E10527"/>
    </row>
    <row r="10528" spans="5:5">
      <c r="E10528"/>
    </row>
    <row r="10529" spans="5:5">
      <c r="E10529"/>
    </row>
    <row r="10530" spans="5:5">
      <c r="E10530"/>
    </row>
    <row r="10531" spans="5:5">
      <c r="E10531"/>
    </row>
    <row r="10532" spans="5:5">
      <c r="E10532"/>
    </row>
    <row r="10533" spans="5:5">
      <c r="E10533"/>
    </row>
    <row r="10534" spans="5:5">
      <c r="E10534"/>
    </row>
    <row r="10535" spans="5:5">
      <c r="E10535"/>
    </row>
    <row r="10536" spans="5:5">
      <c r="E10536"/>
    </row>
    <row r="10537" spans="5:5">
      <c r="E10537"/>
    </row>
    <row r="10538" spans="5:5">
      <c r="E10538"/>
    </row>
    <row r="10539" spans="5:5">
      <c r="E10539"/>
    </row>
    <row r="10540" spans="5:5">
      <c r="E10540"/>
    </row>
    <row r="10541" spans="5:5">
      <c r="E10541"/>
    </row>
    <row r="10542" spans="5:5">
      <c r="E10542"/>
    </row>
    <row r="10543" spans="5:5">
      <c r="E10543"/>
    </row>
    <row r="10544" spans="5:5">
      <c r="E10544"/>
    </row>
    <row r="10545" spans="5:5">
      <c r="E10545"/>
    </row>
    <row r="10546" spans="5:5">
      <c r="E10546"/>
    </row>
    <row r="10547" spans="5:5">
      <c r="E10547"/>
    </row>
    <row r="10548" spans="5:5">
      <c r="E10548"/>
    </row>
    <row r="10549" spans="5:5">
      <c r="E10549"/>
    </row>
    <row r="10550" spans="5:5">
      <c r="E10550"/>
    </row>
    <row r="10551" spans="5:5">
      <c r="E10551"/>
    </row>
    <row r="10552" spans="5:5">
      <c r="E10552"/>
    </row>
    <row r="10553" spans="5:5">
      <c r="E10553"/>
    </row>
    <row r="10554" spans="5:5">
      <c r="E10554"/>
    </row>
    <row r="10555" spans="5:5">
      <c r="E10555"/>
    </row>
    <row r="10556" spans="5:5">
      <c r="E10556"/>
    </row>
    <row r="10557" spans="5:5">
      <c r="E10557"/>
    </row>
    <row r="10558" spans="5:5">
      <c r="E10558"/>
    </row>
    <row r="10559" spans="5:5">
      <c r="E10559"/>
    </row>
    <row r="10560" spans="5:5">
      <c r="E10560"/>
    </row>
    <row r="10561" spans="5:5">
      <c r="E10561"/>
    </row>
    <row r="10562" spans="5:5">
      <c r="E10562"/>
    </row>
    <row r="10563" spans="5:5">
      <c r="E10563"/>
    </row>
    <row r="10564" spans="5:5">
      <c r="E10564"/>
    </row>
    <row r="10565" spans="5:5">
      <c r="E10565"/>
    </row>
    <row r="10566" spans="5:5">
      <c r="E10566"/>
    </row>
    <row r="10567" spans="5:5">
      <c r="E10567"/>
    </row>
    <row r="10568" spans="5:5">
      <c r="E10568"/>
    </row>
    <row r="10569" spans="5:5">
      <c r="E10569"/>
    </row>
    <row r="10570" spans="5:5">
      <c r="E10570"/>
    </row>
    <row r="10571" spans="5:5">
      <c r="E10571"/>
    </row>
    <row r="10572" spans="5:5">
      <c r="E10572"/>
    </row>
    <row r="10573" spans="5:5">
      <c r="E10573"/>
    </row>
    <row r="10574" spans="5:5">
      <c r="E10574"/>
    </row>
    <row r="10575" spans="5:5">
      <c r="E10575"/>
    </row>
    <row r="10576" spans="5:5">
      <c r="E10576"/>
    </row>
    <row r="10577" spans="5:5">
      <c r="E10577"/>
    </row>
    <row r="10578" spans="5:5">
      <c r="E10578"/>
    </row>
    <row r="10579" spans="5:5">
      <c r="E10579"/>
    </row>
    <row r="10580" spans="5:5">
      <c r="E10580"/>
    </row>
    <row r="10581" spans="5:5">
      <c r="E10581"/>
    </row>
    <row r="10582" spans="5:5">
      <c r="E10582"/>
    </row>
    <row r="10583" spans="5:5">
      <c r="E10583"/>
    </row>
    <row r="10584" spans="5:5">
      <c r="E10584"/>
    </row>
    <row r="10585" spans="5:5">
      <c r="E10585"/>
    </row>
    <row r="10586" spans="5:5">
      <c r="E10586"/>
    </row>
    <row r="10587" spans="5:5">
      <c r="E10587"/>
    </row>
    <row r="10588" spans="5:5">
      <c r="E10588"/>
    </row>
    <row r="10589" spans="5:5">
      <c r="E10589"/>
    </row>
    <row r="10590" spans="5:5">
      <c r="E10590"/>
    </row>
    <row r="10591" spans="5:5">
      <c r="E10591"/>
    </row>
    <row r="10592" spans="5:5">
      <c r="E10592"/>
    </row>
    <row r="10593" spans="5:5">
      <c r="E10593"/>
    </row>
    <row r="10594" spans="5:5">
      <c r="E10594"/>
    </row>
    <row r="10595" spans="5:5">
      <c r="E10595"/>
    </row>
    <row r="10596" spans="5:5">
      <c r="E10596"/>
    </row>
    <row r="10597" spans="5:5">
      <c r="E10597"/>
    </row>
    <row r="10598" spans="5:5">
      <c r="E10598"/>
    </row>
    <row r="10599" spans="5:5">
      <c r="E10599"/>
    </row>
    <row r="10600" spans="5:5">
      <c r="E10600"/>
    </row>
    <row r="10601" spans="5:5">
      <c r="E10601"/>
    </row>
    <row r="10602" spans="5:5">
      <c r="E10602"/>
    </row>
    <row r="10603" spans="5:5">
      <c r="E10603"/>
    </row>
    <row r="10604" spans="5:5">
      <c r="E10604"/>
    </row>
    <row r="10605" spans="5:5">
      <c r="E10605"/>
    </row>
    <row r="10606" spans="5:5">
      <c r="E10606"/>
    </row>
    <row r="10607" spans="5:5">
      <c r="E10607"/>
    </row>
    <row r="10608" spans="5:5">
      <c r="E10608"/>
    </row>
    <row r="10609" spans="5:5">
      <c r="E10609"/>
    </row>
    <row r="10610" spans="5:5">
      <c r="E10610"/>
    </row>
    <row r="10611" spans="5:5">
      <c r="E10611"/>
    </row>
    <row r="10612" spans="5:5">
      <c r="E10612"/>
    </row>
    <row r="10613" spans="5:5">
      <c r="E10613"/>
    </row>
    <row r="10614" spans="5:5">
      <c r="E10614"/>
    </row>
    <row r="10615" spans="5:5">
      <c r="E10615"/>
    </row>
    <row r="10616" spans="5:5">
      <c r="E10616"/>
    </row>
    <row r="10617" spans="5:5">
      <c r="E10617"/>
    </row>
    <row r="10618" spans="5:5">
      <c r="E10618"/>
    </row>
    <row r="10619" spans="5:5">
      <c r="E10619"/>
    </row>
    <row r="10620" spans="5:5">
      <c r="E10620"/>
    </row>
    <row r="10621" spans="5:5">
      <c r="E10621"/>
    </row>
    <row r="10622" spans="5:5">
      <c r="E10622"/>
    </row>
    <row r="10623" spans="5:5">
      <c r="E10623"/>
    </row>
    <row r="10624" spans="5:5">
      <c r="E10624"/>
    </row>
    <row r="10625" spans="5:5">
      <c r="E10625"/>
    </row>
    <row r="10626" spans="5:5">
      <c r="E10626"/>
    </row>
    <row r="10627" spans="5:5">
      <c r="E10627"/>
    </row>
    <row r="10628" spans="5:5">
      <c r="E10628"/>
    </row>
    <row r="10629" spans="5:5">
      <c r="E10629"/>
    </row>
    <row r="10630" spans="5:5">
      <c r="E10630"/>
    </row>
    <row r="10631" spans="5:5">
      <c r="E10631"/>
    </row>
    <row r="10632" spans="5:5">
      <c r="E10632"/>
    </row>
    <row r="10633" spans="5:5">
      <c r="E10633"/>
    </row>
    <row r="10634" spans="5:5">
      <c r="E10634"/>
    </row>
    <row r="10635" spans="5:5">
      <c r="E10635"/>
    </row>
    <row r="10636" spans="5:5">
      <c r="E10636"/>
    </row>
    <row r="10637" spans="5:5">
      <c r="E10637"/>
    </row>
    <row r="10638" spans="5:5">
      <c r="E10638"/>
    </row>
    <row r="10639" spans="5:5">
      <c r="E10639"/>
    </row>
    <row r="10640" spans="5:5">
      <c r="E10640"/>
    </row>
    <row r="10641" spans="5:5">
      <c r="E10641"/>
    </row>
    <row r="10642" spans="5:5">
      <c r="E10642"/>
    </row>
    <row r="10643" spans="5:5">
      <c r="E10643"/>
    </row>
    <row r="10644" spans="5:5">
      <c r="E10644"/>
    </row>
    <row r="10645" spans="5:5">
      <c r="E10645"/>
    </row>
    <row r="10646" spans="5:5">
      <c r="E10646"/>
    </row>
    <row r="10647" spans="5:5">
      <c r="E10647"/>
    </row>
    <row r="10648" spans="5:5">
      <c r="E10648"/>
    </row>
    <row r="10649" spans="5:5">
      <c r="E10649"/>
    </row>
    <row r="10650" spans="5:5">
      <c r="E10650"/>
    </row>
    <row r="10651" spans="5:5">
      <c r="E10651"/>
    </row>
    <row r="10652" spans="5:5">
      <c r="E10652"/>
    </row>
    <row r="10653" spans="5:5">
      <c r="E10653"/>
    </row>
    <row r="10654" spans="5:5">
      <c r="E10654"/>
    </row>
    <row r="10655" spans="5:5">
      <c r="E10655"/>
    </row>
    <row r="10656" spans="5:5">
      <c r="E10656"/>
    </row>
    <row r="10657" spans="5:5">
      <c r="E10657"/>
    </row>
    <row r="10658" spans="5:5">
      <c r="E10658"/>
    </row>
    <row r="10659" spans="5:5">
      <c r="E10659"/>
    </row>
    <row r="10660" spans="5:5">
      <c r="E10660"/>
    </row>
    <row r="10661" spans="5:5">
      <c r="E10661"/>
    </row>
    <row r="10662" spans="5:5">
      <c r="E10662"/>
    </row>
    <row r="10663" spans="5:5">
      <c r="E10663"/>
    </row>
    <row r="10664" spans="5:5">
      <c r="E10664"/>
    </row>
    <row r="10665" spans="5:5">
      <c r="E10665"/>
    </row>
    <row r="10666" spans="5:5">
      <c r="E10666"/>
    </row>
    <row r="10667" spans="5:5">
      <c r="E10667"/>
    </row>
    <row r="10668" spans="5:5">
      <c r="E10668"/>
    </row>
    <row r="10669" spans="5:5">
      <c r="E10669"/>
    </row>
    <row r="10670" spans="5:5">
      <c r="E10670"/>
    </row>
    <row r="10671" spans="5:5">
      <c r="E10671"/>
    </row>
    <row r="10672" spans="5:5">
      <c r="E10672"/>
    </row>
    <row r="10673" spans="5:5">
      <c r="E10673"/>
    </row>
    <row r="10674" spans="5:5">
      <c r="E10674"/>
    </row>
    <row r="10675" spans="5:5">
      <c r="E10675"/>
    </row>
    <row r="10676" spans="5:5">
      <c r="E10676"/>
    </row>
    <row r="10677" spans="5:5">
      <c r="E10677"/>
    </row>
    <row r="10678" spans="5:5">
      <c r="E10678"/>
    </row>
    <row r="10679" spans="5:5">
      <c r="E10679"/>
    </row>
    <row r="10680" spans="5:5">
      <c r="E10680"/>
    </row>
    <row r="10681" spans="5:5">
      <c r="E10681"/>
    </row>
    <row r="10682" spans="5:5">
      <c r="E10682"/>
    </row>
    <row r="10683" spans="5:5">
      <c r="E10683"/>
    </row>
    <row r="10684" spans="5:5">
      <c r="E10684"/>
    </row>
    <row r="10685" spans="5:5">
      <c r="E10685"/>
    </row>
    <row r="10686" spans="5:5">
      <c r="E10686"/>
    </row>
    <row r="10687" spans="5:5">
      <c r="E10687"/>
    </row>
    <row r="10688" spans="5:5">
      <c r="E10688"/>
    </row>
    <row r="10689" spans="5:5">
      <c r="E10689"/>
    </row>
    <row r="10690" spans="5:5">
      <c r="E10690"/>
    </row>
    <row r="10691" spans="5:5">
      <c r="E10691"/>
    </row>
    <row r="10692" spans="5:5">
      <c r="E10692"/>
    </row>
    <row r="10693" spans="5:5">
      <c r="E10693"/>
    </row>
    <row r="10694" spans="5:5">
      <c r="E10694"/>
    </row>
    <row r="10695" spans="5:5">
      <c r="E10695"/>
    </row>
    <row r="10696" spans="5:5">
      <c r="E10696"/>
    </row>
    <row r="10697" spans="5:5">
      <c r="E10697"/>
    </row>
    <row r="10698" spans="5:5">
      <c r="E10698"/>
    </row>
    <row r="10699" spans="5:5">
      <c r="E10699"/>
    </row>
    <row r="10700" spans="5:5">
      <c r="E10700"/>
    </row>
    <row r="10701" spans="5:5">
      <c r="E10701"/>
    </row>
    <row r="10702" spans="5:5">
      <c r="E10702"/>
    </row>
    <row r="10703" spans="5:5">
      <c r="E10703"/>
    </row>
    <row r="10704" spans="5:5">
      <c r="E10704"/>
    </row>
    <row r="10705" spans="5:5">
      <c r="E10705"/>
    </row>
    <row r="10706" spans="5:5">
      <c r="E10706"/>
    </row>
    <row r="10707" spans="5:5">
      <c r="E10707"/>
    </row>
    <row r="10708" spans="5:5">
      <c r="E10708"/>
    </row>
    <row r="10709" spans="5:5">
      <c r="E10709"/>
    </row>
    <row r="10710" spans="5:5">
      <c r="E10710"/>
    </row>
    <row r="10711" spans="5:5">
      <c r="E10711"/>
    </row>
    <row r="10712" spans="5:5">
      <c r="E10712"/>
    </row>
    <row r="10713" spans="5:5">
      <c r="E10713"/>
    </row>
    <row r="10714" spans="5:5">
      <c r="E10714"/>
    </row>
    <row r="10715" spans="5:5">
      <c r="E10715"/>
    </row>
    <row r="10716" spans="5:5">
      <c r="E10716"/>
    </row>
    <row r="10717" spans="5:5">
      <c r="E10717"/>
    </row>
    <row r="10718" spans="5:5">
      <c r="E10718"/>
    </row>
    <row r="10719" spans="5:5">
      <c r="E10719"/>
    </row>
    <row r="10720" spans="5:5">
      <c r="E10720"/>
    </row>
    <row r="10721" spans="5:5">
      <c r="E10721"/>
    </row>
    <row r="10722" spans="5:5">
      <c r="E10722"/>
    </row>
    <row r="10723" spans="5:5">
      <c r="E10723"/>
    </row>
    <row r="10724" spans="5:5">
      <c r="E10724"/>
    </row>
    <row r="10725" spans="5:5">
      <c r="E10725"/>
    </row>
    <row r="10726" spans="5:5">
      <c r="E10726"/>
    </row>
    <row r="10727" spans="5:5">
      <c r="E10727"/>
    </row>
    <row r="10728" spans="5:5">
      <c r="E10728"/>
    </row>
    <row r="10729" spans="5:5">
      <c r="E10729"/>
    </row>
    <row r="10730" spans="5:5">
      <c r="E10730"/>
    </row>
    <row r="10731" spans="5:5">
      <c r="E10731"/>
    </row>
    <row r="10732" spans="5:5">
      <c r="E10732"/>
    </row>
    <row r="10733" spans="5:5">
      <c r="E10733"/>
    </row>
    <row r="10734" spans="5:5">
      <c r="E10734"/>
    </row>
    <row r="10735" spans="5:5">
      <c r="E10735"/>
    </row>
    <row r="10736" spans="5:5">
      <c r="E10736"/>
    </row>
    <row r="10737" spans="5:5">
      <c r="E10737"/>
    </row>
    <row r="10738" spans="5:5">
      <c r="E10738"/>
    </row>
    <row r="10739" spans="5:5">
      <c r="E10739"/>
    </row>
    <row r="10740" spans="5:5">
      <c r="E10740"/>
    </row>
    <row r="10741" spans="5:5">
      <c r="E10741"/>
    </row>
    <row r="10742" spans="5:5">
      <c r="E10742"/>
    </row>
    <row r="10743" spans="5:5">
      <c r="E10743"/>
    </row>
    <row r="10744" spans="5:5">
      <c r="E10744"/>
    </row>
    <row r="10745" spans="5:5">
      <c r="E10745"/>
    </row>
    <row r="10746" spans="5:5">
      <c r="E10746"/>
    </row>
    <row r="10747" spans="5:5">
      <c r="E10747"/>
    </row>
    <row r="10748" spans="5:5">
      <c r="E10748"/>
    </row>
    <row r="10749" spans="5:5">
      <c r="E10749"/>
    </row>
    <row r="10750" spans="5:5">
      <c r="E10750"/>
    </row>
    <row r="10751" spans="5:5">
      <c r="E10751"/>
    </row>
    <row r="10752" spans="5:5">
      <c r="E10752"/>
    </row>
    <row r="10753" spans="5:5">
      <c r="E10753"/>
    </row>
    <row r="10754" spans="5:5">
      <c r="E10754"/>
    </row>
    <row r="10755" spans="5:5">
      <c r="E10755"/>
    </row>
    <row r="10756" spans="5:5">
      <c r="E10756"/>
    </row>
    <row r="10757" spans="5:5">
      <c r="E10757"/>
    </row>
    <row r="10758" spans="5:5">
      <c r="E10758"/>
    </row>
    <row r="10759" spans="5:5">
      <c r="E10759"/>
    </row>
    <row r="10760" spans="5:5">
      <c r="E10760"/>
    </row>
    <row r="10761" spans="5:5">
      <c r="E10761"/>
    </row>
    <row r="10762" spans="5:5">
      <c r="E10762"/>
    </row>
    <row r="10763" spans="5:5">
      <c r="E10763"/>
    </row>
    <row r="10764" spans="5:5">
      <c r="E10764"/>
    </row>
    <row r="10765" spans="5:5">
      <c r="E10765"/>
    </row>
    <row r="10766" spans="5:5">
      <c r="E10766"/>
    </row>
    <row r="10767" spans="5:5">
      <c r="E10767"/>
    </row>
    <row r="10768" spans="5:5">
      <c r="E10768"/>
    </row>
    <row r="10769" spans="5:5">
      <c r="E10769"/>
    </row>
    <row r="10770" spans="5:5">
      <c r="E10770"/>
    </row>
    <row r="10771" spans="5:5">
      <c r="E10771"/>
    </row>
    <row r="10772" spans="5:5">
      <c r="E10772"/>
    </row>
    <row r="10773" spans="5:5">
      <c r="E10773"/>
    </row>
    <row r="10774" spans="5:5">
      <c r="E10774"/>
    </row>
    <row r="10775" spans="5:5">
      <c r="E10775"/>
    </row>
    <row r="10776" spans="5:5">
      <c r="E10776"/>
    </row>
    <row r="10777" spans="5:5">
      <c r="E10777"/>
    </row>
    <row r="10778" spans="5:5">
      <c r="E10778"/>
    </row>
    <row r="10779" spans="5:5">
      <c r="E10779"/>
    </row>
    <row r="10780" spans="5:5">
      <c r="E10780"/>
    </row>
    <row r="10781" spans="5:5">
      <c r="E10781"/>
    </row>
    <row r="10782" spans="5:5">
      <c r="E10782"/>
    </row>
    <row r="10783" spans="5:5">
      <c r="E10783"/>
    </row>
    <row r="10784" spans="5:5">
      <c r="E10784"/>
    </row>
    <row r="10785" spans="5:5">
      <c r="E10785"/>
    </row>
    <row r="10786" spans="5:5">
      <c r="E10786"/>
    </row>
    <row r="10787" spans="5:5">
      <c r="E10787"/>
    </row>
    <row r="10788" spans="5:5">
      <c r="E10788"/>
    </row>
    <row r="10789" spans="5:5">
      <c r="E10789"/>
    </row>
    <row r="10790" spans="5:5">
      <c r="E10790"/>
    </row>
    <row r="10791" spans="5:5">
      <c r="E10791"/>
    </row>
    <row r="10792" spans="5:5">
      <c r="E10792"/>
    </row>
    <row r="10793" spans="5:5">
      <c r="E10793"/>
    </row>
    <row r="10794" spans="5:5">
      <c r="E10794"/>
    </row>
    <row r="10795" spans="5:5">
      <c r="E10795"/>
    </row>
    <row r="10796" spans="5:5">
      <c r="E10796"/>
    </row>
    <row r="10797" spans="5:5">
      <c r="E10797"/>
    </row>
    <row r="10798" spans="5:5">
      <c r="E10798"/>
    </row>
    <row r="10799" spans="5:5">
      <c r="E10799"/>
    </row>
    <row r="10800" spans="5:5">
      <c r="E10800"/>
    </row>
    <row r="10801" spans="5:5">
      <c r="E10801"/>
    </row>
    <row r="10802" spans="5:5">
      <c r="E10802"/>
    </row>
    <row r="10803" spans="5:5">
      <c r="E10803"/>
    </row>
    <row r="10804" spans="5:5">
      <c r="E10804"/>
    </row>
    <row r="10805" spans="5:5">
      <c r="E10805"/>
    </row>
    <row r="10806" spans="5:5">
      <c r="E10806"/>
    </row>
    <row r="10807" spans="5:5">
      <c r="E10807"/>
    </row>
    <row r="10808" spans="5:5">
      <c r="E10808"/>
    </row>
    <row r="10809" spans="5:5">
      <c r="E10809"/>
    </row>
    <row r="10810" spans="5:5">
      <c r="E10810"/>
    </row>
    <row r="10811" spans="5:5">
      <c r="E10811"/>
    </row>
    <row r="10812" spans="5:5">
      <c r="E10812"/>
    </row>
    <row r="10813" spans="5:5">
      <c r="E10813"/>
    </row>
    <row r="10814" spans="5:5">
      <c r="E10814"/>
    </row>
    <row r="10815" spans="5:5">
      <c r="E10815"/>
    </row>
    <row r="10816" spans="5:5">
      <c r="E10816"/>
    </row>
    <row r="10817" spans="5:5">
      <c r="E10817"/>
    </row>
    <row r="10818" spans="5:5">
      <c r="E10818"/>
    </row>
    <row r="10819" spans="5:5">
      <c r="E10819"/>
    </row>
    <row r="10820" spans="5:5">
      <c r="E10820"/>
    </row>
    <row r="10821" spans="5:5">
      <c r="E10821"/>
    </row>
    <row r="10822" spans="5:5">
      <c r="E10822"/>
    </row>
    <row r="10823" spans="5:5">
      <c r="E10823"/>
    </row>
    <row r="10824" spans="5:5">
      <c r="E10824"/>
    </row>
    <row r="10825" spans="5:5">
      <c r="E10825"/>
    </row>
    <row r="10826" spans="5:5">
      <c r="E10826"/>
    </row>
    <row r="10827" spans="5:5">
      <c r="E10827"/>
    </row>
    <row r="10828" spans="5:5">
      <c r="E10828"/>
    </row>
    <row r="10829" spans="5:5">
      <c r="E10829"/>
    </row>
    <row r="10830" spans="5:5">
      <c r="E10830"/>
    </row>
    <row r="10831" spans="5:5">
      <c r="E10831"/>
    </row>
    <row r="10832" spans="5:5">
      <c r="E10832"/>
    </row>
    <row r="10833" spans="5:5">
      <c r="E10833"/>
    </row>
    <row r="10834" spans="5:5">
      <c r="E10834"/>
    </row>
    <row r="10835" spans="5:5">
      <c r="E10835"/>
    </row>
    <row r="10836" spans="5:5">
      <c r="E10836"/>
    </row>
    <row r="10837" spans="5:5">
      <c r="E10837"/>
    </row>
    <row r="10838" spans="5:5">
      <c r="E10838"/>
    </row>
    <row r="10839" spans="5:5">
      <c r="E10839"/>
    </row>
    <row r="10840" spans="5:5">
      <c r="E10840"/>
    </row>
    <row r="10841" spans="5:5">
      <c r="E10841"/>
    </row>
    <row r="10842" spans="5:5">
      <c r="E10842"/>
    </row>
    <row r="10843" spans="5:5">
      <c r="E10843"/>
    </row>
    <row r="10844" spans="5:5">
      <c r="E10844"/>
    </row>
    <row r="10845" spans="5:5">
      <c r="E10845"/>
    </row>
    <row r="10846" spans="5:5">
      <c r="E10846"/>
    </row>
    <row r="10847" spans="5:5">
      <c r="E10847"/>
    </row>
    <row r="10848" spans="5:5">
      <c r="E10848"/>
    </row>
    <row r="10849" spans="5:5">
      <c r="E10849"/>
    </row>
    <row r="10850" spans="5:5">
      <c r="E10850"/>
    </row>
    <row r="10851" spans="5:5">
      <c r="E10851"/>
    </row>
    <row r="10852" spans="5:5">
      <c r="E10852"/>
    </row>
    <row r="10853" spans="5:5">
      <c r="E10853"/>
    </row>
    <row r="10854" spans="5:5">
      <c r="E10854"/>
    </row>
    <row r="10855" spans="5:5">
      <c r="E10855"/>
    </row>
    <row r="10856" spans="5:5">
      <c r="E10856"/>
    </row>
    <row r="10857" spans="5:5">
      <c r="E10857"/>
    </row>
    <row r="10858" spans="5:5">
      <c r="E10858"/>
    </row>
    <row r="10859" spans="5:5">
      <c r="E10859"/>
    </row>
    <row r="10860" spans="5:5">
      <c r="E10860"/>
    </row>
    <row r="10861" spans="5:5">
      <c r="E10861"/>
    </row>
    <row r="10862" spans="5:5">
      <c r="E10862"/>
    </row>
    <row r="10863" spans="5:5">
      <c r="E10863"/>
    </row>
    <row r="10864" spans="5:5">
      <c r="E10864"/>
    </row>
    <row r="10865" spans="5:5">
      <c r="E10865"/>
    </row>
    <row r="10866" spans="5:5">
      <c r="E10866"/>
    </row>
    <row r="10867" spans="5:5">
      <c r="E10867"/>
    </row>
    <row r="10868" spans="5:5">
      <c r="E10868"/>
    </row>
    <row r="10869" spans="5:5">
      <c r="E10869"/>
    </row>
    <row r="10870" spans="5:5">
      <c r="E10870"/>
    </row>
    <row r="10871" spans="5:5">
      <c r="E10871"/>
    </row>
    <row r="10872" spans="5:5">
      <c r="E10872"/>
    </row>
    <row r="10873" spans="5:5">
      <c r="E10873"/>
    </row>
    <row r="10874" spans="5:5">
      <c r="E10874"/>
    </row>
    <row r="10875" spans="5:5">
      <c r="E10875"/>
    </row>
    <row r="10876" spans="5:5">
      <c r="E10876"/>
    </row>
    <row r="10877" spans="5:5">
      <c r="E10877"/>
    </row>
    <row r="10878" spans="5:5">
      <c r="E10878"/>
    </row>
    <row r="10879" spans="5:5">
      <c r="E10879"/>
    </row>
    <row r="10880" spans="5:5">
      <c r="E10880"/>
    </row>
    <row r="10881" spans="5:5">
      <c r="E10881"/>
    </row>
    <row r="10882" spans="5:5">
      <c r="E10882"/>
    </row>
    <row r="10883" spans="5:5">
      <c r="E10883"/>
    </row>
    <row r="10884" spans="5:5">
      <c r="E10884"/>
    </row>
    <row r="10885" spans="5:5">
      <c r="E10885"/>
    </row>
    <row r="10886" spans="5:5">
      <c r="E10886"/>
    </row>
    <row r="10887" spans="5:5">
      <c r="E10887"/>
    </row>
    <row r="10888" spans="5:5">
      <c r="E10888"/>
    </row>
    <row r="10889" spans="5:5">
      <c r="E10889"/>
    </row>
    <row r="10890" spans="5:5">
      <c r="E10890"/>
    </row>
    <row r="10891" spans="5:5">
      <c r="E10891"/>
    </row>
    <row r="10892" spans="5:5">
      <c r="E10892"/>
    </row>
    <row r="10893" spans="5:5">
      <c r="E10893"/>
    </row>
    <row r="10894" spans="5:5">
      <c r="E10894"/>
    </row>
    <row r="10895" spans="5:5">
      <c r="E10895"/>
    </row>
    <row r="10896" spans="5:5">
      <c r="E10896"/>
    </row>
    <row r="10897" spans="5:5">
      <c r="E10897"/>
    </row>
    <row r="10898" spans="5:5">
      <c r="E10898"/>
    </row>
    <row r="10899" spans="5:5">
      <c r="E10899"/>
    </row>
    <row r="10900" spans="5:5">
      <c r="E10900"/>
    </row>
    <row r="10901" spans="5:5">
      <c r="E10901"/>
    </row>
    <row r="10902" spans="5:5">
      <c r="E10902"/>
    </row>
    <row r="10903" spans="5:5">
      <c r="E10903"/>
    </row>
    <row r="10904" spans="5:5">
      <c r="E10904"/>
    </row>
    <row r="10905" spans="5:5">
      <c r="E10905"/>
    </row>
    <row r="10906" spans="5:5">
      <c r="E10906"/>
    </row>
    <row r="10907" spans="5:5">
      <c r="E10907"/>
    </row>
    <row r="10908" spans="5:5">
      <c r="E10908"/>
    </row>
    <row r="10909" spans="5:5">
      <c r="E10909"/>
    </row>
    <row r="10910" spans="5:5">
      <c r="E10910"/>
    </row>
    <row r="10911" spans="5:5">
      <c r="E10911"/>
    </row>
    <row r="10912" spans="5:5">
      <c r="E10912"/>
    </row>
    <row r="10913" spans="5:5">
      <c r="E10913"/>
    </row>
    <row r="10914" spans="5:5">
      <c r="E10914"/>
    </row>
    <row r="10915" spans="5:5">
      <c r="E10915"/>
    </row>
    <row r="10916" spans="5:5">
      <c r="E10916"/>
    </row>
    <row r="10917" spans="5:5">
      <c r="E10917"/>
    </row>
    <row r="10918" spans="5:5">
      <c r="E10918"/>
    </row>
    <row r="10919" spans="5:5">
      <c r="E10919"/>
    </row>
    <row r="10920" spans="5:5">
      <c r="E10920"/>
    </row>
    <row r="10921" spans="5:5">
      <c r="E10921"/>
    </row>
    <row r="10922" spans="5:5">
      <c r="E10922"/>
    </row>
    <row r="10923" spans="5:5">
      <c r="E10923"/>
    </row>
    <row r="10924" spans="5:5">
      <c r="E10924"/>
    </row>
    <row r="10925" spans="5:5">
      <c r="E10925"/>
    </row>
    <row r="10926" spans="5:5">
      <c r="E10926"/>
    </row>
    <row r="10927" spans="5:5">
      <c r="E10927"/>
    </row>
    <row r="10928" spans="5:5">
      <c r="E10928"/>
    </row>
    <row r="10929" spans="5:5">
      <c r="E10929"/>
    </row>
    <row r="10930" spans="5:5">
      <c r="E10930"/>
    </row>
    <row r="10931" spans="5:5">
      <c r="E10931"/>
    </row>
    <row r="10932" spans="5:5">
      <c r="E10932"/>
    </row>
    <row r="10933" spans="5:5">
      <c r="E10933"/>
    </row>
    <row r="10934" spans="5:5">
      <c r="E10934"/>
    </row>
    <row r="10935" spans="5:5">
      <c r="E10935"/>
    </row>
    <row r="10936" spans="5:5">
      <c r="E10936"/>
    </row>
    <row r="10937" spans="5:5">
      <c r="E10937"/>
    </row>
    <row r="10938" spans="5:5">
      <c r="E10938"/>
    </row>
    <row r="10939" spans="5:5">
      <c r="E10939"/>
    </row>
    <row r="10940" spans="5:5">
      <c r="E10940"/>
    </row>
    <row r="10941" spans="5:5">
      <c r="E10941"/>
    </row>
    <row r="10942" spans="5:5">
      <c r="E10942"/>
    </row>
    <row r="10943" spans="5:5">
      <c r="E10943"/>
    </row>
    <row r="10944" spans="5:5">
      <c r="E10944"/>
    </row>
    <row r="10945" spans="5:5">
      <c r="E10945"/>
    </row>
    <row r="10946" spans="5:5">
      <c r="E10946"/>
    </row>
    <row r="10947" spans="5:5">
      <c r="E10947"/>
    </row>
    <row r="10948" spans="5:5">
      <c r="E10948"/>
    </row>
    <row r="10949" spans="5:5">
      <c r="E10949"/>
    </row>
    <row r="10950" spans="5:5">
      <c r="E10950"/>
    </row>
    <row r="10951" spans="5:5">
      <c r="E10951"/>
    </row>
    <row r="10952" spans="5:5">
      <c r="E10952"/>
    </row>
    <row r="10953" spans="5:5">
      <c r="E10953"/>
    </row>
    <row r="10954" spans="5:5">
      <c r="E10954"/>
    </row>
    <row r="10955" spans="5:5">
      <c r="E10955"/>
    </row>
    <row r="10956" spans="5:5">
      <c r="E10956"/>
    </row>
    <row r="10957" spans="5:5">
      <c r="E10957"/>
    </row>
    <row r="10958" spans="5:5">
      <c r="E10958"/>
    </row>
    <row r="10959" spans="5:5">
      <c r="E10959"/>
    </row>
    <row r="10960" spans="5:5">
      <c r="E10960"/>
    </row>
    <row r="10961" spans="5:5">
      <c r="E10961"/>
    </row>
    <row r="10962" spans="5:5">
      <c r="E10962"/>
    </row>
    <row r="10963" spans="5:5">
      <c r="E10963"/>
    </row>
    <row r="10964" spans="5:5">
      <c r="E10964"/>
    </row>
    <row r="10965" spans="5:5">
      <c r="E10965"/>
    </row>
    <row r="10966" spans="5:5">
      <c r="E10966"/>
    </row>
    <row r="10967" spans="5:5">
      <c r="E10967"/>
    </row>
    <row r="10968" spans="5:5">
      <c r="E10968"/>
    </row>
    <row r="10969" spans="5:5">
      <c r="E10969"/>
    </row>
    <row r="10970" spans="5:5">
      <c r="E10970"/>
    </row>
    <row r="10971" spans="5:5">
      <c r="E10971"/>
    </row>
    <row r="10972" spans="5:5">
      <c r="E10972"/>
    </row>
    <row r="10973" spans="5:5">
      <c r="E10973"/>
    </row>
    <row r="10974" spans="5:5">
      <c r="E10974"/>
    </row>
    <row r="10975" spans="5:5">
      <c r="E10975"/>
    </row>
    <row r="10976" spans="5:5">
      <c r="E10976"/>
    </row>
    <row r="10977" spans="5:5">
      <c r="E10977"/>
    </row>
    <row r="10978" spans="5:5">
      <c r="E10978"/>
    </row>
    <row r="10979" spans="5:5">
      <c r="E10979"/>
    </row>
    <row r="10980" spans="5:5">
      <c r="E10980"/>
    </row>
    <row r="10981" spans="5:5">
      <c r="E10981"/>
    </row>
    <row r="10982" spans="5:5">
      <c r="E10982"/>
    </row>
    <row r="10983" spans="5:5">
      <c r="E10983"/>
    </row>
    <row r="10984" spans="5:5">
      <c r="E10984"/>
    </row>
    <row r="10985" spans="5:5">
      <c r="E10985"/>
    </row>
    <row r="10986" spans="5:5">
      <c r="E10986"/>
    </row>
    <row r="10987" spans="5:5">
      <c r="E10987"/>
    </row>
    <row r="10988" spans="5:5">
      <c r="E10988"/>
    </row>
    <row r="10989" spans="5:5">
      <c r="E10989"/>
    </row>
    <row r="10990" spans="5:5">
      <c r="E10990"/>
    </row>
    <row r="10991" spans="5:5">
      <c r="E10991"/>
    </row>
    <row r="10992" spans="5:5">
      <c r="E10992"/>
    </row>
    <row r="10993" spans="5:5">
      <c r="E10993"/>
    </row>
    <row r="10994" spans="5:5">
      <c r="E10994"/>
    </row>
    <row r="10995" spans="5:5">
      <c r="E10995"/>
    </row>
    <row r="10996" spans="5:5">
      <c r="E10996"/>
    </row>
    <row r="10997" spans="5:5">
      <c r="E10997"/>
    </row>
    <row r="10998" spans="5:5">
      <c r="E10998"/>
    </row>
    <row r="10999" spans="5:5">
      <c r="E10999"/>
    </row>
    <row r="11000" spans="5:5">
      <c r="E11000"/>
    </row>
    <row r="11001" spans="5:5">
      <c r="E11001"/>
    </row>
    <row r="11002" spans="5:5">
      <c r="E11002"/>
    </row>
    <row r="11003" spans="5:5">
      <c r="E11003"/>
    </row>
    <row r="11004" spans="5:5">
      <c r="E11004"/>
    </row>
    <row r="11005" spans="5:5">
      <c r="E11005"/>
    </row>
    <row r="11006" spans="5:5">
      <c r="E11006"/>
    </row>
    <row r="11007" spans="5:5">
      <c r="E11007"/>
    </row>
    <row r="11008" spans="5:5">
      <c r="E11008"/>
    </row>
    <row r="11009" spans="5:5">
      <c r="E11009"/>
    </row>
    <row r="11010" spans="5:5">
      <c r="E11010"/>
    </row>
    <row r="11011" spans="5:5">
      <c r="E11011"/>
    </row>
    <row r="11012" spans="5:5">
      <c r="E11012"/>
    </row>
    <row r="11013" spans="5:5">
      <c r="E11013"/>
    </row>
    <row r="11014" spans="5:5">
      <c r="E11014"/>
    </row>
    <row r="11015" spans="5:5">
      <c r="E11015"/>
    </row>
    <row r="11016" spans="5:5">
      <c r="E11016"/>
    </row>
    <row r="11017" spans="5:5">
      <c r="E11017"/>
    </row>
    <row r="11018" spans="5:5">
      <c r="E11018"/>
    </row>
    <row r="11019" spans="5:5">
      <c r="E11019"/>
    </row>
    <row r="11020" spans="5:5">
      <c r="E11020"/>
    </row>
    <row r="11021" spans="5:5">
      <c r="E11021"/>
    </row>
    <row r="11022" spans="5:5">
      <c r="E11022"/>
    </row>
    <row r="11023" spans="5:5">
      <c r="E11023"/>
    </row>
    <row r="11024" spans="5:5">
      <c r="E11024"/>
    </row>
    <row r="11025" spans="5:5">
      <c r="E11025"/>
    </row>
    <row r="11026" spans="5:5">
      <c r="E11026"/>
    </row>
    <row r="11027" spans="5:5">
      <c r="E11027"/>
    </row>
    <row r="11028" spans="5:5">
      <c r="E11028"/>
    </row>
    <row r="11029" spans="5:5">
      <c r="E11029"/>
    </row>
    <row r="11030" spans="5:5">
      <c r="E11030"/>
    </row>
    <row r="11031" spans="5:5">
      <c r="E11031"/>
    </row>
    <row r="11032" spans="5:5">
      <c r="E11032"/>
    </row>
    <row r="11033" spans="5:5">
      <c r="E11033"/>
    </row>
    <row r="11034" spans="5:5">
      <c r="E11034"/>
    </row>
    <row r="11035" spans="5:5">
      <c r="E11035"/>
    </row>
    <row r="11036" spans="5:5">
      <c r="E11036"/>
    </row>
    <row r="11037" spans="5:5">
      <c r="E11037"/>
    </row>
    <row r="11038" spans="5:5">
      <c r="E11038"/>
    </row>
    <row r="11039" spans="5:5">
      <c r="E11039"/>
    </row>
    <row r="11040" spans="5:5">
      <c r="E11040"/>
    </row>
    <row r="11041" spans="5:5">
      <c r="E11041"/>
    </row>
    <row r="11042" spans="5:5">
      <c r="E11042"/>
    </row>
    <row r="11043" spans="5:5">
      <c r="E11043"/>
    </row>
    <row r="11044" spans="5:5">
      <c r="E11044"/>
    </row>
    <row r="11045" spans="5:5">
      <c r="E11045"/>
    </row>
    <row r="11046" spans="5:5">
      <c r="E11046"/>
    </row>
    <row r="11047" spans="5:5">
      <c r="E11047"/>
    </row>
    <row r="11048" spans="5:5">
      <c r="E11048"/>
    </row>
    <row r="11049" spans="5:5">
      <c r="E11049"/>
    </row>
    <row r="11050" spans="5:5">
      <c r="E11050"/>
    </row>
    <row r="11051" spans="5:5">
      <c r="E11051"/>
    </row>
    <row r="11052" spans="5:5">
      <c r="E11052"/>
    </row>
    <row r="11053" spans="5:5">
      <c r="E11053"/>
    </row>
    <row r="11054" spans="5:5">
      <c r="E11054"/>
    </row>
    <row r="11055" spans="5:5">
      <c r="E11055"/>
    </row>
    <row r="11056" spans="5:5">
      <c r="E11056"/>
    </row>
    <row r="11057" spans="5:5">
      <c r="E11057"/>
    </row>
    <row r="11058" spans="5:5">
      <c r="E11058"/>
    </row>
    <row r="11059" spans="5:5">
      <c r="E11059"/>
    </row>
    <row r="11060" spans="5:5">
      <c r="E11060"/>
    </row>
    <row r="11061" spans="5:5">
      <c r="E11061"/>
    </row>
    <row r="11062" spans="5:5">
      <c r="E11062"/>
    </row>
    <row r="11063" spans="5:5">
      <c r="E11063"/>
    </row>
    <row r="11064" spans="5:5">
      <c r="E11064"/>
    </row>
    <row r="11065" spans="5:5">
      <c r="E11065"/>
    </row>
    <row r="11066" spans="5:5">
      <c r="E11066"/>
    </row>
    <row r="11067" spans="5:5">
      <c r="E11067"/>
    </row>
    <row r="11068" spans="5:5">
      <c r="E11068"/>
    </row>
    <row r="11069" spans="5:5">
      <c r="E11069"/>
    </row>
    <row r="11070" spans="5:5">
      <c r="E11070"/>
    </row>
    <row r="11071" spans="5:5">
      <c r="E11071"/>
    </row>
    <row r="11072" spans="5:5">
      <c r="E11072"/>
    </row>
    <row r="11073" spans="5:5">
      <c r="E11073"/>
    </row>
    <row r="11074" spans="5:5">
      <c r="E11074"/>
    </row>
    <row r="11075" spans="5:5">
      <c r="E11075"/>
    </row>
    <row r="11076" spans="5:5">
      <c r="E11076"/>
    </row>
    <row r="11077" spans="5:5">
      <c r="E11077"/>
    </row>
    <row r="11078" spans="5:5">
      <c r="E11078"/>
    </row>
    <row r="11079" spans="5:5">
      <c r="E11079"/>
    </row>
    <row r="11080" spans="5:5">
      <c r="E11080"/>
    </row>
    <row r="11081" spans="5:5">
      <c r="E11081"/>
    </row>
    <row r="11082" spans="5:5">
      <c r="E11082"/>
    </row>
    <row r="11083" spans="5:5">
      <c r="E11083"/>
    </row>
    <row r="11084" spans="5:5">
      <c r="E11084"/>
    </row>
    <row r="11085" spans="5:5">
      <c r="E11085"/>
    </row>
    <row r="11086" spans="5:5">
      <c r="E11086"/>
    </row>
    <row r="11087" spans="5:5">
      <c r="E11087"/>
    </row>
    <row r="11088" spans="5:5">
      <c r="E11088"/>
    </row>
    <row r="11089" spans="5:5">
      <c r="E11089"/>
    </row>
    <row r="11090" spans="5:5">
      <c r="E11090"/>
    </row>
    <row r="11091" spans="5:5">
      <c r="E11091"/>
    </row>
    <row r="11092" spans="5:5">
      <c r="E11092"/>
    </row>
    <row r="11093" spans="5:5">
      <c r="E11093"/>
    </row>
    <row r="11094" spans="5:5">
      <c r="E11094"/>
    </row>
    <row r="11095" spans="5:5">
      <c r="E11095"/>
    </row>
    <row r="11096" spans="5:5">
      <c r="E11096"/>
    </row>
    <row r="11097" spans="5:5">
      <c r="E11097"/>
    </row>
    <row r="11098" spans="5:5">
      <c r="E11098"/>
    </row>
    <row r="11099" spans="5:5">
      <c r="E11099"/>
    </row>
    <row r="11100" spans="5:5">
      <c r="E11100"/>
    </row>
    <row r="11101" spans="5:5">
      <c r="E11101"/>
    </row>
    <row r="11102" spans="5:5">
      <c r="E11102"/>
    </row>
    <row r="11103" spans="5:5">
      <c r="E11103"/>
    </row>
    <row r="11104" spans="5:5">
      <c r="E11104"/>
    </row>
    <row r="11105" spans="5:5">
      <c r="E11105"/>
    </row>
    <row r="11106" spans="5:5">
      <c r="E11106"/>
    </row>
    <row r="11107" spans="5:5">
      <c r="E11107"/>
    </row>
    <row r="11108" spans="5:5">
      <c r="E11108"/>
    </row>
    <row r="11109" spans="5:5">
      <c r="E11109"/>
    </row>
    <row r="11110" spans="5:5">
      <c r="E11110"/>
    </row>
    <row r="11111" spans="5:5">
      <c r="E11111"/>
    </row>
    <row r="11112" spans="5:5">
      <c r="E11112"/>
    </row>
    <row r="11113" spans="5:5">
      <c r="E11113"/>
    </row>
    <row r="11114" spans="5:5">
      <c r="E11114"/>
    </row>
    <row r="11115" spans="5:5">
      <c r="E11115"/>
    </row>
    <row r="11116" spans="5:5">
      <c r="E11116"/>
    </row>
    <row r="11117" spans="5:5">
      <c r="E11117"/>
    </row>
    <row r="11118" spans="5:5">
      <c r="E11118"/>
    </row>
    <row r="11119" spans="5:5">
      <c r="E11119"/>
    </row>
    <row r="11120" spans="5:5">
      <c r="E11120"/>
    </row>
    <row r="11121" spans="5:5">
      <c r="E11121"/>
    </row>
    <row r="11122" spans="5:5">
      <c r="E11122"/>
    </row>
    <row r="11123" spans="5:5">
      <c r="E11123"/>
    </row>
    <row r="11124" spans="5:5">
      <c r="E11124"/>
    </row>
    <row r="11125" spans="5:5">
      <c r="E11125"/>
    </row>
    <row r="11126" spans="5:5">
      <c r="E11126"/>
    </row>
    <row r="11127" spans="5:5">
      <c r="E11127"/>
    </row>
    <row r="11128" spans="5:5">
      <c r="E11128"/>
    </row>
    <row r="11129" spans="5:5">
      <c r="E11129"/>
    </row>
    <row r="11130" spans="5:5">
      <c r="E11130"/>
    </row>
    <row r="11131" spans="5:5">
      <c r="E11131"/>
    </row>
    <row r="11132" spans="5:5">
      <c r="E11132"/>
    </row>
    <row r="11133" spans="5:5">
      <c r="E11133"/>
    </row>
    <row r="11134" spans="5:5">
      <c r="E11134"/>
    </row>
    <row r="11135" spans="5:5">
      <c r="E11135"/>
    </row>
    <row r="11136" spans="5:5">
      <c r="E11136"/>
    </row>
    <row r="11137" spans="5:5">
      <c r="E11137"/>
    </row>
    <row r="11138" spans="5:5">
      <c r="E11138"/>
    </row>
    <row r="11139" spans="5:5">
      <c r="E11139"/>
    </row>
    <row r="11140" spans="5:5">
      <c r="E11140"/>
    </row>
    <row r="11141" spans="5:5">
      <c r="E11141"/>
    </row>
    <row r="11142" spans="5:5">
      <c r="E11142"/>
    </row>
    <row r="11143" spans="5:5">
      <c r="E11143"/>
    </row>
    <row r="11144" spans="5:5">
      <c r="E11144"/>
    </row>
    <row r="11145" spans="5:5">
      <c r="E11145"/>
    </row>
    <row r="11146" spans="5:5">
      <c r="E11146"/>
    </row>
    <row r="11147" spans="5:5">
      <c r="E11147"/>
    </row>
    <row r="11148" spans="5:5">
      <c r="E11148"/>
    </row>
    <row r="11149" spans="5:5">
      <c r="E11149"/>
    </row>
    <row r="11150" spans="5:5">
      <c r="E11150"/>
    </row>
    <row r="11151" spans="5:5">
      <c r="E11151"/>
    </row>
    <row r="11152" spans="5:5">
      <c r="E11152"/>
    </row>
    <row r="11153" spans="5:5">
      <c r="E11153"/>
    </row>
    <row r="11154" spans="5:5">
      <c r="E11154"/>
    </row>
    <row r="11155" spans="5:5">
      <c r="E11155"/>
    </row>
    <row r="11156" spans="5:5">
      <c r="E11156"/>
    </row>
    <row r="11157" spans="5:5">
      <c r="E11157"/>
    </row>
    <row r="11158" spans="5:5">
      <c r="E11158"/>
    </row>
    <row r="11159" spans="5:5">
      <c r="E11159"/>
    </row>
    <row r="11160" spans="5:5">
      <c r="E11160"/>
    </row>
    <row r="11161" spans="5:5">
      <c r="E11161"/>
    </row>
    <row r="11162" spans="5:5">
      <c r="E11162"/>
    </row>
    <row r="11163" spans="5:5">
      <c r="E11163"/>
    </row>
    <row r="11164" spans="5:5">
      <c r="E11164"/>
    </row>
    <row r="11165" spans="5:5">
      <c r="E11165"/>
    </row>
    <row r="11166" spans="5:5">
      <c r="E11166"/>
    </row>
    <row r="11167" spans="5:5">
      <c r="E11167"/>
    </row>
    <row r="11168" spans="5:5">
      <c r="E11168"/>
    </row>
    <row r="11169" spans="5:5">
      <c r="E11169"/>
    </row>
    <row r="11170" spans="5:5">
      <c r="E11170"/>
    </row>
    <row r="11171" spans="5:5">
      <c r="E11171"/>
    </row>
    <row r="11172" spans="5:5">
      <c r="E11172"/>
    </row>
    <row r="11173" spans="5:5">
      <c r="E11173"/>
    </row>
    <row r="11174" spans="5:5">
      <c r="E11174"/>
    </row>
    <row r="11175" spans="5:5">
      <c r="E11175"/>
    </row>
    <row r="11176" spans="5:5">
      <c r="E11176"/>
    </row>
    <row r="11177" spans="5:5">
      <c r="E11177"/>
    </row>
    <row r="11178" spans="5:5">
      <c r="E11178"/>
    </row>
    <row r="11179" spans="5:5">
      <c r="E11179"/>
    </row>
    <row r="11180" spans="5:5">
      <c r="E11180"/>
    </row>
    <row r="11181" spans="5:5">
      <c r="E11181"/>
    </row>
    <row r="11182" spans="5:5">
      <c r="E11182"/>
    </row>
    <row r="11183" spans="5:5">
      <c r="E11183"/>
    </row>
    <row r="11184" spans="5:5">
      <c r="E11184"/>
    </row>
    <row r="11185" spans="5:5">
      <c r="E11185"/>
    </row>
    <row r="11186" spans="5:5">
      <c r="E11186"/>
    </row>
    <row r="11187" spans="5:5">
      <c r="E11187"/>
    </row>
    <row r="11188" spans="5:5">
      <c r="E11188"/>
    </row>
    <row r="11189" spans="5:5">
      <c r="E11189"/>
    </row>
    <row r="11190" spans="5:5">
      <c r="E11190"/>
    </row>
    <row r="11191" spans="5:5">
      <c r="E11191"/>
    </row>
    <row r="11192" spans="5:5">
      <c r="E11192"/>
    </row>
    <row r="11193" spans="5:5">
      <c r="E11193"/>
    </row>
    <row r="11194" spans="5:5">
      <c r="E11194"/>
    </row>
    <row r="11195" spans="5:5">
      <c r="E11195"/>
    </row>
    <row r="11196" spans="5:5">
      <c r="E11196"/>
    </row>
    <row r="11197" spans="5:5">
      <c r="E11197"/>
    </row>
    <row r="11198" spans="5:5">
      <c r="E11198"/>
    </row>
    <row r="11199" spans="5:5">
      <c r="E11199"/>
    </row>
    <row r="11200" spans="5:5">
      <c r="E11200"/>
    </row>
    <row r="11201" spans="5:5">
      <c r="E11201"/>
    </row>
    <row r="11202" spans="5:5">
      <c r="E11202"/>
    </row>
    <row r="11203" spans="5:5">
      <c r="E11203"/>
    </row>
    <row r="11204" spans="5:5">
      <c r="E11204"/>
    </row>
    <row r="11205" spans="5:5">
      <c r="E11205"/>
    </row>
    <row r="11206" spans="5:5">
      <c r="E11206"/>
    </row>
    <row r="11207" spans="5:5">
      <c r="E11207"/>
    </row>
    <row r="11208" spans="5:5">
      <c r="E11208"/>
    </row>
    <row r="11209" spans="5:5">
      <c r="E11209"/>
    </row>
    <row r="11210" spans="5:5">
      <c r="E11210"/>
    </row>
    <row r="11211" spans="5:5">
      <c r="E11211"/>
    </row>
    <row r="11212" spans="5:5">
      <c r="E11212"/>
    </row>
    <row r="11213" spans="5:5">
      <c r="E11213"/>
    </row>
    <row r="11214" spans="5:5">
      <c r="E11214"/>
    </row>
    <row r="11215" spans="5:5">
      <c r="E11215"/>
    </row>
    <row r="11216" spans="5:5">
      <c r="E11216"/>
    </row>
    <row r="11217" spans="5:5">
      <c r="E11217"/>
    </row>
    <row r="11218" spans="5:5">
      <c r="E11218"/>
    </row>
    <row r="11219" spans="5:5">
      <c r="E11219"/>
    </row>
    <row r="11220" spans="5:5">
      <c r="E11220"/>
    </row>
    <row r="11221" spans="5:5">
      <c r="E11221"/>
    </row>
    <row r="11222" spans="5:5">
      <c r="E11222"/>
    </row>
    <row r="11223" spans="5:5">
      <c r="E11223"/>
    </row>
    <row r="11224" spans="5:5">
      <c r="E11224"/>
    </row>
    <row r="11225" spans="5:5">
      <c r="E11225"/>
    </row>
    <row r="11226" spans="5:5">
      <c r="E11226"/>
    </row>
    <row r="11227" spans="5:5">
      <c r="E11227"/>
    </row>
    <row r="11228" spans="5:5">
      <c r="E11228"/>
    </row>
    <row r="11229" spans="5:5">
      <c r="E11229"/>
    </row>
    <row r="11230" spans="5:5">
      <c r="E11230"/>
    </row>
    <row r="11231" spans="5:5">
      <c r="E11231"/>
    </row>
    <row r="11232" spans="5:5">
      <c r="E11232"/>
    </row>
    <row r="11233" spans="5:5">
      <c r="E11233"/>
    </row>
    <row r="11234" spans="5:5">
      <c r="E11234"/>
    </row>
    <row r="11235" spans="5:5">
      <c r="E11235"/>
    </row>
    <row r="11236" spans="5:5">
      <c r="E11236"/>
    </row>
    <row r="11237" spans="5:5">
      <c r="E11237"/>
    </row>
    <row r="11238" spans="5:5">
      <c r="E11238"/>
    </row>
    <row r="11239" spans="5:5">
      <c r="E11239"/>
    </row>
    <row r="11240" spans="5:5">
      <c r="E11240"/>
    </row>
    <row r="11241" spans="5:5">
      <c r="E11241"/>
    </row>
    <row r="11242" spans="5:5">
      <c r="E11242"/>
    </row>
    <row r="11243" spans="5:5">
      <c r="E11243"/>
    </row>
    <row r="11244" spans="5:5">
      <c r="E11244"/>
    </row>
    <row r="11245" spans="5:5">
      <c r="E11245"/>
    </row>
    <row r="11246" spans="5:5">
      <c r="E11246"/>
    </row>
    <row r="11247" spans="5:5">
      <c r="E11247"/>
    </row>
    <row r="11248" spans="5:5">
      <c r="E11248"/>
    </row>
    <row r="11249" spans="5:5">
      <c r="E11249"/>
    </row>
    <row r="11250" spans="5:5">
      <c r="E11250"/>
    </row>
    <row r="11251" spans="5:5">
      <c r="E11251"/>
    </row>
    <row r="11252" spans="5:5">
      <c r="E11252"/>
    </row>
    <row r="11253" spans="5:5">
      <c r="E11253"/>
    </row>
    <row r="11254" spans="5:5">
      <c r="E11254"/>
    </row>
    <row r="11255" spans="5:5">
      <c r="E11255"/>
    </row>
    <row r="11256" spans="5:5">
      <c r="E11256"/>
    </row>
    <row r="11257" spans="5:5">
      <c r="E11257"/>
    </row>
    <row r="11258" spans="5:5">
      <c r="E11258"/>
    </row>
    <row r="11259" spans="5:5">
      <c r="E11259"/>
    </row>
    <row r="11260" spans="5:5">
      <c r="E11260"/>
    </row>
    <row r="11261" spans="5:5">
      <c r="E11261"/>
    </row>
    <row r="11262" spans="5:5">
      <c r="E11262"/>
    </row>
    <row r="11263" spans="5:5">
      <c r="E11263"/>
    </row>
    <row r="11264" spans="5:5">
      <c r="E11264"/>
    </row>
    <row r="11265" spans="5:5">
      <c r="E11265"/>
    </row>
    <row r="11266" spans="5:5">
      <c r="E11266"/>
    </row>
    <row r="11267" spans="5:5">
      <c r="E11267"/>
    </row>
    <row r="11268" spans="5:5">
      <c r="E11268"/>
    </row>
    <row r="11269" spans="5:5">
      <c r="E11269"/>
    </row>
    <row r="11270" spans="5:5">
      <c r="E11270"/>
    </row>
    <row r="11271" spans="5:5">
      <c r="E11271"/>
    </row>
    <row r="11272" spans="5:5">
      <c r="E11272"/>
    </row>
    <row r="11273" spans="5:5">
      <c r="E11273"/>
    </row>
    <row r="11274" spans="5:5">
      <c r="E11274"/>
    </row>
    <row r="11275" spans="5:5">
      <c r="E11275"/>
    </row>
    <row r="11276" spans="5:5">
      <c r="E11276"/>
    </row>
    <row r="11277" spans="5:5">
      <c r="E11277"/>
    </row>
    <row r="11278" spans="5:5">
      <c r="E11278"/>
    </row>
    <row r="11279" spans="5:5">
      <c r="E11279"/>
    </row>
    <row r="11280" spans="5:5">
      <c r="E11280"/>
    </row>
    <row r="11281" spans="5:5">
      <c r="E11281"/>
    </row>
    <row r="11282" spans="5:5">
      <c r="E11282"/>
    </row>
    <row r="11283" spans="5:5">
      <c r="E11283"/>
    </row>
    <row r="11284" spans="5:5">
      <c r="E11284"/>
    </row>
    <row r="11285" spans="5:5">
      <c r="E11285"/>
    </row>
    <row r="11286" spans="5:5">
      <c r="E11286"/>
    </row>
    <row r="11287" spans="5:5">
      <c r="E11287"/>
    </row>
    <row r="11288" spans="5:5">
      <c r="E11288"/>
    </row>
    <row r="11289" spans="5:5">
      <c r="E11289"/>
    </row>
    <row r="11290" spans="5:5">
      <c r="E11290"/>
    </row>
    <row r="11291" spans="5:5">
      <c r="E11291"/>
    </row>
    <row r="11292" spans="5:5">
      <c r="E11292"/>
    </row>
    <row r="11293" spans="5:5">
      <c r="E11293"/>
    </row>
    <row r="11294" spans="5:5">
      <c r="E11294"/>
    </row>
    <row r="11295" spans="5:5">
      <c r="E11295"/>
    </row>
    <row r="11296" spans="5:5">
      <c r="E11296"/>
    </row>
    <row r="11297" spans="5:5">
      <c r="E11297"/>
    </row>
    <row r="11298" spans="5:5">
      <c r="E11298"/>
    </row>
    <row r="11299" spans="5:5">
      <c r="E11299"/>
    </row>
    <row r="11300" spans="5:5">
      <c r="E11300"/>
    </row>
    <row r="11301" spans="5:5">
      <c r="E11301"/>
    </row>
    <row r="11302" spans="5:5">
      <c r="E11302"/>
    </row>
    <row r="11303" spans="5:5">
      <c r="E11303"/>
    </row>
    <row r="11304" spans="5:5">
      <c r="E11304"/>
    </row>
    <row r="11305" spans="5:5">
      <c r="E11305"/>
    </row>
    <row r="11306" spans="5:5">
      <c r="E11306"/>
    </row>
    <row r="11307" spans="5:5">
      <c r="E11307"/>
    </row>
    <row r="11308" spans="5:5">
      <c r="E11308"/>
    </row>
    <row r="11309" spans="5:5">
      <c r="E11309"/>
    </row>
    <row r="11310" spans="5:5">
      <c r="E11310"/>
    </row>
    <row r="11311" spans="5:5">
      <c r="E11311"/>
    </row>
    <row r="11312" spans="5:5">
      <c r="E11312"/>
    </row>
    <row r="11313" spans="5:5">
      <c r="E11313"/>
    </row>
    <row r="11314" spans="5:5">
      <c r="E11314"/>
    </row>
    <row r="11315" spans="5:5">
      <c r="E11315"/>
    </row>
    <row r="11316" spans="5:5">
      <c r="E11316"/>
    </row>
    <row r="11317" spans="5:5">
      <c r="E11317"/>
    </row>
    <row r="11318" spans="5:5">
      <c r="E11318"/>
    </row>
    <row r="11319" spans="5:5">
      <c r="E11319"/>
    </row>
    <row r="11320" spans="5:5">
      <c r="E11320"/>
    </row>
    <row r="11321" spans="5:5">
      <c r="E11321"/>
    </row>
    <row r="11322" spans="5:5">
      <c r="E11322"/>
    </row>
    <row r="11323" spans="5:5">
      <c r="E11323"/>
    </row>
    <row r="11324" spans="5:5">
      <c r="E11324"/>
    </row>
    <row r="11325" spans="5:5">
      <c r="E11325"/>
    </row>
    <row r="11326" spans="5:5">
      <c r="E11326"/>
    </row>
    <row r="11327" spans="5:5">
      <c r="E11327"/>
    </row>
    <row r="11328" spans="5:5">
      <c r="E11328"/>
    </row>
    <row r="11329" spans="5:5">
      <c r="E11329"/>
    </row>
    <row r="11330" spans="5:5">
      <c r="E11330"/>
    </row>
    <row r="11331" spans="5:5">
      <c r="E11331"/>
    </row>
    <row r="11332" spans="5:5">
      <c r="E11332"/>
    </row>
    <row r="11333" spans="5:5">
      <c r="E11333"/>
    </row>
    <row r="11334" spans="5:5">
      <c r="E11334"/>
    </row>
    <row r="11335" spans="5:5">
      <c r="E11335"/>
    </row>
    <row r="11336" spans="5:5">
      <c r="E11336"/>
    </row>
    <row r="11337" spans="5:5">
      <c r="E11337"/>
    </row>
    <row r="11338" spans="5:5">
      <c r="E11338"/>
    </row>
    <row r="11339" spans="5:5">
      <c r="E11339"/>
    </row>
    <row r="11340" spans="5:5">
      <c r="E11340"/>
    </row>
    <row r="11341" spans="5:5">
      <c r="E11341"/>
    </row>
    <row r="11342" spans="5:5">
      <c r="E11342"/>
    </row>
    <row r="11343" spans="5:5">
      <c r="E11343"/>
    </row>
    <row r="11344" spans="5:5">
      <c r="E11344"/>
    </row>
    <row r="11345" spans="5:5">
      <c r="E11345"/>
    </row>
    <row r="11346" spans="5:5">
      <c r="E11346"/>
    </row>
    <row r="11347" spans="5:5">
      <c r="E11347"/>
    </row>
    <row r="11348" spans="5:5">
      <c r="E11348"/>
    </row>
    <row r="11349" spans="5:5">
      <c r="E11349"/>
    </row>
    <row r="11350" spans="5:5">
      <c r="E11350"/>
    </row>
    <row r="11351" spans="5:5">
      <c r="E11351"/>
    </row>
    <row r="11352" spans="5:5">
      <c r="E11352"/>
    </row>
    <row r="11353" spans="5:5">
      <c r="E11353"/>
    </row>
    <row r="11354" spans="5:5">
      <c r="E11354"/>
    </row>
    <row r="11355" spans="5:5">
      <c r="E11355"/>
    </row>
    <row r="11356" spans="5:5">
      <c r="E11356"/>
    </row>
    <row r="11357" spans="5:5">
      <c r="E11357"/>
    </row>
    <row r="11358" spans="5:5">
      <c r="E11358"/>
    </row>
    <row r="11359" spans="5:5">
      <c r="E11359"/>
    </row>
    <row r="11360" spans="5:5">
      <c r="E11360"/>
    </row>
    <row r="11361" spans="5:5">
      <c r="E11361"/>
    </row>
    <row r="11362" spans="5:5">
      <c r="E11362"/>
    </row>
    <row r="11363" spans="5:5">
      <c r="E11363"/>
    </row>
    <row r="11364" spans="5:5">
      <c r="E11364"/>
    </row>
    <row r="11365" spans="5:5">
      <c r="E11365"/>
    </row>
    <row r="11366" spans="5:5">
      <c r="E11366"/>
    </row>
    <row r="11367" spans="5:5">
      <c r="E11367"/>
    </row>
    <row r="11368" spans="5:5">
      <c r="E11368"/>
    </row>
    <row r="11369" spans="5:5">
      <c r="E11369"/>
    </row>
    <row r="11370" spans="5:5">
      <c r="E11370"/>
    </row>
    <row r="11371" spans="5:5">
      <c r="E11371"/>
    </row>
    <row r="11372" spans="5:5">
      <c r="E11372"/>
    </row>
    <row r="11373" spans="5:5">
      <c r="E11373"/>
    </row>
    <row r="11374" spans="5:5">
      <c r="E11374"/>
    </row>
    <row r="11375" spans="5:5">
      <c r="E11375"/>
    </row>
    <row r="11376" spans="5:5">
      <c r="E11376"/>
    </row>
    <row r="11377" spans="5:5">
      <c r="E11377"/>
    </row>
    <row r="11378" spans="5:5">
      <c r="E11378"/>
    </row>
    <row r="11379" spans="5:5">
      <c r="E11379"/>
    </row>
    <row r="11380" spans="5:5">
      <c r="E11380"/>
    </row>
    <row r="11381" spans="5:5">
      <c r="E11381"/>
    </row>
    <row r="11382" spans="5:5">
      <c r="E11382"/>
    </row>
    <row r="11383" spans="5:5">
      <c r="E11383"/>
    </row>
    <row r="11384" spans="5:5">
      <c r="E11384"/>
    </row>
    <row r="11385" spans="5:5">
      <c r="E11385"/>
    </row>
    <row r="11386" spans="5:5">
      <c r="E11386"/>
    </row>
    <row r="11387" spans="5:5">
      <c r="E11387"/>
    </row>
    <row r="11388" spans="5:5">
      <c r="E11388"/>
    </row>
    <row r="11389" spans="5:5">
      <c r="E11389"/>
    </row>
    <row r="11390" spans="5:5">
      <c r="E11390"/>
    </row>
    <row r="11391" spans="5:5">
      <c r="E11391"/>
    </row>
    <row r="11392" spans="5:5">
      <c r="E11392"/>
    </row>
    <row r="11393" spans="5:5">
      <c r="E11393"/>
    </row>
    <row r="11394" spans="5:5">
      <c r="E11394"/>
    </row>
    <row r="11395" spans="5:5">
      <c r="E11395"/>
    </row>
    <row r="11396" spans="5:5">
      <c r="E11396"/>
    </row>
    <row r="11397" spans="5:5">
      <c r="E11397"/>
    </row>
    <row r="11398" spans="5:5">
      <c r="E11398"/>
    </row>
    <row r="11399" spans="5:5">
      <c r="E11399"/>
    </row>
    <row r="11400" spans="5:5">
      <c r="E11400"/>
    </row>
    <row r="11401" spans="5:5">
      <c r="E11401"/>
    </row>
    <row r="11402" spans="5:5">
      <c r="E11402"/>
    </row>
    <row r="11403" spans="5:5">
      <c r="E11403"/>
    </row>
    <row r="11404" spans="5:5">
      <c r="E11404"/>
    </row>
    <row r="11405" spans="5:5">
      <c r="E11405"/>
    </row>
    <row r="11406" spans="5:5">
      <c r="E11406"/>
    </row>
    <row r="11407" spans="5:5">
      <c r="E11407"/>
    </row>
    <row r="11408" spans="5:5">
      <c r="E11408"/>
    </row>
    <row r="11409" spans="5:5">
      <c r="E11409"/>
    </row>
    <row r="11410" spans="5:5">
      <c r="E11410"/>
    </row>
    <row r="11411" spans="5:5">
      <c r="E11411"/>
    </row>
    <row r="11412" spans="5:5">
      <c r="E11412"/>
    </row>
    <row r="11413" spans="5:5">
      <c r="E11413"/>
    </row>
    <row r="11414" spans="5:5">
      <c r="E11414"/>
    </row>
    <row r="11415" spans="5:5">
      <c r="E11415"/>
    </row>
    <row r="11416" spans="5:5">
      <c r="E11416"/>
    </row>
    <row r="11417" spans="5:5">
      <c r="E11417"/>
    </row>
    <row r="11418" spans="5:5">
      <c r="E11418"/>
    </row>
    <row r="11419" spans="5:5">
      <c r="E11419"/>
    </row>
    <row r="11420" spans="5:5">
      <c r="E11420"/>
    </row>
    <row r="11421" spans="5:5">
      <c r="E11421"/>
    </row>
    <row r="11422" spans="5:5">
      <c r="E11422"/>
    </row>
    <row r="11423" spans="5:5">
      <c r="E11423"/>
    </row>
    <row r="11424" spans="5:5">
      <c r="E11424"/>
    </row>
    <row r="11425" spans="5:5">
      <c r="E11425"/>
    </row>
    <row r="11426" spans="5:5">
      <c r="E11426"/>
    </row>
    <row r="11427" spans="5:5">
      <c r="E11427"/>
    </row>
    <row r="11428" spans="5:5">
      <c r="E11428"/>
    </row>
    <row r="11429" spans="5:5">
      <c r="E11429"/>
    </row>
    <row r="11430" spans="5:5">
      <c r="E11430"/>
    </row>
    <row r="11431" spans="5:5">
      <c r="E11431"/>
    </row>
    <row r="11432" spans="5:5">
      <c r="E11432"/>
    </row>
    <row r="11433" spans="5:5">
      <c r="E11433"/>
    </row>
    <row r="11434" spans="5:5">
      <c r="E11434"/>
    </row>
    <row r="11435" spans="5:5">
      <c r="E11435"/>
    </row>
    <row r="11436" spans="5:5">
      <c r="E11436"/>
    </row>
    <row r="11437" spans="5:5">
      <c r="E11437"/>
    </row>
    <row r="11438" spans="5:5">
      <c r="E11438"/>
    </row>
    <row r="11439" spans="5:5">
      <c r="E11439"/>
    </row>
    <row r="11440" spans="5:5">
      <c r="E11440"/>
    </row>
    <row r="11441" spans="5:5">
      <c r="E11441"/>
    </row>
    <row r="11442" spans="5:5">
      <c r="E11442"/>
    </row>
    <row r="11443" spans="5:5">
      <c r="E11443"/>
    </row>
    <row r="11444" spans="5:5">
      <c r="E11444"/>
    </row>
    <row r="11445" spans="5:5">
      <c r="E11445"/>
    </row>
    <row r="11446" spans="5:5">
      <c r="E11446"/>
    </row>
    <row r="11447" spans="5:5">
      <c r="E11447"/>
    </row>
    <row r="11448" spans="5:5">
      <c r="E11448"/>
    </row>
    <row r="11449" spans="5:5">
      <c r="E11449"/>
    </row>
    <row r="11450" spans="5:5">
      <c r="E11450"/>
    </row>
    <row r="11451" spans="5:5">
      <c r="E11451"/>
    </row>
    <row r="11452" spans="5:5">
      <c r="E11452"/>
    </row>
    <row r="11453" spans="5:5">
      <c r="E11453"/>
    </row>
    <row r="11454" spans="5:5">
      <c r="E11454"/>
    </row>
    <row r="11455" spans="5:5">
      <c r="E11455"/>
    </row>
    <row r="11456" spans="5:5">
      <c r="E11456"/>
    </row>
    <row r="11457" spans="5:5">
      <c r="E11457"/>
    </row>
    <row r="11458" spans="5:5">
      <c r="E11458"/>
    </row>
    <row r="11459" spans="5:5">
      <c r="E11459"/>
    </row>
    <row r="11460" spans="5:5">
      <c r="E11460"/>
    </row>
    <row r="11461" spans="5:5">
      <c r="E11461"/>
    </row>
    <row r="11462" spans="5:5">
      <c r="E11462"/>
    </row>
    <row r="11463" spans="5:5">
      <c r="E11463"/>
    </row>
    <row r="11464" spans="5:5">
      <c r="E11464"/>
    </row>
    <row r="11465" spans="5:5">
      <c r="E11465"/>
    </row>
    <row r="11466" spans="5:5">
      <c r="E11466"/>
    </row>
    <row r="11467" spans="5:5">
      <c r="E11467"/>
    </row>
    <row r="11468" spans="5:5">
      <c r="E11468"/>
    </row>
    <row r="11469" spans="5:5">
      <c r="E11469"/>
    </row>
    <row r="11470" spans="5:5">
      <c r="E11470"/>
    </row>
    <row r="11471" spans="5:5">
      <c r="E11471"/>
    </row>
    <row r="11472" spans="5:5">
      <c r="E11472"/>
    </row>
    <row r="11473" spans="5:5">
      <c r="E11473"/>
    </row>
    <row r="11474" spans="5:5">
      <c r="E11474"/>
    </row>
    <row r="11475" spans="5:5">
      <c r="E11475"/>
    </row>
    <row r="11476" spans="5:5">
      <c r="E11476"/>
    </row>
    <row r="11477" spans="5:5">
      <c r="E11477"/>
    </row>
    <row r="11478" spans="5:5">
      <c r="E11478"/>
    </row>
    <row r="11479" spans="5:5">
      <c r="E11479"/>
    </row>
    <row r="11480" spans="5:5">
      <c r="E11480"/>
    </row>
    <row r="11481" spans="5:5">
      <c r="E11481"/>
    </row>
    <row r="11482" spans="5:5">
      <c r="E11482"/>
    </row>
    <row r="11483" spans="5:5">
      <c r="E11483"/>
    </row>
    <row r="11484" spans="5:5">
      <c r="E11484"/>
    </row>
    <row r="11485" spans="5:5">
      <c r="E11485"/>
    </row>
    <row r="11486" spans="5:5">
      <c r="E11486"/>
    </row>
    <row r="11487" spans="5:5">
      <c r="E11487"/>
    </row>
    <row r="11488" spans="5:5">
      <c r="E11488"/>
    </row>
    <row r="11489" spans="5:5">
      <c r="E11489"/>
    </row>
    <row r="11490" spans="5:5">
      <c r="E11490"/>
    </row>
    <row r="11491" spans="5:5">
      <c r="E11491"/>
    </row>
    <row r="11492" spans="5:5">
      <c r="E11492"/>
    </row>
    <row r="11493" spans="5:5">
      <c r="E11493"/>
    </row>
    <row r="11494" spans="5:5">
      <c r="E11494"/>
    </row>
    <row r="11495" spans="5:5">
      <c r="E11495"/>
    </row>
    <row r="11496" spans="5:5">
      <c r="E11496"/>
    </row>
    <row r="11497" spans="5:5">
      <c r="E11497"/>
    </row>
    <row r="11498" spans="5:5">
      <c r="E11498"/>
    </row>
    <row r="11499" spans="5:5">
      <c r="E11499"/>
    </row>
    <row r="11500" spans="5:5">
      <c r="E11500"/>
    </row>
    <row r="11501" spans="5:5">
      <c r="E11501"/>
    </row>
    <row r="11502" spans="5:5">
      <c r="E11502"/>
    </row>
    <row r="11503" spans="5:5">
      <c r="E11503"/>
    </row>
    <row r="11504" spans="5:5">
      <c r="E11504"/>
    </row>
    <row r="11505" spans="5:5">
      <c r="E11505"/>
    </row>
    <row r="11506" spans="5:5">
      <c r="E11506"/>
    </row>
    <row r="11507" spans="5:5">
      <c r="E11507"/>
    </row>
    <row r="11508" spans="5:5">
      <c r="E11508"/>
    </row>
    <row r="11509" spans="5:5">
      <c r="E11509"/>
    </row>
    <row r="11510" spans="5:5">
      <c r="E11510"/>
    </row>
    <row r="11511" spans="5:5">
      <c r="E11511"/>
    </row>
    <row r="11512" spans="5:5">
      <c r="E11512"/>
    </row>
    <row r="11513" spans="5:5">
      <c r="E11513"/>
    </row>
    <row r="11514" spans="5:5">
      <c r="E11514"/>
    </row>
    <row r="11515" spans="5:5">
      <c r="E11515"/>
    </row>
    <row r="11516" spans="5:5">
      <c r="E11516"/>
    </row>
    <row r="11517" spans="5:5">
      <c r="E11517"/>
    </row>
    <row r="11518" spans="5:5">
      <c r="E11518"/>
    </row>
    <row r="11519" spans="5:5">
      <c r="E11519"/>
    </row>
    <row r="11520" spans="5:5">
      <c r="E11520"/>
    </row>
    <row r="11521" spans="5:5">
      <c r="E11521"/>
    </row>
    <row r="11522" spans="5:5">
      <c r="E11522"/>
    </row>
    <row r="11523" spans="5:5">
      <c r="E11523"/>
    </row>
    <row r="11524" spans="5:5">
      <c r="E11524"/>
    </row>
    <row r="11525" spans="5:5">
      <c r="E11525"/>
    </row>
    <row r="11526" spans="5:5">
      <c r="E11526"/>
    </row>
    <row r="11527" spans="5:5">
      <c r="E11527"/>
    </row>
    <row r="11528" spans="5:5">
      <c r="E11528"/>
    </row>
    <row r="11529" spans="5:5">
      <c r="E11529"/>
    </row>
    <row r="11530" spans="5:5">
      <c r="E11530"/>
    </row>
    <row r="11531" spans="5:5">
      <c r="E11531"/>
    </row>
    <row r="11532" spans="5:5">
      <c r="E11532"/>
    </row>
    <row r="11533" spans="5:5">
      <c r="E11533"/>
    </row>
    <row r="11534" spans="5:5">
      <c r="E11534"/>
    </row>
    <row r="11535" spans="5:5">
      <c r="E11535"/>
    </row>
    <row r="11536" spans="5:5">
      <c r="E11536"/>
    </row>
    <row r="11537" spans="5:5">
      <c r="E11537"/>
    </row>
    <row r="11538" spans="5:5">
      <c r="E11538"/>
    </row>
    <row r="11539" spans="5:5">
      <c r="E11539"/>
    </row>
    <row r="11540" spans="5:5">
      <c r="E11540"/>
    </row>
    <row r="11541" spans="5:5">
      <c r="E11541"/>
    </row>
    <row r="11542" spans="5:5">
      <c r="E11542"/>
    </row>
    <row r="11543" spans="5:5">
      <c r="E11543"/>
    </row>
    <row r="11544" spans="5:5">
      <c r="E11544"/>
    </row>
    <row r="11545" spans="5:5">
      <c r="E11545"/>
    </row>
    <row r="11546" spans="5:5">
      <c r="E11546"/>
    </row>
    <row r="11547" spans="5:5">
      <c r="E11547"/>
    </row>
    <row r="11548" spans="5:5">
      <c r="E11548"/>
    </row>
    <row r="11549" spans="5:5">
      <c r="E11549"/>
    </row>
    <row r="11550" spans="5:5">
      <c r="E11550"/>
    </row>
    <row r="11551" spans="5:5">
      <c r="E11551"/>
    </row>
    <row r="11552" spans="5:5">
      <c r="E11552"/>
    </row>
    <row r="11553" spans="5:5">
      <c r="E11553"/>
    </row>
    <row r="11554" spans="5:5">
      <c r="E11554"/>
    </row>
    <row r="11555" spans="5:5">
      <c r="E11555"/>
    </row>
    <row r="11556" spans="5:5">
      <c r="E11556"/>
    </row>
    <row r="11557" spans="5:5">
      <c r="E11557"/>
    </row>
    <row r="11558" spans="5:5">
      <c r="E11558"/>
    </row>
    <row r="11559" spans="5:5">
      <c r="E11559"/>
    </row>
    <row r="11560" spans="5:5">
      <c r="E11560"/>
    </row>
    <row r="11561" spans="5:5">
      <c r="E11561"/>
    </row>
    <row r="11562" spans="5:5">
      <c r="E11562"/>
    </row>
    <row r="11563" spans="5:5">
      <c r="E11563"/>
    </row>
    <row r="11564" spans="5:5">
      <c r="E11564"/>
    </row>
    <row r="11565" spans="5:5">
      <c r="E11565"/>
    </row>
    <row r="11566" spans="5:5">
      <c r="E11566"/>
    </row>
    <row r="11567" spans="5:5">
      <c r="E11567"/>
    </row>
    <row r="11568" spans="5:5">
      <c r="E11568"/>
    </row>
    <row r="11569" spans="5:5">
      <c r="E11569"/>
    </row>
    <row r="11570" spans="5:5">
      <c r="E11570"/>
    </row>
    <row r="11571" spans="5:5">
      <c r="E11571"/>
    </row>
    <row r="11572" spans="5:5">
      <c r="E11572"/>
    </row>
    <row r="11573" spans="5:5">
      <c r="E11573"/>
    </row>
    <row r="11574" spans="5:5">
      <c r="E11574"/>
    </row>
    <row r="11575" spans="5:5">
      <c r="E11575"/>
    </row>
    <row r="11576" spans="5:5">
      <c r="E11576"/>
    </row>
    <row r="11577" spans="5:5">
      <c r="E11577"/>
    </row>
    <row r="11578" spans="5:5">
      <c r="E11578"/>
    </row>
    <row r="11579" spans="5:5">
      <c r="E11579"/>
    </row>
    <row r="11580" spans="5:5">
      <c r="E11580"/>
    </row>
    <row r="11581" spans="5:5">
      <c r="E11581"/>
    </row>
    <row r="11582" spans="5:5">
      <c r="E11582"/>
    </row>
    <row r="11583" spans="5:5">
      <c r="E11583"/>
    </row>
    <row r="11584" spans="5:5">
      <c r="E11584"/>
    </row>
    <row r="11585" spans="5:5">
      <c r="E11585"/>
    </row>
    <row r="11586" spans="5:5">
      <c r="E11586"/>
    </row>
    <row r="11587" spans="5:5">
      <c r="E11587"/>
    </row>
    <row r="11588" spans="5:5">
      <c r="E11588"/>
    </row>
    <row r="11589" spans="5:5">
      <c r="E11589"/>
    </row>
    <row r="11590" spans="5:5">
      <c r="E11590"/>
    </row>
    <row r="11591" spans="5:5">
      <c r="E11591"/>
    </row>
    <row r="11592" spans="5:5">
      <c r="E11592"/>
    </row>
    <row r="11593" spans="5:5">
      <c r="E11593"/>
    </row>
    <row r="11594" spans="5:5">
      <c r="E11594"/>
    </row>
    <row r="11595" spans="5:5">
      <c r="E11595"/>
    </row>
    <row r="11596" spans="5:5">
      <c r="E11596"/>
    </row>
    <row r="11597" spans="5:5">
      <c r="E11597"/>
    </row>
    <row r="11598" spans="5:5">
      <c r="E11598"/>
    </row>
    <row r="11599" spans="5:5">
      <c r="E11599"/>
    </row>
    <row r="11600" spans="5:5">
      <c r="E11600"/>
    </row>
    <row r="11601" spans="5:5">
      <c r="E11601"/>
    </row>
    <row r="11602" spans="5:5">
      <c r="E11602"/>
    </row>
    <row r="11603" spans="5:5">
      <c r="E11603"/>
    </row>
    <row r="11604" spans="5:5">
      <c r="E11604"/>
    </row>
    <row r="11605" spans="5:5">
      <c r="E11605"/>
    </row>
    <row r="11606" spans="5:5">
      <c r="E11606"/>
    </row>
    <row r="11607" spans="5:5">
      <c r="E11607"/>
    </row>
    <row r="11608" spans="5:5">
      <c r="E11608"/>
    </row>
    <row r="11609" spans="5:5">
      <c r="E11609"/>
    </row>
    <row r="11610" spans="5:5">
      <c r="E11610"/>
    </row>
    <row r="11611" spans="5:5">
      <c r="E11611"/>
    </row>
    <row r="11612" spans="5:5">
      <c r="E11612"/>
    </row>
    <row r="11613" spans="5:5">
      <c r="E11613"/>
    </row>
    <row r="11614" spans="5:5">
      <c r="E11614"/>
    </row>
    <row r="11615" spans="5:5">
      <c r="E11615"/>
    </row>
    <row r="11616" spans="5:5">
      <c r="E11616"/>
    </row>
    <row r="11617" spans="5:5">
      <c r="E11617"/>
    </row>
    <row r="11618" spans="5:5">
      <c r="E11618"/>
    </row>
    <row r="11619" spans="5:5">
      <c r="E11619"/>
    </row>
    <row r="11620" spans="5:5">
      <c r="E11620"/>
    </row>
    <row r="11621" spans="5:5">
      <c r="E11621"/>
    </row>
    <row r="11622" spans="5:5">
      <c r="E11622"/>
    </row>
    <row r="11623" spans="5:5">
      <c r="E11623"/>
    </row>
    <row r="11624" spans="5:5">
      <c r="E11624"/>
    </row>
    <row r="11625" spans="5:5">
      <c r="E11625"/>
    </row>
    <row r="11626" spans="5:5">
      <c r="E11626"/>
    </row>
    <row r="11627" spans="5:5">
      <c r="E11627"/>
    </row>
    <row r="11628" spans="5:5">
      <c r="E11628"/>
    </row>
    <row r="11629" spans="5:5">
      <c r="E11629"/>
    </row>
    <row r="11630" spans="5:5">
      <c r="E11630"/>
    </row>
    <row r="11631" spans="5:5">
      <c r="E11631"/>
    </row>
    <row r="11632" spans="5:5">
      <c r="E11632"/>
    </row>
    <row r="11633" spans="5:5">
      <c r="E11633"/>
    </row>
    <row r="11634" spans="5:5">
      <c r="E11634"/>
    </row>
    <row r="11635" spans="5:5">
      <c r="E11635"/>
    </row>
    <row r="11636" spans="5:5">
      <c r="E11636"/>
    </row>
    <row r="11637" spans="5:5">
      <c r="E11637"/>
    </row>
    <row r="11638" spans="5:5">
      <c r="E11638"/>
    </row>
    <row r="11639" spans="5:5">
      <c r="E11639"/>
    </row>
    <row r="11640" spans="5:5">
      <c r="E11640"/>
    </row>
    <row r="11641" spans="5:5">
      <c r="E11641"/>
    </row>
    <row r="11642" spans="5:5">
      <c r="E11642"/>
    </row>
    <row r="11643" spans="5:5">
      <c r="E11643"/>
    </row>
    <row r="11644" spans="5:5">
      <c r="E11644"/>
    </row>
    <row r="11645" spans="5:5">
      <c r="E11645"/>
    </row>
    <row r="11646" spans="5:5">
      <c r="E11646"/>
    </row>
    <row r="11647" spans="5:5">
      <c r="E11647"/>
    </row>
    <row r="11648" spans="5:5">
      <c r="E11648"/>
    </row>
    <row r="11649" spans="5:5">
      <c r="E11649"/>
    </row>
    <row r="11650" spans="5:5">
      <c r="E11650"/>
    </row>
    <row r="11651" spans="5:5">
      <c r="E11651"/>
    </row>
    <row r="11652" spans="5:5">
      <c r="E11652"/>
    </row>
    <row r="11653" spans="5:5">
      <c r="E11653"/>
    </row>
    <row r="11654" spans="5:5">
      <c r="E11654"/>
    </row>
    <row r="11655" spans="5:5">
      <c r="E11655"/>
    </row>
    <row r="11656" spans="5:5">
      <c r="E11656"/>
    </row>
    <row r="11657" spans="5:5">
      <c r="E11657"/>
    </row>
    <row r="11658" spans="5:5">
      <c r="E11658"/>
    </row>
    <row r="11659" spans="5:5">
      <c r="E11659"/>
    </row>
    <row r="11660" spans="5:5">
      <c r="E11660"/>
    </row>
    <row r="11661" spans="5:5">
      <c r="E11661"/>
    </row>
    <row r="11662" spans="5:5">
      <c r="E11662"/>
    </row>
    <row r="11663" spans="5:5">
      <c r="E11663"/>
    </row>
    <row r="11664" spans="5:5">
      <c r="E11664"/>
    </row>
    <row r="11665" spans="5:5">
      <c r="E11665"/>
    </row>
    <row r="11666" spans="5:5">
      <c r="E11666"/>
    </row>
    <row r="11667" spans="5:5">
      <c r="E11667"/>
    </row>
    <row r="11668" spans="5:5">
      <c r="E11668"/>
    </row>
    <row r="11669" spans="5:5">
      <c r="E11669"/>
    </row>
    <row r="11670" spans="5:5">
      <c r="E11670"/>
    </row>
    <row r="11671" spans="5:5">
      <c r="E11671"/>
    </row>
    <row r="11672" spans="5:5">
      <c r="E11672"/>
    </row>
    <row r="11673" spans="5:5">
      <c r="E11673"/>
    </row>
    <row r="11674" spans="5:5">
      <c r="E11674"/>
    </row>
    <row r="11675" spans="5:5">
      <c r="E11675"/>
    </row>
    <row r="11676" spans="5:5">
      <c r="E11676"/>
    </row>
    <row r="11677" spans="5:5">
      <c r="E11677"/>
    </row>
    <row r="11678" spans="5:5">
      <c r="E11678"/>
    </row>
    <row r="11679" spans="5:5">
      <c r="E11679"/>
    </row>
    <row r="11680" spans="5:5">
      <c r="E11680"/>
    </row>
    <row r="11681" spans="5:5">
      <c r="E11681"/>
    </row>
    <row r="11682" spans="5:5">
      <c r="E11682"/>
    </row>
    <row r="11683" spans="5:5">
      <c r="E11683"/>
    </row>
    <row r="11684" spans="5:5">
      <c r="E11684"/>
    </row>
    <row r="11685" spans="5:5">
      <c r="E11685"/>
    </row>
    <row r="11686" spans="5:5">
      <c r="E11686"/>
    </row>
    <row r="11687" spans="5:5">
      <c r="E11687"/>
    </row>
    <row r="11688" spans="5:5">
      <c r="E11688"/>
    </row>
    <row r="11689" spans="5:5">
      <c r="E11689"/>
    </row>
    <row r="11690" spans="5:5">
      <c r="E11690"/>
    </row>
    <row r="11691" spans="5:5">
      <c r="E11691"/>
    </row>
    <row r="11692" spans="5:5">
      <c r="E11692"/>
    </row>
    <row r="11693" spans="5:5">
      <c r="E11693"/>
    </row>
    <row r="11694" spans="5:5">
      <c r="E11694"/>
    </row>
    <row r="11695" spans="5:5">
      <c r="E11695"/>
    </row>
    <row r="11696" spans="5:5">
      <c r="E11696"/>
    </row>
    <row r="11697" spans="5:5">
      <c r="E11697"/>
    </row>
    <row r="11698" spans="5:5">
      <c r="E11698"/>
    </row>
    <row r="11699" spans="5:5">
      <c r="E11699"/>
    </row>
    <row r="11700" spans="5:5">
      <c r="E11700"/>
    </row>
    <row r="11701" spans="5:5">
      <c r="E11701"/>
    </row>
    <row r="11702" spans="5:5">
      <c r="E11702"/>
    </row>
    <row r="11703" spans="5:5">
      <c r="E11703"/>
    </row>
    <row r="11704" spans="5:5">
      <c r="E11704"/>
    </row>
    <row r="11705" spans="5:5">
      <c r="E11705"/>
    </row>
    <row r="11706" spans="5:5">
      <c r="E11706"/>
    </row>
    <row r="11707" spans="5:5">
      <c r="E11707"/>
    </row>
    <row r="11708" spans="5:5">
      <c r="E11708"/>
    </row>
    <row r="11709" spans="5:5">
      <c r="E11709"/>
    </row>
    <row r="11710" spans="5:5">
      <c r="E11710"/>
    </row>
    <row r="11711" spans="5:5">
      <c r="E11711"/>
    </row>
    <row r="11712" spans="5:5">
      <c r="E11712"/>
    </row>
    <row r="11713" spans="5:5">
      <c r="E11713"/>
    </row>
    <row r="11714" spans="5:5">
      <c r="E11714"/>
    </row>
    <row r="11715" spans="5:5">
      <c r="E11715"/>
    </row>
    <row r="11716" spans="5:5">
      <c r="E11716"/>
    </row>
    <row r="11717" spans="5:5">
      <c r="E11717"/>
    </row>
    <row r="11718" spans="5:5">
      <c r="E11718"/>
    </row>
    <row r="11719" spans="5:5">
      <c r="E11719"/>
    </row>
    <row r="11720" spans="5:5">
      <c r="E11720"/>
    </row>
    <row r="11721" spans="5:5">
      <c r="E11721"/>
    </row>
    <row r="11722" spans="5:5">
      <c r="E11722"/>
    </row>
    <row r="11723" spans="5:5">
      <c r="E11723"/>
    </row>
    <row r="11724" spans="5:5">
      <c r="E11724"/>
    </row>
    <row r="11725" spans="5:5">
      <c r="E11725"/>
    </row>
    <row r="11726" spans="5:5">
      <c r="E11726"/>
    </row>
    <row r="11727" spans="5:5">
      <c r="E11727"/>
    </row>
    <row r="11728" spans="5:5">
      <c r="E11728"/>
    </row>
    <row r="11729" spans="5:5">
      <c r="E11729"/>
    </row>
    <row r="11730" spans="5:5">
      <c r="E11730"/>
    </row>
    <row r="11731" spans="5:5">
      <c r="E11731"/>
    </row>
    <row r="11732" spans="5:5">
      <c r="E11732"/>
    </row>
    <row r="11733" spans="5:5">
      <c r="E11733"/>
    </row>
    <row r="11734" spans="5:5">
      <c r="E11734"/>
    </row>
    <row r="11735" spans="5:5">
      <c r="E11735"/>
    </row>
    <row r="11736" spans="5:5">
      <c r="E11736"/>
    </row>
    <row r="11737" spans="5:5">
      <c r="E11737"/>
    </row>
    <row r="11738" spans="5:5">
      <c r="E11738"/>
    </row>
    <row r="11739" spans="5:5">
      <c r="E11739"/>
    </row>
    <row r="11740" spans="5:5">
      <c r="E11740"/>
    </row>
    <row r="11741" spans="5:5">
      <c r="E11741"/>
    </row>
    <row r="11742" spans="5:5">
      <c r="E11742"/>
    </row>
    <row r="11743" spans="5:5">
      <c r="E11743"/>
    </row>
    <row r="11744" spans="5:5">
      <c r="E11744"/>
    </row>
    <row r="11745" spans="5:5">
      <c r="E11745"/>
    </row>
    <row r="11746" spans="5:5">
      <c r="E11746"/>
    </row>
    <row r="11747" spans="5:5">
      <c r="E11747"/>
    </row>
    <row r="11748" spans="5:5">
      <c r="E11748"/>
    </row>
    <row r="11749" spans="5:5">
      <c r="E11749"/>
    </row>
    <row r="11750" spans="5:5">
      <c r="E11750"/>
    </row>
    <row r="11751" spans="5:5">
      <c r="E11751"/>
    </row>
    <row r="11752" spans="5:5">
      <c r="E11752"/>
    </row>
    <row r="11753" spans="5:5">
      <c r="E11753"/>
    </row>
    <row r="11754" spans="5:5">
      <c r="E11754"/>
    </row>
    <row r="11755" spans="5:5">
      <c r="E11755"/>
    </row>
    <row r="11756" spans="5:5">
      <c r="E11756"/>
    </row>
    <row r="11757" spans="5:5">
      <c r="E11757"/>
    </row>
    <row r="11758" spans="5:5">
      <c r="E11758"/>
    </row>
    <row r="11759" spans="5:5">
      <c r="E11759"/>
    </row>
    <row r="11760" spans="5:5">
      <c r="E11760"/>
    </row>
    <row r="11761" spans="5:5">
      <c r="E11761"/>
    </row>
    <row r="11762" spans="5:5">
      <c r="E11762"/>
    </row>
    <row r="11763" spans="5:5">
      <c r="E11763"/>
    </row>
    <row r="11764" spans="5:5">
      <c r="E11764"/>
    </row>
    <row r="11765" spans="5:5">
      <c r="E11765"/>
    </row>
    <row r="11766" spans="5:5">
      <c r="E11766"/>
    </row>
    <row r="11767" spans="5:5">
      <c r="E11767"/>
    </row>
    <row r="11768" spans="5:5">
      <c r="E11768"/>
    </row>
    <row r="11769" spans="5:5">
      <c r="E11769"/>
    </row>
    <row r="11770" spans="5:5">
      <c r="E11770"/>
    </row>
    <row r="11771" spans="5:5">
      <c r="E11771"/>
    </row>
    <row r="11772" spans="5:5">
      <c r="E11772"/>
    </row>
    <row r="11773" spans="5:5">
      <c r="E11773"/>
    </row>
    <row r="11774" spans="5:5">
      <c r="E11774"/>
    </row>
    <row r="11775" spans="5:5">
      <c r="E11775"/>
    </row>
    <row r="11776" spans="5:5">
      <c r="E11776"/>
    </row>
    <row r="11777" spans="5:5">
      <c r="E11777"/>
    </row>
    <row r="11778" spans="5:5">
      <c r="E11778"/>
    </row>
    <row r="11779" spans="5:5">
      <c r="E11779"/>
    </row>
    <row r="11780" spans="5:5">
      <c r="E11780"/>
    </row>
    <row r="11781" spans="5:5">
      <c r="E11781"/>
    </row>
    <row r="11782" spans="5:5">
      <c r="E11782"/>
    </row>
    <row r="11783" spans="5:5">
      <c r="E11783"/>
    </row>
    <row r="11784" spans="5:5">
      <c r="E11784"/>
    </row>
    <row r="11785" spans="5:5">
      <c r="E11785"/>
    </row>
    <row r="11786" spans="5:5">
      <c r="E11786"/>
    </row>
    <row r="11787" spans="5:5">
      <c r="E11787"/>
    </row>
    <row r="11788" spans="5:5">
      <c r="E11788"/>
    </row>
    <row r="11789" spans="5:5">
      <c r="E11789"/>
    </row>
    <row r="11790" spans="5:5">
      <c r="E11790"/>
    </row>
    <row r="11791" spans="5:5">
      <c r="E11791"/>
    </row>
    <row r="11792" spans="5:5">
      <c r="E11792"/>
    </row>
    <row r="11793" spans="5:5">
      <c r="E11793"/>
    </row>
    <row r="11794" spans="5:5">
      <c r="E11794"/>
    </row>
    <row r="11795" spans="5:5">
      <c r="E11795"/>
    </row>
    <row r="11796" spans="5:5">
      <c r="E11796"/>
    </row>
    <row r="11797" spans="5:5">
      <c r="E11797"/>
    </row>
    <row r="11798" spans="5:5">
      <c r="E11798"/>
    </row>
    <row r="11799" spans="5:5">
      <c r="E11799"/>
    </row>
    <row r="11800" spans="5:5">
      <c r="E11800"/>
    </row>
    <row r="11801" spans="5:5">
      <c r="E11801"/>
    </row>
    <row r="11802" spans="5:5">
      <c r="E11802"/>
    </row>
    <row r="11803" spans="5:5">
      <c r="E11803"/>
    </row>
    <row r="11804" spans="5:5">
      <c r="E11804"/>
    </row>
    <row r="11805" spans="5:5">
      <c r="E11805"/>
    </row>
    <row r="11806" spans="5:5">
      <c r="E11806"/>
    </row>
    <row r="11807" spans="5:5">
      <c r="E11807"/>
    </row>
    <row r="11808" spans="5:5">
      <c r="E11808"/>
    </row>
    <row r="11809" spans="5:5">
      <c r="E11809"/>
    </row>
    <row r="11810" spans="5:5">
      <c r="E11810"/>
    </row>
    <row r="11811" spans="5:5">
      <c r="E11811"/>
    </row>
    <row r="11812" spans="5:5">
      <c r="E11812"/>
    </row>
    <row r="11813" spans="5:5">
      <c r="E11813"/>
    </row>
    <row r="11814" spans="5:5">
      <c r="E11814"/>
    </row>
    <row r="11815" spans="5:5">
      <c r="E11815"/>
    </row>
    <row r="11816" spans="5:5">
      <c r="E11816"/>
    </row>
    <row r="11817" spans="5:5">
      <c r="E11817"/>
    </row>
    <row r="11818" spans="5:5">
      <c r="E11818"/>
    </row>
    <row r="11819" spans="5:5">
      <c r="E11819"/>
    </row>
    <row r="11820" spans="5:5">
      <c r="E11820"/>
    </row>
    <row r="11821" spans="5:5">
      <c r="E11821"/>
    </row>
    <row r="11822" spans="5:5">
      <c r="E11822"/>
    </row>
    <row r="11823" spans="5:5">
      <c r="E11823"/>
    </row>
    <row r="11824" spans="5:5">
      <c r="E11824"/>
    </row>
    <row r="11825" spans="5:5">
      <c r="E11825"/>
    </row>
    <row r="11826" spans="5:5">
      <c r="E11826"/>
    </row>
    <row r="11827" spans="5:5">
      <c r="E11827"/>
    </row>
    <row r="11828" spans="5:5">
      <c r="E11828"/>
    </row>
    <row r="11829" spans="5:5">
      <c r="E11829"/>
    </row>
    <row r="11830" spans="5:5">
      <c r="E11830"/>
    </row>
    <row r="11831" spans="5:5">
      <c r="E11831"/>
    </row>
    <row r="11832" spans="5:5">
      <c r="E11832"/>
    </row>
    <row r="11833" spans="5:5">
      <c r="E11833"/>
    </row>
    <row r="11834" spans="5:5">
      <c r="E11834"/>
    </row>
    <row r="11835" spans="5:5">
      <c r="E11835"/>
    </row>
    <row r="11836" spans="5:5">
      <c r="E11836"/>
    </row>
    <row r="11837" spans="5:5">
      <c r="E11837"/>
    </row>
    <row r="11838" spans="5:5">
      <c r="E11838"/>
    </row>
    <row r="11839" spans="5:5">
      <c r="E11839"/>
    </row>
    <row r="11840" spans="5:5">
      <c r="E11840"/>
    </row>
    <row r="11841" spans="5:5">
      <c r="E11841"/>
    </row>
    <row r="11842" spans="5:5">
      <c r="E11842"/>
    </row>
    <row r="11843" spans="5:5">
      <c r="E11843"/>
    </row>
    <row r="11844" spans="5:5">
      <c r="E11844"/>
    </row>
    <row r="11845" spans="5:5">
      <c r="E11845"/>
    </row>
    <row r="11846" spans="5:5">
      <c r="E11846"/>
    </row>
    <row r="11847" spans="5:5">
      <c r="E11847"/>
    </row>
    <row r="11848" spans="5:5">
      <c r="E11848"/>
    </row>
    <row r="11849" spans="5:5">
      <c r="E11849"/>
    </row>
    <row r="11850" spans="5:5">
      <c r="E11850"/>
    </row>
    <row r="11851" spans="5:5">
      <c r="E11851"/>
    </row>
    <row r="11852" spans="5:5">
      <c r="E11852"/>
    </row>
    <row r="11853" spans="5:5">
      <c r="E11853"/>
    </row>
    <row r="11854" spans="5:5">
      <c r="E11854"/>
    </row>
    <row r="11855" spans="5:5">
      <c r="E11855"/>
    </row>
    <row r="11856" spans="5:5">
      <c r="E11856"/>
    </row>
    <row r="11857" spans="5:5">
      <c r="E11857"/>
    </row>
    <row r="11858" spans="5:5">
      <c r="E11858"/>
    </row>
    <row r="11859" spans="5:5">
      <c r="E11859"/>
    </row>
    <row r="11860" spans="5:5">
      <c r="E11860"/>
    </row>
    <row r="11861" spans="5:5">
      <c r="E11861"/>
    </row>
    <row r="11862" spans="5:5">
      <c r="E11862"/>
    </row>
    <row r="11863" spans="5:5">
      <c r="E11863"/>
    </row>
    <row r="11864" spans="5:5">
      <c r="E11864"/>
    </row>
    <row r="11865" spans="5:5">
      <c r="E11865"/>
    </row>
    <row r="11866" spans="5:5">
      <c r="E11866"/>
    </row>
    <row r="11867" spans="5:5">
      <c r="E11867"/>
    </row>
    <row r="11868" spans="5:5">
      <c r="E11868"/>
    </row>
    <row r="11869" spans="5:5">
      <c r="E11869"/>
    </row>
    <row r="11870" spans="5:5">
      <c r="E11870"/>
    </row>
    <row r="11871" spans="5:5">
      <c r="E11871"/>
    </row>
    <row r="11872" spans="5:5">
      <c r="E11872"/>
    </row>
    <row r="11873" spans="5:5">
      <c r="E11873"/>
    </row>
    <row r="11874" spans="5:5">
      <c r="E11874"/>
    </row>
    <row r="11875" spans="5:5">
      <c r="E11875"/>
    </row>
    <row r="11876" spans="5:5">
      <c r="E11876"/>
    </row>
    <row r="11877" spans="5:5">
      <c r="E11877"/>
    </row>
    <row r="11878" spans="5:5">
      <c r="E11878"/>
    </row>
    <row r="11879" spans="5:5">
      <c r="E11879"/>
    </row>
    <row r="11880" spans="5:5">
      <c r="E11880"/>
    </row>
    <row r="11881" spans="5:5">
      <c r="E11881"/>
    </row>
    <row r="11882" spans="5:5">
      <c r="E11882"/>
    </row>
    <row r="11883" spans="5:5">
      <c r="E11883"/>
    </row>
    <row r="11884" spans="5:5">
      <c r="E11884"/>
    </row>
    <row r="11885" spans="5:5">
      <c r="E11885"/>
    </row>
    <row r="11886" spans="5:5">
      <c r="E11886"/>
    </row>
    <row r="11887" spans="5:5">
      <c r="E11887"/>
    </row>
    <row r="11888" spans="5:5">
      <c r="E11888"/>
    </row>
    <row r="11889" spans="5:5">
      <c r="E11889"/>
    </row>
    <row r="11890" spans="5:5">
      <c r="E11890"/>
    </row>
    <row r="11891" spans="5:5">
      <c r="E11891"/>
    </row>
    <row r="11892" spans="5:5">
      <c r="E11892"/>
    </row>
    <row r="11893" spans="5:5">
      <c r="E11893"/>
    </row>
    <row r="11894" spans="5:5">
      <c r="E11894"/>
    </row>
    <row r="11895" spans="5:5">
      <c r="E11895"/>
    </row>
    <row r="11896" spans="5:5">
      <c r="E11896"/>
    </row>
    <row r="11897" spans="5:5">
      <c r="E11897"/>
    </row>
    <row r="11898" spans="5:5">
      <c r="E11898"/>
    </row>
    <row r="11899" spans="5:5">
      <c r="E11899"/>
    </row>
    <row r="11900" spans="5:5">
      <c r="E11900"/>
    </row>
    <row r="11901" spans="5:5">
      <c r="E11901"/>
    </row>
    <row r="11902" spans="5:5">
      <c r="E11902"/>
    </row>
    <row r="11903" spans="5:5">
      <c r="E11903"/>
    </row>
    <row r="11904" spans="5:5">
      <c r="E11904"/>
    </row>
    <row r="11905" spans="5:5">
      <c r="E11905"/>
    </row>
    <row r="11906" spans="5:5">
      <c r="E11906"/>
    </row>
    <row r="11907" spans="5:5">
      <c r="E11907"/>
    </row>
    <row r="11908" spans="5:5">
      <c r="E11908"/>
    </row>
    <row r="11909" spans="5:5">
      <c r="E11909"/>
    </row>
    <row r="11910" spans="5:5">
      <c r="E11910"/>
    </row>
    <row r="11911" spans="5:5">
      <c r="E11911"/>
    </row>
    <row r="11912" spans="5:5">
      <c r="E11912"/>
    </row>
    <row r="11913" spans="5:5">
      <c r="E11913"/>
    </row>
    <row r="11914" spans="5:5">
      <c r="E11914"/>
    </row>
    <row r="11915" spans="5:5">
      <c r="E11915"/>
    </row>
    <row r="11916" spans="5:5">
      <c r="E11916"/>
    </row>
    <row r="11917" spans="5:5">
      <c r="E11917"/>
    </row>
    <row r="11918" spans="5:5">
      <c r="E11918"/>
    </row>
    <row r="11919" spans="5:5">
      <c r="E11919"/>
    </row>
    <row r="11920" spans="5:5">
      <c r="E11920"/>
    </row>
    <row r="11921" spans="5:5">
      <c r="E11921"/>
    </row>
    <row r="11922" spans="5:5">
      <c r="E11922"/>
    </row>
    <row r="11923" spans="5:5">
      <c r="E11923"/>
    </row>
    <row r="11924" spans="5:5">
      <c r="E11924"/>
    </row>
    <row r="11925" spans="5:5">
      <c r="E11925"/>
    </row>
    <row r="11926" spans="5:5">
      <c r="E11926"/>
    </row>
    <row r="11927" spans="5:5">
      <c r="E11927"/>
    </row>
    <row r="11928" spans="5:5">
      <c r="E11928"/>
    </row>
    <row r="11929" spans="5:5">
      <c r="E11929"/>
    </row>
    <row r="11930" spans="5:5">
      <c r="E11930"/>
    </row>
    <row r="11931" spans="5:5">
      <c r="E11931"/>
    </row>
    <row r="11932" spans="5:5">
      <c r="E11932"/>
    </row>
    <row r="11933" spans="5:5">
      <c r="E11933"/>
    </row>
    <row r="11934" spans="5:5">
      <c r="E11934"/>
    </row>
    <row r="11935" spans="5:5">
      <c r="E11935"/>
    </row>
    <row r="11936" spans="5:5">
      <c r="E11936"/>
    </row>
    <row r="11937" spans="5:5">
      <c r="E11937"/>
    </row>
    <row r="11938" spans="5:5">
      <c r="E11938"/>
    </row>
    <row r="11939" spans="5:5">
      <c r="E11939"/>
    </row>
    <row r="11940" spans="5:5">
      <c r="E11940"/>
    </row>
    <row r="11941" spans="5:5">
      <c r="E11941"/>
    </row>
    <row r="11942" spans="5:5">
      <c r="E11942"/>
    </row>
    <row r="11943" spans="5:5">
      <c r="E11943"/>
    </row>
    <row r="11944" spans="5:5">
      <c r="E11944"/>
    </row>
    <row r="11945" spans="5:5">
      <c r="E11945"/>
    </row>
    <row r="11946" spans="5:5">
      <c r="E11946"/>
    </row>
    <row r="11947" spans="5:5">
      <c r="E11947"/>
    </row>
    <row r="11948" spans="5:5">
      <c r="E11948"/>
    </row>
    <row r="11949" spans="5:5">
      <c r="E11949"/>
    </row>
    <row r="11950" spans="5:5">
      <c r="E11950"/>
    </row>
    <row r="11951" spans="5:5">
      <c r="E11951"/>
    </row>
    <row r="11952" spans="5:5">
      <c r="E11952"/>
    </row>
    <row r="11953" spans="5:5">
      <c r="E11953"/>
    </row>
    <row r="11954" spans="5:5">
      <c r="E11954"/>
    </row>
    <row r="11955" spans="5:5">
      <c r="E11955"/>
    </row>
    <row r="11956" spans="5:5">
      <c r="E11956"/>
    </row>
    <row r="11957" spans="5:5">
      <c r="E11957"/>
    </row>
    <row r="11958" spans="5:5">
      <c r="E11958"/>
    </row>
    <row r="11959" spans="5:5">
      <c r="E11959"/>
    </row>
    <row r="11960" spans="5:5">
      <c r="E11960"/>
    </row>
    <row r="11961" spans="5:5">
      <c r="E11961"/>
    </row>
    <row r="11962" spans="5:5">
      <c r="E11962"/>
    </row>
    <row r="11963" spans="5:5">
      <c r="E11963"/>
    </row>
    <row r="11964" spans="5:5">
      <c r="E11964"/>
    </row>
    <row r="11965" spans="5:5">
      <c r="E11965"/>
    </row>
    <row r="11966" spans="5:5">
      <c r="E11966"/>
    </row>
    <row r="11967" spans="5:5">
      <c r="E11967"/>
    </row>
    <row r="11968" spans="5:5">
      <c r="E11968"/>
    </row>
    <row r="11969" spans="5:5">
      <c r="E11969"/>
    </row>
    <row r="11970" spans="5:5">
      <c r="E11970"/>
    </row>
    <row r="11971" spans="5:5">
      <c r="E11971"/>
    </row>
    <row r="11972" spans="5:5">
      <c r="E11972"/>
    </row>
    <row r="11973" spans="5:5">
      <c r="E11973"/>
    </row>
    <row r="11974" spans="5:5">
      <c r="E11974"/>
    </row>
    <row r="11975" spans="5:5">
      <c r="E11975"/>
    </row>
    <row r="11976" spans="5:5">
      <c r="E11976"/>
    </row>
    <row r="11977" spans="5:5">
      <c r="E11977"/>
    </row>
    <row r="11978" spans="5:5">
      <c r="E11978"/>
    </row>
    <row r="11979" spans="5:5">
      <c r="E11979"/>
    </row>
    <row r="11980" spans="5:5">
      <c r="E11980"/>
    </row>
    <row r="11981" spans="5:5">
      <c r="E11981"/>
    </row>
    <row r="11982" spans="5:5">
      <c r="E11982"/>
    </row>
    <row r="11983" spans="5:5">
      <c r="E11983"/>
    </row>
    <row r="11984" spans="5:5">
      <c r="E11984"/>
    </row>
    <row r="11985" spans="5:5">
      <c r="E11985"/>
    </row>
    <row r="11986" spans="5:5">
      <c r="E11986"/>
    </row>
    <row r="11987" spans="5:5">
      <c r="E11987"/>
    </row>
    <row r="11988" spans="5:5">
      <c r="E11988"/>
    </row>
    <row r="11989" spans="5:5">
      <c r="E11989"/>
    </row>
    <row r="11990" spans="5:5">
      <c r="E11990"/>
    </row>
    <row r="11991" spans="5:5">
      <c r="E11991"/>
    </row>
    <row r="11992" spans="5:5">
      <c r="E11992"/>
    </row>
    <row r="11993" spans="5:5">
      <c r="E11993"/>
    </row>
    <row r="11994" spans="5:5">
      <c r="E11994"/>
    </row>
    <row r="11995" spans="5:5">
      <c r="E11995"/>
    </row>
    <row r="11996" spans="5:5">
      <c r="E11996"/>
    </row>
    <row r="11997" spans="5:5">
      <c r="E11997"/>
    </row>
    <row r="11998" spans="5:5">
      <c r="E11998"/>
    </row>
    <row r="11999" spans="5:5">
      <c r="E11999"/>
    </row>
    <row r="12000" spans="5:5">
      <c r="E12000"/>
    </row>
    <row r="12001" spans="5:5">
      <c r="E12001"/>
    </row>
    <row r="12002" spans="5:5">
      <c r="E12002"/>
    </row>
    <row r="12003" spans="5:5">
      <c r="E12003"/>
    </row>
    <row r="12004" spans="5:5">
      <c r="E12004"/>
    </row>
    <row r="12005" spans="5:5">
      <c r="E12005"/>
    </row>
    <row r="12006" spans="5:5">
      <c r="E12006"/>
    </row>
    <row r="12007" spans="5:5">
      <c r="E12007"/>
    </row>
    <row r="12008" spans="5:5">
      <c r="E12008"/>
    </row>
    <row r="12009" spans="5:5">
      <c r="E12009"/>
    </row>
    <row r="12010" spans="5:5">
      <c r="E12010"/>
    </row>
    <row r="12011" spans="5:5">
      <c r="E12011"/>
    </row>
    <row r="12012" spans="5:5">
      <c r="E12012"/>
    </row>
    <row r="12013" spans="5:5">
      <c r="E12013"/>
    </row>
    <row r="12014" spans="5:5">
      <c r="E12014"/>
    </row>
    <row r="12015" spans="5:5">
      <c r="E12015"/>
    </row>
    <row r="12016" spans="5:5">
      <c r="E12016"/>
    </row>
    <row r="12017" spans="5:5">
      <c r="E12017"/>
    </row>
    <row r="12018" spans="5:5">
      <c r="E12018"/>
    </row>
    <row r="12019" spans="5:5">
      <c r="E12019"/>
    </row>
    <row r="12020" spans="5:5">
      <c r="E12020"/>
    </row>
    <row r="12021" spans="5:5">
      <c r="E12021"/>
    </row>
    <row r="12022" spans="5:5">
      <c r="E12022"/>
    </row>
    <row r="12023" spans="5:5">
      <c r="E12023"/>
    </row>
    <row r="12024" spans="5:5">
      <c r="E12024"/>
    </row>
    <row r="12025" spans="5:5">
      <c r="E12025"/>
    </row>
    <row r="12026" spans="5:5">
      <c r="E12026"/>
    </row>
    <row r="12027" spans="5:5">
      <c r="E12027"/>
    </row>
    <row r="12028" spans="5:5">
      <c r="E12028"/>
    </row>
    <row r="12029" spans="5:5">
      <c r="E12029"/>
    </row>
    <row r="12030" spans="5:5">
      <c r="E12030"/>
    </row>
    <row r="12031" spans="5:5">
      <c r="E12031"/>
    </row>
    <row r="12032" spans="5:5">
      <c r="E12032"/>
    </row>
    <row r="12033" spans="5:5">
      <c r="E12033"/>
    </row>
    <row r="12034" spans="5:5">
      <c r="E12034"/>
    </row>
    <row r="12035" spans="5:5">
      <c r="E12035"/>
    </row>
    <row r="12036" spans="5:5">
      <c r="E12036"/>
    </row>
    <row r="12037" spans="5:5">
      <c r="E12037"/>
    </row>
    <row r="12038" spans="5:5">
      <c r="E12038"/>
    </row>
    <row r="12039" spans="5:5">
      <c r="E12039"/>
    </row>
    <row r="12040" spans="5:5">
      <c r="E12040"/>
    </row>
    <row r="12041" spans="5:5">
      <c r="E12041"/>
    </row>
    <row r="12042" spans="5:5">
      <c r="E12042"/>
    </row>
    <row r="12043" spans="5:5">
      <c r="E12043"/>
    </row>
    <row r="12044" spans="5:5">
      <c r="E12044"/>
    </row>
    <row r="12045" spans="5:5">
      <c r="E12045"/>
    </row>
    <row r="12046" spans="5:5">
      <c r="E12046"/>
    </row>
    <row r="12047" spans="5:5">
      <c r="E12047"/>
    </row>
    <row r="12048" spans="5:5">
      <c r="E12048"/>
    </row>
    <row r="12049" spans="5:5">
      <c r="E12049"/>
    </row>
    <row r="12050" spans="5:5">
      <c r="E12050"/>
    </row>
    <row r="12051" spans="5:5">
      <c r="E12051"/>
    </row>
    <row r="12052" spans="5:5">
      <c r="E12052"/>
    </row>
    <row r="12053" spans="5:5">
      <c r="E12053"/>
    </row>
    <row r="12054" spans="5:5">
      <c r="E12054"/>
    </row>
    <row r="12055" spans="5:5">
      <c r="E12055"/>
    </row>
    <row r="12056" spans="5:5">
      <c r="E12056"/>
    </row>
    <row r="12057" spans="5:5">
      <c r="E12057"/>
    </row>
    <row r="12058" spans="5:5">
      <c r="E12058"/>
    </row>
    <row r="12059" spans="5:5">
      <c r="E12059"/>
    </row>
    <row r="12060" spans="5:5">
      <c r="E12060"/>
    </row>
    <row r="12061" spans="5:5">
      <c r="E12061"/>
    </row>
    <row r="12062" spans="5:5">
      <c r="E12062"/>
    </row>
    <row r="12063" spans="5:5">
      <c r="E12063"/>
    </row>
    <row r="12064" spans="5:5">
      <c r="E12064"/>
    </row>
    <row r="12065" spans="5:5">
      <c r="E12065"/>
    </row>
    <row r="12066" spans="5:5">
      <c r="E12066"/>
    </row>
    <row r="12067" spans="5:5">
      <c r="E12067"/>
    </row>
    <row r="12068" spans="5:5">
      <c r="E12068"/>
    </row>
    <row r="12069" spans="5:5">
      <c r="E12069"/>
    </row>
    <row r="12070" spans="5:5">
      <c r="E12070"/>
    </row>
    <row r="12071" spans="5:5">
      <c r="E12071"/>
    </row>
    <row r="12072" spans="5:5">
      <c r="E12072"/>
    </row>
    <row r="12073" spans="5:5">
      <c r="E12073"/>
    </row>
    <row r="12074" spans="5:5">
      <c r="E12074"/>
    </row>
    <row r="12075" spans="5:5">
      <c r="E12075"/>
    </row>
    <row r="12076" spans="5:5">
      <c r="E12076"/>
    </row>
    <row r="12077" spans="5:5">
      <c r="E12077"/>
    </row>
    <row r="12078" spans="5:5">
      <c r="E12078"/>
    </row>
    <row r="12079" spans="5:5">
      <c r="E12079"/>
    </row>
    <row r="12080" spans="5:5">
      <c r="E12080"/>
    </row>
    <row r="12081" spans="5:5">
      <c r="E12081"/>
    </row>
    <row r="12082" spans="5:5">
      <c r="E12082"/>
    </row>
    <row r="12083" spans="5:5">
      <c r="E12083"/>
    </row>
    <row r="12084" spans="5:5">
      <c r="E12084"/>
    </row>
    <row r="12085" spans="5:5">
      <c r="E12085"/>
    </row>
    <row r="12086" spans="5:5">
      <c r="E12086"/>
    </row>
    <row r="12087" spans="5:5">
      <c r="E12087"/>
    </row>
    <row r="12088" spans="5:5">
      <c r="E12088"/>
    </row>
    <row r="12089" spans="5:5">
      <c r="E12089"/>
    </row>
    <row r="12090" spans="5:5">
      <c r="E12090"/>
    </row>
    <row r="12091" spans="5:5">
      <c r="E12091"/>
    </row>
    <row r="12092" spans="5:5">
      <c r="E12092"/>
    </row>
    <row r="12093" spans="5:5">
      <c r="E12093"/>
    </row>
    <row r="12094" spans="5:5">
      <c r="E12094"/>
    </row>
    <row r="12095" spans="5:5">
      <c r="E12095"/>
    </row>
    <row r="12096" spans="5:5">
      <c r="E12096"/>
    </row>
    <row r="12097" spans="5:5">
      <c r="E12097"/>
    </row>
    <row r="12098" spans="5:5">
      <c r="E12098"/>
    </row>
    <row r="12099" spans="5:5">
      <c r="E12099"/>
    </row>
    <row r="12100" spans="5:5">
      <c r="E12100"/>
    </row>
    <row r="12101" spans="5:5">
      <c r="E12101"/>
    </row>
    <row r="12102" spans="5:5">
      <c r="E12102"/>
    </row>
    <row r="12103" spans="5:5">
      <c r="E12103"/>
    </row>
    <row r="12104" spans="5:5">
      <c r="E12104"/>
    </row>
    <row r="12105" spans="5:5">
      <c r="E12105"/>
    </row>
    <row r="12106" spans="5:5">
      <c r="E12106"/>
    </row>
    <row r="12107" spans="5:5">
      <c r="E12107"/>
    </row>
    <row r="12108" spans="5:5">
      <c r="E12108"/>
    </row>
    <row r="12109" spans="5:5">
      <c r="E12109"/>
    </row>
    <row r="12110" spans="5:5">
      <c r="E12110"/>
    </row>
    <row r="12111" spans="5:5">
      <c r="E12111"/>
    </row>
    <row r="12112" spans="5:5">
      <c r="E12112"/>
    </row>
    <row r="12113" spans="5:5">
      <c r="E12113"/>
    </row>
    <row r="12114" spans="5:5">
      <c r="E12114"/>
    </row>
    <row r="12115" spans="5:5">
      <c r="E12115"/>
    </row>
    <row r="12116" spans="5:5">
      <c r="E12116"/>
    </row>
    <row r="12117" spans="5:5">
      <c r="E12117"/>
    </row>
    <row r="12118" spans="5:5">
      <c r="E12118"/>
    </row>
    <row r="12119" spans="5:5">
      <c r="E12119"/>
    </row>
    <row r="12120" spans="5:5">
      <c r="E12120"/>
    </row>
    <row r="12121" spans="5:5">
      <c r="E12121"/>
    </row>
    <row r="12122" spans="5:5">
      <c r="E12122"/>
    </row>
    <row r="12123" spans="5:5">
      <c r="E12123"/>
    </row>
    <row r="12124" spans="5:5">
      <c r="E12124"/>
    </row>
    <row r="12125" spans="5:5">
      <c r="E12125"/>
    </row>
    <row r="12126" spans="5:5">
      <c r="E12126"/>
    </row>
    <row r="12127" spans="5:5">
      <c r="E12127"/>
    </row>
    <row r="12128" spans="5:5">
      <c r="E12128"/>
    </row>
    <row r="12129" spans="5:5">
      <c r="E12129"/>
    </row>
    <row r="12130" spans="5:5">
      <c r="E12130"/>
    </row>
    <row r="12131" spans="5:5">
      <c r="E12131"/>
    </row>
    <row r="12132" spans="5:5">
      <c r="E12132"/>
    </row>
    <row r="12133" spans="5:5">
      <c r="E12133"/>
    </row>
    <row r="12134" spans="5:5">
      <c r="E12134"/>
    </row>
    <row r="12135" spans="5:5">
      <c r="E12135"/>
    </row>
    <row r="12136" spans="5:5">
      <c r="E12136"/>
    </row>
    <row r="12137" spans="5:5">
      <c r="E12137"/>
    </row>
    <row r="12138" spans="5:5">
      <c r="E12138"/>
    </row>
    <row r="12139" spans="5:5">
      <c r="E12139"/>
    </row>
    <row r="12140" spans="5:5">
      <c r="E12140"/>
    </row>
    <row r="12141" spans="5:5">
      <c r="E12141"/>
    </row>
    <row r="12142" spans="5:5">
      <c r="E12142"/>
    </row>
    <row r="12143" spans="5:5">
      <c r="E12143"/>
    </row>
    <row r="12144" spans="5:5">
      <c r="E12144"/>
    </row>
    <row r="12145" spans="5:5">
      <c r="E12145"/>
    </row>
    <row r="12146" spans="5:5">
      <c r="E12146"/>
    </row>
    <row r="12147" spans="5:5">
      <c r="E12147"/>
    </row>
    <row r="12148" spans="5:5">
      <c r="E12148"/>
    </row>
    <row r="12149" spans="5:5">
      <c r="E12149"/>
    </row>
    <row r="12150" spans="5:5">
      <c r="E12150"/>
    </row>
    <row r="12151" spans="5:5">
      <c r="E12151"/>
    </row>
    <row r="12152" spans="5:5">
      <c r="E12152"/>
    </row>
    <row r="12153" spans="5:5">
      <c r="E12153"/>
    </row>
    <row r="12154" spans="5:5">
      <c r="E12154"/>
    </row>
    <row r="12155" spans="5:5">
      <c r="E12155"/>
    </row>
    <row r="12156" spans="5:5">
      <c r="E12156"/>
    </row>
    <row r="12157" spans="5:5">
      <c r="E12157"/>
    </row>
    <row r="12158" spans="5:5">
      <c r="E12158"/>
    </row>
    <row r="12159" spans="5:5">
      <c r="E12159"/>
    </row>
    <row r="12160" spans="5:5">
      <c r="E12160"/>
    </row>
    <row r="12161" spans="5:5">
      <c r="E12161"/>
    </row>
    <row r="12162" spans="5:5">
      <c r="E12162"/>
    </row>
    <row r="12163" spans="5:5">
      <c r="E12163"/>
    </row>
    <row r="12164" spans="5:5">
      <c r="E12164"/>
    </row>
    <row r="12165" spans="5:5">
      <c r="E12165"/>
    </row>
    <row r="12166" spans="5:5">
      <c r="E12166"/>
    </row>
    <row r="12167" spans="5:5">
      <c r="E12167"/>
    </row>
    <row r="12168" spans="5:5">
      <c r="E12168"/>
    </row>
    <row r="12169" spans="5:5">
      <c r="E12169"/>
    </row>
    <row r="12170" spans="5:5">
      <c r="E12170"/>
    </row>
    <row r="12171" spans="5:5">
      <c r="E12171"/>
    </row>
    <row r="12172" spans="5:5">
      <c r="E12172"/>
    </row>
    <row r="12173" spans="5:5">
      <c r="E12173"/>
    </row>
    <row r="12174" spans="5:5">
      <c r="E12174"/>
    </row>
    <row r="12175" spans="5:5">
      <c r="E12175"/>
    </row>
    <row r="12176" spans="5:5">
      <c r="E12176"/>
    </row>
    <row r="12177" spans="5:5">
      <c r="E12177"/>
    </row>
    <row r="12178" spans="5:5">
      <c r="E12178"/>
    </row>
    <row r="12179" spans="5:5">
      <c r="E12179"/>
    </row>
    <row r="12180" spans="5:5">
      <c r="E12180"/>
    </row>
    <row r="12181" spans="5:5">
      <c r="E12181"/>
    </row>
    <row r="12182" spans="5:5">
      <c r="E12182"/>
    </row>
    <row r="12183" spans="5:5">
      <c r="E12183"/>
    </row>
    <row r="12184" spans="5:5">
      <c r="E12184"/>
    </row>
    <row r="12185" spans="5:5">
      <c r="E12185"/>
    </row>
    <row r="12186" spans="5:5">
      <c r="E12186"/>
    </row>
    <row r="12187" spans="5:5">
      <c r="E12187"/>
    </row>
    <row r="12188" spans="5:5">
      <c r="E12188"/>
    </row>
    <row r="12189" spans="5:5">
      <c r="E12189"/>
    </row>
    <row r="12190" spans="5:5">
      <c r="E12190"/>
    </row>
    <row r="12191" spans="5:5">
      <c r="E12191"/>
    </row>
    <row r="12192" spans="5:5">
      <c r="E12192"/>
    </row>
    <row r="12193" spans="5:5">
      <c r="E12193"/>
    </row>
    <row r="12194" spans="5:5">
      <c r="E12194"/>
    </row>
    <row r="12195" spans="5:5">
      <c r="E12195"/>
    </row>
    <row r="12196" spans="5:5">
      <c r="E12196"/>
    </row>
    <row r="12197" spans="5:5">
      <c r="E12197"/>
    </row>
    <row r="12198" spans="5:5">
      <c r="E12198"/>
    </row>
    <row r="12199" spans="5:5">
      <c r="E12199"/>
    </row>
    <row r="12200" spans="5:5">
      <c r="E12200"/>
    </row>
    <row r="12201" spans="5:5">
      <c r="E12201"/>
    </row>
    <row r="12202" spans="5:5">
      <c r="E12202"/>
    </row>
    <row r="12203" spans="5:5">
      <c r="E12203"/>
    </row>
    <row r="12204" spans="5:5">
      <c r="E12204"/>
    </row>
    <row r="12205" spans="5:5">
      <c r="E12205"/>
    </row>
    <row r="12206" spans="5:5">
      <c r="E12206"/>
    </row>
    <row r="12207" spans="5:5">
      <c r="E12207"/>
    </row>
    <row r="12208" spans="5:5">
      <c r="E12208"/>
    </row>
    <row r="12209" spans="5:5">
      <c r="E12209"/>
    </row>
    <row r="12210" spans="5:5">
      <c r="E12210"/>
    </row>
    <row r="12211" spans="5:5">
      <c r="E12211"/>
    </row>
    <row r="12212" spans="5:5">
      <c r="E12212"/>
    </row>
    <row r="12213" spans="5:5">
      <c r="E12213"/>
    </row>
    <row r="12214" spans="5:5">
      <c r="E12214"/>
    </row>
    <row r="12215" spans="5:5">
      <c r="E12215"/>
    </row>
    <row r="12216" spans="5:5">
      <c r="E12216"/>
    </row>
    <row r="12217" spans="5:5">
      <c r="E12217"/>
    </row>
    <row r="12218" spans="5:5">
      <c r="E12218"/>
    </row>
    <row r="12219" spans="5:5">
      <c r="E12219"/>
    </row>
    <row r="12220" spans="5:5">
      <c r="E12220"/>
    </row>
    <row r="12221" spans="5:5">
      <c r="E12221"/>
    </row>
    <row r="12222" spans="5:5">
      <c r="E12222"/>
    </row>
    <row r="12223" spans="5:5">
      <c r="E12223"/>
    </row>
    <row r="12224" spans="5:5">
      <c r="E12224"/>
    </row>
    <row r="12225" spans="5:5">
      <c r="E12225"/>
    </row>
    <row r="12226" spans="5:5">
      <c r="E12226"/>
    </row>
    <row r="12227" spans="5:5">
      <c r="E12227"/>
    </row>
    <row r="12228" spans="5:5">
      <c r="E12228"/>
    </row>
    <row r="12229" spans="5:5">
      <c r="E12229"/>
    </row>
    <row r="12230" spans="5:5">
      <c r="E12230"/>
    </row>
    <row r="12231" spans="5:5">
      <c r="E12231"/>
    </row>
    <row r="12232" spans="5:5">
      <c r="E12232"/>
    </row>
    <row r="12233" spans="5:5">
      <c r="E12233"/>
    </row>
    <row r="12234" spans="5:5">
      <c r="E12234"/>
    </row>
    <row r="12235" spans="5:5">
      <c r="E12235"/>
    </row>
    <row r="12236" spans="5:5">
      <c r="E12236"/>
    </row>
    <row r="12237" spans="5:5">
      <c r="E12237"/>
    </row>
    <row r="12238" spans="5:5">
      <c r="E12238"/>
    </row>
    <row r="12239" spans="5:5">
      <c r="E12239"/>
    </row>
    <row r="12240" spans="5:5">
      <c r="E12240"/>
    </row>
    <row r="12241" spans="5:5">
      <c r="E12241"/>
    </row>
    <row r="12242" spans="5:5">
      <c r="E12242"/>
    </row>
    <row r="12243" spans="5:5">
      <c r="E12243"/>
    </row>
    <row r="12244" spans="5:5">
      <c r="E12244"/>
    </row>
    <row r="12245" spans="5:5">
      <c r="E12245"/>
    </row>
    <row r="12246" spans="5:5">
      <c r="E12246"/>
    </row>
    <row r="12247" spans="5:5">
      <c r="E12247"/>
    </row>
    <row r="12248" spans="5:5">
      <c r="E12248"/>
    </row>
    <row r="12249" spans="5:5">
      <c r="E12249"/>
    </row>
    <row r="12250" spans="5:5">
      <c r="E12250"/>
    </row>
    <row r="12251" spans="5:5">
      <c r="E12251"/>
    </row>
    <row r="12252" spans="5:5">
      <c r="E12252"/>
    </row>
    <row r="12253" spans="5:5">
      <c r="E12253"/>
    </row>
    <row r="12254" spans="5:5">
      <c r="E12254"/>
    </row>
    <row r="12255" spans="5:5">
      <c r="E12255"/>
    </row>
    <row r="12256" spans="5:5">
      <c r="E12256"/>
    </row>
    <row r="12257" spans="5:5">
      <c r="E12257"/>
    </row>
    <row r="12258" spans="5:5">
      <c r="E12258"/>
    </row>
    <row r="12259" spans="5:5">
      <c r="E12259"/>
    </row>
    <row r="12260" spans="5:5">
      <c r="E12260"/>
    </row>
    <row r="12261" spans="5:5">
      <c r="E12261"/>
    </row>
    <row r="12262" spans="5:5">
      <c r="E12262"/>
    </row>
    <row r="12263" spans="5:5">
      <c r="E12263"/>
    </row>
    <row r="12264" spans="5:5">
      <c r="E12264"/>
    </row>
    <row r="12265" spans="5:5">
      <c r="E12265"/>
    </row>
    <row r="12266" spans="5:5">
      <c r="E12266"/>
    </row>
    <row r="12267" spans="5:5">
      <c r="E12267"/>
    </row>
    <row r="12268" spans="5:5">
      <c r="E12268"/>
    </row>
    <row r="12269" spans="5:5">
      <c r="E12269"/>
    </row>
    <row r="12270" spans="5:5">
      <c r="E12270"/>
    </row>
    <row r="12271" spans="5:5">
      <c r="E12271"/>
    </row>
    <row r="12272" spans="5:5">
      <c r="E12272"/>
    </row>
    <row r="12273" spans="5:5">
      <c r="E12273"/>
    </row>
    <row r="12274" spans="5:5">
      <c r="E12274"/>
    </row>
    <row r="12275" spans="5:5">
      <c r="E12275"/>
    </row>
    <row r="12276" spans="5:5">
      <c r="E12276"/>
    </row>
    <row r="12277" spans="5:5">
      <c r="E12277"/>
    </row>
    <row r="12278" spans="5:5">
      <c r="E12278"/>
    </row>
    <row r="12279" spans="5:5">
      <c r="E12279"/>
    </row>
    <row r="12280" spans="5:5">
      <c r="E12280"/>
    </row>
    <row r="12281" spans="5:5">
      <c r="E12281"/>
    </row>
    <row r="12282" spans="5:5">
      <c r="E12282"/>
    </row>
    <row r="12283" spans="5:5">
      <c r="E12283"/>
    </row>
    <row r="12284" spans="5:5">
      <c r="E12284"/>
    </row>
    <row r="12285" spans="5:5">
      <c r="E12285"/>
    </row>
    <row r="12286" spans="5:5">
      <c r="E12286"/>
    </row>
    <row r="12287" spans="5:5">
      <c r="E12287"/>
    </row>
    <row r="12288" spans="5:5">
      <c r="E12288"/>
    </row>
    <row r="12289" spans="5:5">
      <c r="E12289"/>
    </row>
    <row r="12290" spans="5:5">
      <c r="E12290"/>
    </row>
    <row r="12291" spans="5:5">
      <c r="E12291"/>
    </row>
    <row r="12292" spans="5:5">
      <c r="E12292"/>
    </row>
    <row r="12293" spans="5:5">
      <c r="E12293"/>
    </row>
    <row r="12294" spans="5:5">
      <c r="E12294"/>
    </row>
    <row r="12295" spans="5:5">
      <c r="E12295"/>
    </row>
    <row r="12296" spans="5:5">
      <c r="E12296"/>
    </row>
    <row r="12297" spans="5:5">
      <c r="E12297"/>
    </row>
    <row r="12298" spans="5:5">
      <c r="E12298"/>
    </row>
    <row r="12299" spans="5:5">
      <c r="E12299"/>
    </row>
    <row r="12300" spans="5:5">
      <c r="E12300"/>
    </row>
    <row r="12301" spans="5:5">
      <c r="E12301"/>
    </row>
    <row r="12302" spans="5:5">
      <c r="E12302"/>
    </row>
    <row r="12303" spans="5:5">
      <c r="E12303"/>
    </row>
    <row r="12304" spans="5:5">
      <c r="E12304"/>
    </row>
    <row r="12305" spans="5:5">
      <c r="E12305"/>
    </row>
    <row r="12306" spans="5:5">
      <c r="E12306"/>
    </row>
    <row r="12307" spans="5:5">
      <c r="E12307"/>
    </row>
    <row r="12308" spans="5:5">
      <c r="E12308"/>
    </row>
    <row r="12309" spans="5:5">
      <c r="E12309"/>
    </row>
    <row r="12310" spans="5:5">
      <c r="E12310"/>
    </row>
    <row r="12311" spans="5:5">
      <c r="E12311"/>
    </row>
    <row r="12312" spans="5:5">
      <c r="E12312"/>
    </row>
    <row r="12313" spans="5:5">
      <c r="E12313"/>
    </row>
    <row r="12314" spans="5:5">
      <c r="E12314"/>
    </row>
    <row r="12315" spans="5:5">
      <c r="E12315"/>
    </row>
    <row r="12316" spans="5:5">
      <c r="E12316"/>
    </row>
    <row r="12317" spans="5:5">
      <c r="E12317"/>
    </row>
    <row r="12318" spans="5:5">
      <c r="E12318"/>
    </row>
    <row r="12319" spans="5:5">
      <c r="E12319"/>
    </row>
    <row r="12320" spans="5:5">
      <c r="E12320"/>
    </row>
    <row r="12321" spans="5:5">
      <c r="E12321"/>
    </row>
    <row r="12322" spans="5:5">
      <c r="E12322"/>
    </row>
    <row r="12323" spans="5:5">
      <c r="E12323"/>
    </row>
    <row r="12324" spans="5:5">
      <c r="E12324"/>
    </row>
    <row r="12325" spans="5:5">
      <c r="E12325"/>
    </row>
    <row r="12326" spans="5:5">
      <c r="E12326"/>
    </row>
    <row r="12327" spans="5:5">
      <c r="E12327"/>
    </row>
    <row r="12328" spans="5:5">
      <c r="E12328"/>
    </row>
    <row r="12329" spans="5:5">
      <c r="E12329"/>
    </row>
    <row r="12330" spans="5:5">
      <c r="E12330"/>
    </row>
    <row r="12331" spans="5:5">
      <c r="E12331"/>
    </row>
    <row r="12332" spans="5:5">
      <c r="E12332"/>
    </row>
    <row r="12333" spans="5:5">
      <c r="E12333"/>
    </row>
    <row r="12334" spans="5:5">
      <c r="E12334"/>
    </row>
    <row r="12335" spans="5:5">
      <c r="E12335"/>
    </row>
    <row r="12336" spans="5:5">
      <c r="E12336"/>
    </row>
    <row r="12337" spans="5:5">
      <c r="E12337"/>
    </row>
    <row r="12338" spans="5:5">
      <c r="E12338"/>
    </row>
    <row r="12339" spans="5:5">
      <c r="E12339"/>
    </row>
    <row r="12340" spans="5:5">
      <c r="E12340"/>
    </row>
    <row r="12341" spans="5:5">
      <c r="E12341"/>
    </row>
    <row r="12342" spans="5:5">
      <c r="E12342"/>
    </row>
    <row r="12343" spans="5:5">
      <c r="E12343"/>
    </row>
    <row r="12344" spans="5:5">
      <c r="E12344"/>
    </row>
    <row r="12345" spans="5:5">
      <c r="E12345"/>
    </row>
    <row r="12346" spans="5:5">
      <c r="E12346"/>
    </row>
    <row r="12347" spans="5:5">
      <c r="E12347"/>
    </row>
    <row r="12348" spans="5:5">
      <c r="E12348"/>
    </row>
    <row r="12349" spans="5:5">
      <c r="E12349"/>
    </row>
    <row r="12350" spans="5:5">
      <c r="E12350"/>
    </row>
    <row r="12351" spans="5:5">
      <c r="E12351"/>
    </row>
    <row r="12352" spans="5:5">
      <c r="E12352"/>
    </row>
    <row r="12353" spans="5:5">
      <c r="E12353"/>
    </row>
    <row r="12354" spans="5:5">
      <c r="E12354"/>
    </row>
    <row r="12355" spans="5:5">
      <c r="E12355"/>
    </row>
    <row r="12356" spans="5:5">
      <c r="E12356"/>
    </row>
    <row r="12357" spans="5:5">
      <c r="E12357"/>
    </row>
    <row r="12358" spans="5:5">
      <c r="E12358"/>
    </row>
    <row r="12359" spans="5:5">
      <c r="E12359"/>
    </row>
    <row r="12360" spans="5:5">
      <c r="E12360"/>
    </row>
    <row r="12361" spans="5:5">
      <c r="E12361"/>
    </row>
    <row r="12362" spans="5:5">
      <c r="E12362"/>
    </row>
    <row r="12363" spans="5:5">
      <c r="E12363"/>
    </row>
    <row r="12364" spans="5:5">
      <c r="E12364"/>
    </row>
    <row r="12365" spans="5:5">
      <c r="E12365"/>
    </row>
    <row r="12366" spans="5:5">
      <c r="E12366"/>
    </row>
    <row r="12367" spans="5:5">
      <c r="E12367"/>
    </row>
    <row r="12368" spans="5:5">
      <c r="E12368"/>
    </row>
    <row r="12369" spans="5:5">
      <c r="E12369"/>
    </row>
    <row r="12370" spans="5:5">
      <c r="E12370"/>
    </row>
    <row r="12371" spans="5:5">
      <c r="E12371"/>
    </row>
    <row r="12372" spans="5:5">
      <c r="E12372"/>
    </row>
    <row r="12373" spans="5:5">
      <c r="E12373"/>
    </row>
    <row r="12374" spans="5:5">
      <c r="E12374"/>
    </row>
    <row r="12375" spans="5:5">
      <c r="E12375"/>
    </row>
    <row r="12376" spans="5:5">
      <c r="E12376"/>
    </row>
    <row r="12377" spans="5:5">
      <c r="E12377"/>
    </row>
    <row r="12378" spans="5:5">
      <c r="E12378"/>
    </row>
    <row r="12379" spans="5:5">
      <c r="E12379"/>
    </row>
    <row r="12380" spans="5:5">
      <c r="E12380"/>
    </row>
    <row r="12381" spans="5:5">
      <c r="E12381"/>
    </row>
    <row r="12382" spans="5:5">
      <c r="E12382"/>
    </row>
    <row r="12383" spans="5:5">
      <c r="E12383"/>
    </row>
    <row r="12384" spans="5:5">
      <c r="E12384"/>
    </row>
    <row r="12385" spans="5:5">
      <c r="E12385"/>
    </row>
    <row r="12386" spans="5:5">
      <c r="E12386"/>
    </row>
    <row r="12387" spans="5:5">
      <c r="E12387"/>
    </row>
    <row r="12388" spans="5:5">
      <c r="E12388"/>
    </row>
    <row r="12389" spans="5:5">
      <c r="E12389"/>
    </row>
    <row r="12390" spans="5:5">
      <c r="E12390"/>
    </row>
    <row r="12391" spans="5:5">
      <c r="E12391"/>
    </row>
    <row r="12392" spans="5:5">
      <c r="E12392"/>
    </row>
    <row r="12393" spans="5:5">
      <c r="E12393"/>
    </row>
    <row r="12394" spans="5:5">
      <c r="E12394"/>
    </row>
    <row r="12395" spans="5:5">
      <c r="E12395"/>
    </row>
    <row r="12396" spans="5:5">
      <c r="E12396"/>
    </row>
    <row r="12397" spans="5:5">
      <c r="E12397"/>
    </row>
    <row r="12398" spans="5:5">
      <c r="E12398"/>
    </row>
    <row r="12399" spans="5:5">
      <c r="E12399"/>
    </row>
    <row r="12400" spans="5:5">
      <c r="E12400"/>
    </row>
    <row r="12401" spans="5:5">
      <c r="E12401"/>
    </row>
    <row r="12402" spans="5:5">
      <c r="E12402"/>
    </row>
    <row r="12403" spans="5:5">
      <c r="E12403"/>
    </row>
    <row r="12404" spans="5:5">
      <c r="E12404"/>
    </row>
    <row r="12405" spans="5:5">
      <c r="E12405"/>
    </row>
    <row r="12406" spans="5:5">
      <c r="E12406"/>
    </row>
    <row r="12407" spans="5:5">
      <c r="E12407"/>
    </row>
    <row r="12408" spans="5:5">
      <c r="E12408"/>
    </row>
    <row r="12409" spans="5:5">
      <c r="E12409"/>
    </row>
    <row r="12410" spans="5:5">
      <c r="E12410"/>
    </row>
    <row r="12411" spans="5:5">
      <c r="E12411"/>
    </row>
    <row r="12412" spans="5:5">
      <c r="E12412"/>
    </row>
    <row r="12413" spans="5:5">
      <c r="E12413"/>
    </row>
    <row r="12414" spans="5:5">
      <c r="E12414"/>
    </row>
    <row r="12415" spans="5:5">
      <c r="E12415"/>
    </row>
    <row r="12416" spans="5:5">
      <c r="E12416"/>
    </row>
    <row r="12417" spans="5:5">
      <c r="E12417"/>
    </row>
    <row r="12418" spans="5:5">
      <c r="E12418"/>
    </row>
    <row r="12419" spans="5:5">
      <c r="E12419"/>
    </row>
    <row r="12420" spans="5:5">
      <c r="E12420"/>
    </row>
    <row r="12421" spans="5:5">
      <c r="E12421"/>
    </row>
    <row r="12422" spans="5:5">
      <c r="E12422"/>
    </row>
    <row r="12423" spans="5:5">
      <c r="E12423"/>
    </row>
    <row r="12424" spans="5:5">
      <c r="E12424"/>
    </row>
    <row r="12425" spans="5:5">
      <c r="E12425"/>
    </row>
    <row r="12426" spans="5:5">
      <c r="E12426"/>
    </row>
    <row r="12427" spans="5:5">
      <c r="E12427"/>
    </row>
    <row r="12428" spans="5:5">
      <c r="E12428"/>
    </row>
    <row r="12429" spans="5:5">
      <c r="E12429"/>
    </row>
    <row r="12430" spans="5:5">
      <c r="E12430"/>
    </row>
    <row r="12431" spans="5:5">
      <c r="E12431"/>
    </row>
    <row r="12432" spans="5:5">
      <c r="E12432"/>
    </row>
    <row r="12433" spans="5:5">
      <c r="E12433"/>
    </row>
    <row r="12434" spans="5:5">
      <c r="E12434"/>
    </row>
    <row r="12435" spans="5:5">
      <c r="E12435"/>
    </row>
    <row r="12436" spans="5:5">
      <c r="E12436"/>
    </row>
    <row r="12437" spans="5:5">
      <c r="E12437"/>
    </row>
    <row r="12438" spans="5:5">
      <c r="E12438"/>
    </row>
    <row r="12439" spans="5:5">
      <c r="E12439"/>
    </row>
    <row r="12440" spans="5:5">
      <c r="E12440"/>
    </row>
    <row r="12441" spans="5:5">
      <c r="E12441"/>
    </row>
    <row r="12442" spans="5:5">
      <c r="E12442"/>
    </row>
    <row r="12443" spans="5:5">
      <c r="E12443"/>
    </row>
    <row r="12444" spans="5:5">
      <c r="E12444"/>
    </row>
    <row r="12445" spans="5:5">
      <c r="E12445"/>
    </row>
    <row r="12446" spans="5:5">
      <c r="E12446"/>
    </row>
    <row r="12447" spans="5:5">
      <c r="E12447"/>
    </row>
    <row r="12448" spans="5:5">
      <c r="E12448"/>
    </row>
    <row r="12449" spans="5:5">
      <c r="E12449"/>
    </row>
    <row r="12450" spans="5:5">
      <c r="E12450"/>
    </row>
    <row r="12451" spans="5:5">
      <c r="E12451"/>
    </row>
    <row r="12452" spans="5:5">
      <c r="E12452"/>
    </row>
    <row r="12453" spans="5:5">
      <c r="E12453"/>
    </row>
    <row r="12454" spans="5:5">
      <c r="E12454"/>
    </row>
    <row r="12455" spans="5:5">
      <c r="E12455"/>
    </row>
    <row r="12456" spans="5:5">
      <c r="E12456"/>
    </row>
    <row r="12457" spans="5:5">
      <c r="E12457"/>
    </row>
    <row r="12458" spans="5:5">
      <c r="E12458"/>
    </row>
    <row r="12459" spans="5:5">
      <c r="E12459"/>
    </row>
    <row r="12460" spans="5:5">
      <c r="E12460"/>
    </row>
    <row r="12461" spans="5:5">
      <c r="E12461"/>
    </row>
    <row r="12462" spans="5:5">
      <c r="E12462"/>
    </row>
    <row r="12463" spans="5:5">
      <c r="E12463"/>
    </row>
    <row r="12464" spans="5:5">
      <c r="E12464"/>
    </row>
    <row r="12465" spans="5:5">
      <c r="E12465"/>
    </row>
    <row r="12466" spans="5:5">
      <c r="E12466"/>
    </row>
    <row r="12467" spans="5:5">
      <c r="E12467"/>
    </row>
    <row r="12468" spans="5:5">
      <c r="E12468"/>
    </row>
    <row r="12469" spans="5:5">
      <c r="E12469"/>
    </row>
    <row r="12470" spans="5:5">
      <c r="E12470"/>
    </row>
    <row r="12471" spans="5:5">
      <c r="E12471"/>
    </row>
    <row r="12472" spans="5:5">
      <c r="E12472"/>
    </row>
    <row r="12473" spans="5:5">
      <c r="E12473"/>
    </row>
    <row r="12474" spans="5:5">
      <c r="E12474"/>
    </row>
    <row r="12475" spans="5:5">
      <c r="E12475"/>
    </row>
    <row r="12476" spans="5:5">
      <c r="E12476"/>
    </row>
    <row r="12477" spans="5:5">
      <c r="E12477"/>
    </row>
    <row r="12478" spans="5:5">
      <c r="E12478"/>
    </row>
    <row r="12479" spans="5:5">
      <c r="E12479"/>
    </row>
    <row r="12480" spans="5:5">
      <c r="E12480"/>
    </row>
    <row r="12481" spans="5:5">
      <c r="E12481"/>
    </row>
    <row r="12482" spans="5:5">
      <c r="E12482"/>
    </row>
    <row r="12483" spans="5:5">
      <c r="E12483"/>
    </row>
    <row r="12484" spans="5:5">
      <c r="E12484"/>
    </row>
    <row r="12485" spans="5:5">
      <c r="E12485"/>
    </row>
    <row r="12486" spans="5:5">
      <c r="E12486"/>
    </row>
    <row r="12487" spans="5:5">
      <c r="E12487"/>
    </row>
    <row r="12488" spans="5:5">
      <c r="E12488"/>
    </row>
    <row r="12489" spans="5:5">
      <c r="E12489"/>
    </row>
    <row r="12490" spans="5:5">
      <c r="E12490"/>
    </row>
    <row r="12491" spans="5:5">
      <c r="E12491"/>
    </row>
    <row r="12492" spans="5:5">
      <c r="E12492"/>
    </row>
    <row r="12493" spans="5:5">
      <c r="E12493"/>
    </row>
    <row r="12494" spans="5:5">
      <c r="E12494"/>
    </row>
    <row r="12495" spans="5:5">
      <c r="E12495"/>
    </row>
    <row r="12496" spans="5:5">
      <c r="E12496"/>
    </row>
    <row r="12497" spans="5:5">
      <c r="E12497"/>
    </row>
    <row r="12498" spans="5:5">
      <c r="E12498"/>
    </row>
    <row r="12499" spans="5:5">
      <c r="E12499"/>
    </row>
    <row r="12500" spans="5:5">
      <c r="E12500"/>
    </row>
    <row r="12501" spans="5:5">
      <c r="E12501"/>
    </row>
    <row r="12502" spans="5:5">
      <c r="E12502"/>
    </row>
    <row r="12503" spans="5:5">
      <c r="E12503"/>
    </row>
    <row r="12504" spans="5:5">
      <c r="E12504"/>
    </row>
    <row r="12505" spans="5:5">
      <c r="E12505"/>
    </row>
    <row r="12506" spans="5:5">
      <c r="E12506"/>
    </row>
    <row r="12507" spans="5:5">
      <c r="E12507"/>
    </row>
    <row r="12508" spans="5:5">
      <c r="E12508"/>
    </row>
    <row r="12509" spans="5:5">
      <c r="E12509"/>
    </row>
    <row r="12510" spans="5:5">
      <c r="E12510"/>
    </row>
    <row r="12511" spans="5:5">
      <c r="E12511"/>
    </row>
    <row r="12512" spans="5:5">
      <c r="E12512"/>
    </row>
    <row r="12513" spans="5:5">
      <c r="E12513"/>
    </row>
    <row r="12514" spans="5:5">
      <c r="E12514"/>
    </row>
    <row r="12515" spans="5:5">
      <c r="E12515"/>
    </row>
    <row r="12516" spans="5:5">
      <c r="E12516"/>
    </row>
    <row r="12517" spans="5:5">
      <c r="E12517"/>
    </row>
    <row r="12518" spans="5:5">
      <c r="E12518"/>
    </row>
    <row r="12519" spans="5:5">
      <c r="E12519"/>
    </row>
    <row r="12520" spans="5:5">
      <c r="E12520"/>
    </row>
    <row r="12521" spans="5:5">
      <c r="E12521"/>
    </row>
    <row r="12522" spans="5:5">
      <c r="E12522"/>
    </row>
    <row r="12523" spans="5:5">
      <c r="E12523"/>
    </row>
    <row r="12524" spans="5:5">
      <c r="E12524"/>
    </row>
    <row r="12525" spans="5:5">
      <c r="E12525"/>
    </row>
    <row r="12526" spans="5:5">
      <c r="E12526"/>
    </row>
    <row r="12527" spans="5:5">
      <c r="E12527"/>
    </row>
    <row r="12528" spans="5:5">
      <c r="E12528"/>
    </row>
    <row r="12529" spans="5:5">
      <c r="E12529"/>
    </row>
    <row r="12530" spans="5:5">
      <c r="E12530"/>
    </row>
    <row r="12531" spans="5:5">
      <c r="E12531"/>
    </row>
    <row r="12532" spans="5:5">
      <c r="E12532"/>
    </row>
    <row r="12533" spans="5:5">
      <c r="E12533"/>
    </row>
    <row r="12534" spans="5:5">
      <c r="E12534"/>
    </row>
    <row r="12535" spans="5:5">
      <c r="E12535"/>
    </row>
    <row r="12536" spans="5:5">
      <c r="E12536"/>
    </row>
    <row r="12537" spans="5:5">
      <c r="E12537"/>
    </row>
    <row r="12538" spans="5:5">
      <c r="E12538"/>
    </row>
    <row r="12539" spans="5:5">
      <c r="E12539"/>
    </row>
    <row r="12540" spans="5:5">
      <c r="E12540"/>
    </row>
    <row r="12541" spans="5:5">
      <c r="E12541"/>
    </row>
    <row r="12542" spans="5:5">
      <c r="E12542"/>
    </row>
    <row r="12543" spans="5:5">
      <c r="E12543"/>
    </row>
    <row r="12544" spans="5:5">
      <c r="E12544"/>
    </row>
    <row r="12545" spans="5:5">
      <c r="E12545"/>
    </row>
    <row r="12546" spans="5:5">
      <c r="E12546"/>
    </row>
    <row r="12547" spans="5:5">
      <c r="E12547"/>
    </row>
    <row r="12548" spans="5:5">
      <c r="E12548"/>
    </row>
    <row r="12549" spans="5:5">
      <c r="E12549"/>
    </row>
    <row r="12550" spans="5:5">
      <c r="E12550"/>
    </row>
    <row r="12551" spans="5:5">
      <c r="E12551"/>
    </row>
    <row r="12552" spans="5:5">
      <c r="E12552"/>
    </row>
    <row r="12553" spans="5:5">
      <c r="E12553"/>
    </row>
    <row r="12554" spans="5:5">
      <c r="E12554"/>
    </row>
    <row r="12555" spans="5:5">
      <c r="E12555"/>
    </row>
    <row r="12556" spans="5:5">
      <c r="E12556"/>
    </row>
    <row r="12557" spans="5:5">
      <c r="E12557"/>
    </row>
    <row r="12558" spans="5:5">
      <c r="E12558"/>
    </row>
    <row r="12559" spans="5:5">
      <c r="E12559"/>
    </row>
    <row r="12560" spans="5:5">
      <c r="E12560"/>
    </row>
    <row r="12561" spans="5:5">
      <c r="E12561"/>
    </row>
    <row r="12562" spans="5:5">
      <c r="E12562"/>
    </row>
    <row r="12563" spans="5:5">
      <c r="E12563"/>
    </row>
    <row r="12564" spans="5:5">
      <c r="E12564"/>
    </row>
    <row r="12565" spans="5:5">
      <c r="E12565"/>
    </row>
    <row r="12566" spans="5:5">
      <c r="E12566"/>
    </row>
    <row r="12567" spans="5:5">
      <c r="E12567"/>
    </row>
    <row r="12568" spans="5:5">
      <c r="E12568"/>
    </row>
    <row r="12569" spans="5:5">
      <c r="E12569"/>
    </row>
    <row r="12570" spans="5:5">
      <c r="E12570"/>
    </row>
    <row r="12571" spans="5:5">
      <c r="E12571"/>
    </row>
    <row r="12572" spans="5:5">
      <c r="E12572"/>
    </row>
    <row r="12573" spans="5:5">
      <c r="E12573"/>
    </row>
    <row r="12574" spans="5:5">
      <c r="E12574"/>
    </row>
    <row r="12575" spans="5:5">
      <c r="E12575"/>
    </row>
    <row r="12576" spans="5:5">
      <c r="E12576"/>
    </row>
    <row r="12577" spans="5:5">
      <c r="E12577"/>
    </row>
    <row r="12578" spans="5:5">
      <c r="E12578"/>
    </row>
    <row r="12579" spans="5:5">
      <c r="E12579"/>
    </row>
    <row r="12580" spans="5:5">
      <c r="E12580"/>
    </row>
    <row r="12581" spans="5:5">
      <c r="E12581"/>
    </row>
    <row r="12582" spans="5:5">
      <c r="E12582"/>
    </row>
    <row r="12583" spans="5:5">
      <c r="E12583"/>
    </row>
    <row r="12584" spans="5:5">
      <c r="E12584"/>
    </row>
    <row r="12585" spans="5:5">
      <c r="E12585"/>
    </row>
    <row r="12586" spans="5:5">
      <c r="E12586"/>
    </row>
    <row r="12587" spans="5:5">
      <c r="E12587"/>
    </row>
    <row r="12588" spans="5:5">
      <c r="E12588"/>
    </row>
    <row r="12589" spans="5:5">
      <c r="E12589"/>
    </row>
    <row r="12590" spans="5:5">
      <c r="E12590"/>
    </row>
    <row r="12591" spans="5:5">
      <c r="E12591"/>
    </row>
    <row r="12592" spans="5:5">
      <c r="E12592"/>
    </row>
    <row r="12593" spans="5:5">
      <c r="E12593"/>
    </row>
    <row r="12594" spans="5:5">
      <c r="E12594"/>
    </row>
    <row r="12595" spans="5:5">
      <c r="E12595"/>
    </row>
    <row r="12596" spans="5:5">
      <c r="E12596"/>
    </row>
    <row r="12597" spans="5:5">
      <c r="E12597"/>
    </row>
    <row r="12598" spans="5:5">
      <c r="E12598"/>
    </row>
    <row r="12599" spans="5:5">
      <c r="E12599"/>
    </row>
    <row r="12600" spans="5:5">
      <c r="E12600"/>
    </row>
    <row r="12601" spans="5:5">
      <c r="E12601"/>
    </row>
    <row r="12602" spans="5:5">
      <c r="E12602"/>
    </row>
    <row r="12603" spans="5:5">
      <c r="E12603"/>
    </row>
    <row r="12604" spans="5:5">
      <c r="E12604"/>
    </row>
    <row r="12605" spans="5:5">
      <c r="E12605"/>
    </row>
    <row r="12606" spans="5:5">
      <c r="E12606"/>
    </row>
    <row r="12607" spans="5:5">
      <c r="E12607"/>
    </row>
    <row r="12608" spans="5:5">
      <c r="E12608"/>
    </row>
    <row r="12609" spans="5:5">
      <c r="E12609"/>
    </row>
    <row r="12610" spans="5:5">
      <c r="E12610"/>
    </row>
    <row r="12611" spans="5:5">
      <c r="E12611"/>
    </row>
    <row r="12612" spans="5:5">
      <c r="E12612"/>
    </row>
    <row r="12613" spans="5:5">
      <c r="E12613"/>
    </row>
    <row r="12614" spans="5:5">
      <c r="E12614"/>
    </row>
    <row r="12615" spans="5:5">
      <c r="E12615"/>
    </row>
    <row r="12616" spans="5:5">
      <c r="E12616"/>
    </row>
    <row r="12617" spans="5:5">
      <c r="E12617"/>
    </row>
    <row r="12618" spans="5:5">
      <c r="E12618"/>
    </row>
    <row r="12619" spans="5:5">
      <c r="E12619"/>
    </row>
    <row r="12620" spans="5:5">
      <c r="E12620"/>
    </row>
    <row r="12621" spans="5:5">
      <c r="E12621"/>
    </row>
    <row r="12622" spans="5:5">
      <c r="E12622"/>
    </row>
    <row r="12623" spans="5:5">
      <c r="E12623"/>
    </row>
    <row r="12624" spans="5:5">
      <c r="E12624"/>
    </row>
    <row r="12625" spans="5:5">
      <c r="E12625"/>
    </row>
    <row r="12626" spans="5:5">
      <c r="E12626"/>
    </row>
    <row r="12627" spans="5:5">
      <c r="E12627"/>
    </row>
    <row r="12628" spans="5:5">
      <c r="E12628"/>
    </row>
    <row r="12629" spans="5:5">
      <c r="E12629"/>
    </row>
    <row r="12630" spans="5:5">
      <c r="E12630"/>
    </row>
    <row r="12631" spans="5:5">
      <c r="E12631"/>
    </row>
    <row r="12632" spans="5:5">
      <c r="E12632"/>
    </row>
    <row r="12633" spans="5:5">
      <c r="E12633"/>
    </row>
    <row r="12634" spans="5:5">
      <c r="E12634"/>
    </row>
    <row r="12635" spans="5:5">
      <c r="E12635"/>
    </row>
    <row r="12636" spans="5:5">
      <c r="E12636"/>
    </row>
    <row r="12637" spans="5:5">
      <c r="E12637"/>
    </row>
    <row r="12638" spans="5:5">
      <c r="E12638"/>
    </row>
    <row r="12639" spans="5:5">
      <c r="E12639"/>
    </row>
    <row r="12640" spans="5:5">
      <c r="E12640"/>
    </row>
    <row r="12641" spans="5:5">
      <c r="E12641"/>
    </row>
    <row r="12642" spans="5:5">
      <c r="E12642"/>
    </row>
    <row r="12643" spans="5:5">
      <c r="E12643"/>
    </row>
    <row r="12644" spans="5:5">
      <c r="E12644"/>
    </row>
    <row r="12645" spans="5:5">
      <c r="E12645"/>
    </row>
    <row r="12646" spans="5:5">
      <c r="E12646"/>
    </row>
    <row r="12647" spans="5:5">
      <c r="E12647"/>
    </row>
    <row r="12648" spans="5:5">
      <c r="E12648"/>
    </row>
    <row r="12649" spans="5:5">
      <c r="E12649"/>
    </row>
    <row r="12650" spans="5:5">
      <c r="E12650"/>
    </row>
    <row r="12651" spans="5:5">
      <c r="E12651"/>
    </row>
    <row r="12652" spans="5:5">
      <c r="E12652"/>
    </row>
    <row r="12653" spans="5:5">
      <c r="E12653"/>
    </row>
    <row r="12654" spans="5:5">
      <c r="E12654"/>
    </row>
    <row r="12655" spans="5:5">
      <c r="E12655"/>
    </row>
    <row r="12656" spans="5:5">
      <c r="E12656"/>
    </row>
    <row r="12657" spans="5:5">
      <c r="E12657"/>
    </row>
    <row r="12658" spans="5:5">
      <c r="E12658"/>
    </row>
    <row r="12659" spans="5:5">
      <c r="E12659"/>
    </row>
    <row r="12660" spans="5:5">
      <c r="E12660"/>
    </row>
    <row r="12661" spans="5:5">
      <c r="E12661"/>
    </row>
    <row r="12662" spans="5:5">
      <c r="E12662"/>
    </row>
    <row r="12663" spans="5:5">
      <c r="E12663"/>
    </row>
    <row r="12664" spans="5:5">
      <c r="E12664"/>
    </row>
    <row r="12665" spans="5:5">
      <c r="E12665"/>
    </row>
    <row r="12666" spans="5:5">
      <c r="E12666"/>
    </row>
    <row r="12667" spans="5:5">
      <c r="E12667"/>
    </row>
    <row r="12668" spans="5:5">
      <c r="E12668"/>
    </row>
    <row r="12669" spans="5:5">
      <c r="E12669"/>
    </row>
    <row r="12670" spans="5:5">
      <c r="E12670"/>
    </row>
    <row r="12671" spans="5:5">
      <c r="E12671"/>
    </row>
    <row r="12672" spans="5:5">
      <c r="E12672"/>
    </row>
    <row r="12673" spans="5:5">
      <c r="E12673"/>
    </row>
    <row r="12674" spans="5:5">
      <c r="E12674"/>
    </row>
    <row r="12675" spans="5:5">
      <c r="E12675"/>
    </row>
    <row r="12676" spans="5:5">
      <c r="E12676"/>
    </row>
    <row r="12677" spans="5:5">
      <c r="E12677"/>
    </row>
    <row r="12678" spans="5:5">
      <c r="E12678"/>
    </row>
    <row r="12679" spans="5:5">
      <c r="E12679"/>
    </row>
    <row r="12680" spans="5:5">
      <c r="E12680"/>
    </row>
    <row r="12681" spans="5:5">
      <c r="E12681"/>
    </row>
    <row r="12682" spans="5:5">
      <c r="E12682"/>
    </row>
    <row r="12683" spans="5:5">
      <c r="E12683"/>
    </row>
    <row r="12684" spans="5:5">
      <c r="E12684"/>
    </row>
    <row r="12685" spans="5:5">
      <c r="E12685"/>
    </row>
    <row r="12686" spans="5:5">
      <c r="E12686"/>
    </row>
    <row r="12687" spans="5:5">
      <c r="E12687"/>
    </row>
    <row r="12688" spans="5:5">
      <c r="E12688"/>
    </row>
    <row r="12689" spans="5:5">
      <c r="E12689"/>
    </row>
    <row r="12690" spans="5:5">
      <c r="E12690"/>
    </row>
    <row r="12691" spans="5:5">
      <c r="E12691"/>
    </row>
    <row r="12692" spans="5:5">
      <c r="E12692"/>
    </row>
    <row r="12693" spans="5:5">
      <c r="E12693"/>
    </row>
    <row r="12694" spans="5:5">
      <c r="E12694"/>
    </row>
    <row r="12695" spans="5:5">
      <c r="E12695"/>
    </row>
    <row r="12696" spans="5:5">
      <c r="E12696"/>
    </row>
    <row r="12697" spans="5:5">
      <c r="E12697"/>
    </row>
    <row r="12698" spans="5:5">
      <c r="E12698"/>
    </row>
    <row r="12699" spans="5:5">
      <c r="E12699"/>
    </row>
    <row r="12700" spans="5:5">
      <c r="E12700"/>
    </row>
    <row r="12701" spans="5:5">
      <c r="E12701"/>
    </row>
    <row r="12702" spans="5:5">
      <c r="E12702"/>
    </row>
    <row r="12703" spans="5:5">
      <c r="E12703"/>
    </row>
    <row r="12704" spans="5:5">
      <c r="E12704"/>
    </row>
    <row r="12705" spans="5:5">
      <c r="E12705"/>
    </row>
    <row r="12706" spans="5:5">
      <c r="E12706"/>
    </row>
    <row r="12707" spans="5:5">
      <c r="E12707"/>
    </row>
    <row r="12708" spans="5:5">
      <c r="E12708"/>
    </row>
    <row r="12709" spans="5:5">
      <c r="E12709"/>
    </row>
    <row r="12710" spans="5:5">
      <c r="E12710"/>
    </row>
    <row r="12711" spans="5:5">
      <c r="E12711"/>
    </row>
    <row r="12712" spans="5:5">
      <c r="E12712"/>
    </row>
    <row r="12713" spans="5:5">
      <c r="E12713"/>
    </row>
    <row r="12714" spans="5:5">
      <c r="E12714"/>
    </row>
    <row r="12715" spans="5:5">
      <c r="E12715"/>
    </row>
    <row r="12716" spans="5:5">
      <c r="E12716"/>
    </row>
    <row r="12717" spans="5:5">
      <c r="E12717"/>
    </row>
    <row r="12718" spans="5:5">
      <c r="E12718"/>
    </row>
    <row r="12719" spans="5:5">
      <c r="E12719"/>
    </row>
    <row r="12720" spans="5:5">
      <c r="E12720"/>
    </row>
    <row r="12721" spans="5:5">
      <c r="E12721"/>
    </row>
    <row r="12722" spans="5:5">
      <c r="E12722"/>
    </row>
    <row r="12723" spans="5:5">
      <c r="E12723"/>
    </row>
    <row r="12724" spans="5:5">
      <c r="E12724"/>
    </row>
    <row r="12725" spans="5:5">
      <c r="E12725"/>
    </row>
    <row r="12726" spans="5:5">
      <c r="E12726"/>
    </row>
    <row r="12727" spans="5:5">
      <c r="E12727"/>
    </row>
    <row r="12728" spans="5:5">
      <c r="E12728"/>
    </row>
    <row r="12729" spans="5:5">
      <c r="E12729"/>
    </row>
    <row r="12730" spans="5:5">
      <c r="E12730"/>
    </row>
    <row r="12731" spans="5:5">
      <c r="E12731"/>
    </row>
    <row r="12732" spans="5:5">
      <c r="E12732"/>
    </row>
    <row r="12733" spans="5:5">
      <c r="E12733"/>
    </row>
    <row r="12734" spans="5:5">
      <c r="E12734"/>
    </row>
    <row r="12735" spans="5:5">
      <c r="E12735"/>
    </row>
    <row r="12736" spans="5:5">
      <c r="E12736"/>
    </row>
    <row r="12737" spans="5:5">
      <c r="E12737"/>
    </row>
    <row r="12738" spans="5:5">
      <c r="E12738"/>
    </row>
    <row r="12739" spans="5:5">
      <c r="E12739"/>
    </row>
    <row r="12740" spans="5:5">
      <c r="E12740"/>
    </row>
    <row r="12741" spans="5:5">
      <c r="E12741"/>
    </row>
    <row r="12742" spans="5:5">
      <c r="E12742"/>
    </row>
    <row r="12743" spans="5:5">
      <c r="E12743"/>
    </row>
    <row r="12744" spans="5:5">
      <c r="E12744"/>
    </row>
    <row r="12745" spans="5:5">
      <c r="E12745"/>
    </row>
    <row r="12746" spans="5:5">
      <c r="E12746"/>
    </row>
    <row r="12747" spans="5:5">
      <c r="E12747"/>
    </row>
    <row r="12748" spans="5:5">
      <c r="E12748"/>
    </row>
    <row r="12749" spans="5:5">
      <c r="E12749"/>
    </row>
    <row r="12750" spans="5:5">
      <c r="E12750"/>
    </row>
    <row r="12751" spans="5:5">
      <c r="E12751"/>
    </row>
    <row r="12752" spans="5:5">
      <c r="E12752"/>
    </row>
    <row r="12753" spans="5:5">
      <c r="E12753"/>
    </row>
    <row r="12754" spans="5:5">
      <c r="E12754"/>
    </row>
    <row r="12755" spans="5:5">
      <c r="E12755"/>
    </row>
    <row r="12756" spans="5:5">
      <c r="E12756"/>
    </row>
    <row r="12757" spans="5:5">
      <c r="E12757"/>
    </row>
    <row r="12758" spans="5:5">
      <c r="E12758"/>
    </row>
    <row r="12759" spans="5:5">
      <c r="E12759"/>
    </row>
    <row r="12760" spans="5:5">
      <c r="E12760"/>
    </row>
    <row r="12761" spans="5:5">
      <c r="E12761"/>
    </row>
    <row r="12762" spans="5:5">
      <c r="E12762"/>
    </row>
    <row r="12763" spans="5:5">
      <c r="E12763"/>
    </row>
    <row r="12764" spans="5:5">
      <c r="E12764"/>
    </row>
    <row r="12765" spans="5:5">
      <c r="E12765"/>
    </row>
    <row r="12766" spans="5:5">
      <c r="E12766"/>
    </row>
    <row r="12767" spans="5:5">
      <c r="E12767"/>
    </row>
    <row r="12768" spans="5:5">
      <c r="E12768"/>
    </row>
    <row r="12769" spans="5:5">
      <c r="E12769"/>
    </row>
    <row r="12770" spans="5:5">
      <c r="E12770"/>
    </row>
    <row r="12771" spans="5:5">
      <c r="E12771"/>
    </row>
    <row r="12772" spans="5:5">
      <c r="E12772"/>
    </row>
    <row r="12773" spans="5:5">
      <c r="E12773"/>
    </row>
    <row r="12774" spans="5:5">
      <c r="E12774"/>
    </row>
    <row r="12775" spans="5:5">
      <c r="E12775"/>
    </row>
    <row r="12776" spans="5:5">
      <c r="E12776"/>
    </row>
    <row r="12777" spans="5:5">
      <c r="E12777"/>
    </row>
    <row r="12778" spans="5:5">
      <c r="E12778"/>
    </row>
    <row r="12779" spans="5:5">
      <c r="E12779"/>
    </row>
    <row r="12780" spans="5:5">
      <c r="E12780"/>
    </row>
    <row r="12781" spans="5:5">
      <c r="E12781"/>
    </row>
    <row r="12782" spans="5:5">
      <c r="E12782"/>
    </row>
    <row r="12783" spans="5:5">
      <c r="E12783"/>
    </row>
    <row r="12784" spans="5:5">
      <c r="E12784"/>
    </row>
    <row r="12785" spans="5:5">
      <c r="E12785"/>
    </row>
    <row r="12786" spans="5:5">
      <c r="E12786"/>
    </row>
    <row r="12787" spans="5:5">
      <c r="E12787"/>
    </row>
    <row r="12788" spans="5:5">
      <c r="E12788"/>
    </row>
    <row r="12789" spans="5:5">
      <c r="E12789"/>
    </row>
    <row r="12790" spans="5:5">
      <c r="E12790"/>
    </row>
    <row r="12791" spans="5:5">
      <c r="E12791"/>
    </row>
    <row r="12792" spans="5:5">
      <c r="E12792"/>
    </row>
    <row r="12793" spans="5:5">
      <c r="E12793"/>
    </row>
    <row r="12794" spans="5:5">
      <c r="E12794"/>
    </row>
    <row r="12795" spans="5:5">
      <c r="E12795"/>
    </row>
    <row r="12796" spans="5:5">
      <c r="E12796"/>
    </row>
    <row r="12797" spans="5:5">
      <c r="E12797"/>
    </row>
    <row r="12798" spans="5:5">
      <c r="E12798"/>
    </row>
    <row r="12799" spans="5:5">
      <c r="E12799"/>
    </row>
    <row r="12800" spans="5:5">
      <c r="E12800"/>
    </row>
    <row r="12801" spans="5:5">
      <c r="E12801"/>
    </row>
    <row r="12802" spans="5:5">
      <c r="E12802"/>
    </row>
    <row r="12803" spans="5:5">
      <c r="E12803"/>
    </row>
    <row r="12804" spans="5:5">
      <c r="E12804"/>
    </row>
    <row r="12805" spans="5:5">
      <c r="E12805"/>
    </row>
    <row r="12806" spans="5:5">
      <c r="E12806"/>
    </row>
    <row r="12807" spans="5:5">
      <c r="E12807"/>
    </row>
    <row r="12808" spans="5:5">
      <c r="E12808"/>
    </row>
    <row r="12809" spans="5:5">
      <c r="E12809"/>
    </row>
    <row r="12810" spans="5:5">
      <c r="E12810"/>
    </row>
    <row r="12811" spans="5:5">
      <c r="E12811"/>
    </row>
    <row r="12812" spans="5:5">
      <c r="E12812"/>
    </row>
    <row r="12813" spans="5:5">
      <c r="E12813"/>
    </row>
    <row r="12814" spans="5:5">
      <c r="E12814"/>
    </row>
    <row r="12815" spans="5:5">
      <c r="E12815"/>
    </row>
    <row r="12816" spans="5:5">
      <c r="E12816"/>
    </row>
    <row r="12817" spans="5:5">
      <c r="E12817"/>
    </row>
    <row r="12818" spans="5:5">
      <c r="E12818"/>
    </row>
    <row r="12819" spans="5:5">
      <c r="E12819"/>
    </row>
    <row r="12820" spans="5:5">
      <c r="E12820"/>
    </row>
    <row r="12821" spans="5:5">
      <c r="E12821"/>
    </row>
    <row r="12822" spans="5:5">
      <c r="E12822"/>
    </row>
    <row r="12823" spans="5:5">
      <c r="E12823"/>
    </row>
    <row r="12824" spans="5:5">
      <c r="E12824"/>
    </row>
    <row r="12825" spans="5:5">
      <c r="E12825"/>
    </row>
    <row r="12826" spans="5:5">
      <c r="E12826"/>
    </row>
    <row r="12827" spans="5:5">
      <c r="E12827"/>
    </row>
    <row r="12828" spans="5:5">
      <c r="E12828"/>
    </row>
    <row r="12829" spans="5:5">
      <c r="E12829"/>
    </row>
    <row r="12830" spans="5:5">
      <c r="E12830"/>
    </row>
    <row r="12831" spans="5:5">
      <c r="E12831"/>
    </row>
    <row r="12832" spans="5:5">
      <c r="E12832"/>
    </row>
    <row r="12833" spans="5:5">
      <c r="E12833"/>
    </row>
    <row r="12834" spans="5:5">
      <c r="E12834"/>
    </row>
    <row r="12835" spans="5:5">
      <c r="E12835"/>
    </row>
    <row r="12836" spans="5:5">
      <c r="E12836"/>
    </row>
    <row r="12837" spans="5:5">
      <c r="E12837"/>
    </row>
    <row r="12838" spans="5:5">
      <c r="E12838"/>
    </row>
    <row r="12839" spans="5:5">
      <c r="E12839"/>
    </row>
    <row r="12840" spans="5:5">
      <c r="E12840"/>
    </row>
    <row r="12841" spans="5:5">
      <c r="E12841"/>
    </row>
    <row r="12842" spans="5:5">
      <c r="E12842"/>
    </row>
    <row r="12843" spans="5:5">
      <c r="E12843"/>
    </row>
    <row r="12844" spans="5:5">
      <c r="E12844"/>
    </row>
    <row r="12845" spans="5:5">
      <c r="E12845"/>
    </row>
    <row r="12846" spans="5:5">
      <c r="E12846"/>
    </row>
    <row r="12847" spans="5:5">
      <c r="E12847"/>
    </row>
    <row r="12848" spans="5:5">
      <c r="E12848"/>
    </row>
    <row r="12849" spans="5:5">
      <c r="E12849"/>
    </row>
    <row r="12850" spans="5:5">
      <c r="E12850"/>
    </row>
    <row r="12851" spans="5:5">
      <c r="E12851"/>
    </row>
    <row r="12852" spans="5:5">
      <c r="E12852"/>
    </row>
    <row r="12853" spans="5:5">
      <c r="E12853"/>
    </row>
    <row r="12854" spans="5:5">
      <c r="E12854"/>
    </row>
    <row r="12855" spans="5:5">
      <c r="E12855"/>
    </row>
    <row r="12856" spans="5:5">
      <c r="E12856"/>
    </row>
    <row r="12857" spans="5:5">
      <c r="E12857"/>
    </row>
    <row r="12858" spans="5:5">
      <c r="E12858"/>
    </row>
    <row r="12859" spans="5:5">
      <c r="E12859"/>
    </row>
    <row r="12860" spans="5:5">
      <c r="E12860"/>
    </row>
    <row r="12861" spans="5:5">
      <c r="E12861"/>
    </row>
    <row r="12862" spans="5:5">
      <c r="E12862"/>
    </row>
    <row r="12863" spans="5:5">
      <c r="E12863"/>
    </row>
    <row r="12864" spans="5:5">
      <c r="E12864"/>
    </row>
    <row r="12865" spans="5:5">
      <c r="E12865"/>
    </row>
    <row r="12866" spans="5:5">
      <c r="E12866"/>
    </row>
    <row r="12867" spans="5:5">
      <c r="E12867"/>
    </row>
    <row r="12868" spans="5:5">
      <c r="E12868"/>
    </row>
    <row r="12869" spans="5:5">
      <c r="E12869"/>
    </row>
    <row r="12870" spans="5:5">
      <c r="E12870"/>
    </row>
    <row r="12871" spans="5:5">
      <c r="E12871"/>
    </row>
    <row r="12872" spans="5:5">
      <c r="E12872"/>
    </row>
    <row r="12873" spans="5:5">
      <c r="E12873"/>
    </row>
    <row r="12874" spans="5:5">
      <c r="E12874"/>
    </row>
    <row r="12875" spans="5:5">
      <c r="E12875"/>
    </row>
    <row r="12876" spans="5:5">
      <c r="E12876"/>
    </row>
    <row r="12877" spans="5:5">
      <c r="E12877"/>
    </row>
    <row r="12878" spans="5:5">
      <c r="E12878"/>
    </row>
    <row r="12879" spans="5:5">
      <c r="E12879"/>
    </row>
    <row r="12880" spans="5:5">
      <c r="E12880"/>
    </row>
    <row r="12881" spans="5:5">
      <c r="E12881"/>
    </row>
    <row r="12882" spans="5:5">
      <c r="E12882"/>
    </row>
    <row r="12883" spans="5:5">
      <c r="E12883"/>
    </row>
    <row r="12884" spans="5:5">
      <c r="E12884"/>
    </row>
    <row r="12885" spans="5:5">
      <c r="E12885"/>
    </row>
    <row r="12886" spans="5:5">
      <c r="E12886"/>
    </row>
    <row r="12887" spans="5:5">
      <c r="E12887"/>
    </row>
    <row r="12888" spans="5:5">
      <c r="E12888"/>
    </row>
    <row r="12889" spans="5:5">
      <c r="E12889"/>
    </row>
    <row r="12890" spans="5:5">
      <c r="E12890"/>
    </row>
    <row r="12891" spans="5:5">
      <c r="E12891"/>
    </row>
    <row r="12892" spans="5:5">
      <c r="E12892"/>
    </row>
    <row r="12893" spans="5:5">
      <c r="E12893"/>
    </row>
    <row r="12894" spans="5:5">
      <c r="E12894"/>
    </row>
    <row r="12895" spans="5:5">
      <c r="E12895"/>
    </row>
    <row r="12896" spans="5:5">
      <c r="E12896"/>
    </row>
    <row r="12897" spans="5:5">
      <c r="E12897"/>
    </row>
    <row r="12898" spans="5:5">
      <c r="E12898"/>
    </row>
    <row r="12899" spans="5:5">
      <c r="E12899"/>
    </row>
    <row r="12900" spans="5:5">
      <c r="E12900"/>
    </row>
    <row r="12901" spans="5:5">
      <c r="E12901"/>
    </row>
    <row r="12902" spans="5:5">
      <c r="E12902"/>
    </row>
    <row r="12903" spans="5:5">
      <c r="E12903"/>
    </row>
    <row r="12904" spans="5:5">
      <c r="E12904"/>
    </row>
    <row r="12905" spans="5:5">
      <c r="E12905"/>
    </row>
    <row r="12906" spans="5:5">
      <c r="E12906"/>
    </row>
    <row r="12907" spans="5:5">
      <c r="E12907"/>
    </row>
    <row r="12908" spans="5:5">
      <c r="E12908"/>
    </row>
    <row r="12909" spans="5:5">
      <c r="E12909"/>
    </row>
    <row r="12910" spans="5:5">
      <c r="E12910"/>
    </row>
    <row r="12911" spans="5:5">
      <c r="E12911"/>
    </row>
    <row r="12912" spans="5:5">
      <c r="E12912"/>
    </row>
    <row r="12913" spans="5:5">
      <c r="E12913"/>
    </row>
    <row r="12914" spans="5:5">
      <c r="E12914"/>
    </row>
    <row r="12915" spans="5:5">
      <c r="E12915"/>
    </row>
    <row r="12916" spans="5:5">
      <c r="E12916"/>
    </row>
    <row r="12917" spans="5:5">
      <c r="E12917"/>
    </row>
    <row r="12918" spans="5:5">
      <c r="E12918"/>
    </row>
    <row r="12919" spans="5:5">
      <c r="E12919"/>
    </row>
    <row r="12920" spans="5:5">
      <c r="E12920"/>
    </row>
    <row r="12921" spans="5:5">
      <c r="E12921"/>
    </row>
    <row r="12922" spans="5:5">
      <c r="E12922"/>
    </row>
    <row r="12923" spans="5:5">
      <c r="E12923"/>
    </row>
    <row r="12924" spans="5:5">
      <c r="E12924"/>
    </row>
    <row r="12925" spans="5:5">
      <c r="E12925"/>
    </row>
    <row r="12926" spans="5:5">
      <c r="E12926"/>
    </row>
    <row r="12927" spans="5:5">
      <c r="E12927"/>
    </row>
    <row r="12928" spans="5:5">
      <c r="E12928"/>
    </row>
    <row r="12929" spans="5:5">
      <c r="E12929"/>
    </row>
    <row r="12930" spans="5:5">
      <c r="E12930"/>
    </row>
    <row r="12931" spans="5:5">
      <c r="E12931"/>
    </row>
    <row r="12932" spans="5:5">
      <c r="E12932"/>
    </row>
    <row r="12933" spans="5:5">
      <c r="E12933"/>
    </row>
    <row r="12934" spans="5:5">
      <c r="E12934"/>
    </row>
    <row r="12935" spans="5:5">
      <c r="E12935"/>
    </row>
    <row r="12936" spans="5:5">
      <c r="E12936"/>
    </row>
    <row r="12937" spans="5:5">
      <c r="E12937"/>
    </row>
    <row r="12938" spans="5:5">
      <c r="E12938"/>
    </row>
    <row r="12939" spans="5:5">
      <c r="E12939"/>
    </row>
    <row r="12940" spans="5:5">
      <c r="E12940"/>
    </row>
    <row r="12941" spans="5:5">
      <c r="E12941"/>
    </row>
    <row r="12942" spans="5:5">
      <c r="E12942"/>
    </row>
    <row r="12943" spans="5:5">
      <c r="E12943"/>
    </row>
    <row r="12944" spans="5:5">
      <c r="E12944"/>
    </row>
    <row r="12945" spans="5:5">
      <c r="E12945"/>
    </row>
    <row r="12946" spans="5:5">
      <c r="E12946"/>
    </row>
    <row r="12947" spans="5:5">
      <c r="E12947"/>
    </row>
    <row r="12948" spans="5:5">
      <c r="E12948"/>
    </row>
    <row r="12949" spans="5:5">
      <c r="E12949"/>
    </row>
    <row r="12950" spans="5:5">
      <c r="E12950"/>
    </row>
    <row r="12951" spans="5:5">
      <c r="E12951"/>
    </row>
    <row r="12952" spans="5:5">
      <c r="E12952"/>
    </row>
    <row r="12953" spans="5:5">
      <c r="E12953"/>
    </row>
    <row r="12954" spans="5:5">
      <c r="E12954"/>
    </row>
    <row r="12955" spans="5:5">
      <c r="E12955"/>
    </row>
    <row r="12956" spans="5:5">
      <c r="E12956"/>
    </row>
    <row r="12957" spans="5:5">
      <c r="E12957"/>
    </row>
    <row r="12958" spans="5:5">
      <c r="E12958"/>
    </row>
    <row r="12959" spans="5:5">
      <c r="E12959"/>
    </row>
    <row r="12960" spans="5:5">
      <c r="E12960"/>
    </row>
    <row r="12961" spans="5:5">
      <c r="E12961"/>
    </row>
    <row r="12962" spans="5:5">
      <c r="E12962"/>
    </row>
    <row r="12963" spans="5:5">
      <c r="E12963"/>
    </row>
    <row r="12964" spans="5:5">
      <c r="E12964"/>
    </row>
    <row r="12965" spans="5:5">
      <c r="E12965"/>
    </row>
    <row r="12966" spans="5:5">
      <c r="E12966"/>
    </row>
    <row r="12967" spans="5:5">
      <c r="E12967"/>
    </row>
    <row r="12968" spans="5:5">
      <c r="E12968"/>
    </row>
    <row r="12969" spans="5:5">
      <c r="E12969"/>
    </row>
    <row r="12970" spans="5:5">
      <c r="E12970"/>
    </row>
    <row r="12971" spans="5:5">
      <c r="E12971"/>
    </row>
    <row r="12972" spans="5:5">
      <c r="E12972"/>
    </row>
    <row r="12973" spans="5:5">
      <c r="E12973"/>
    </row>
    <row r="12974" spans="5:5">
      <c r="E12974"/>
    </row>
    <row r="12975" spans="5:5">
      <c r="E12975"/>
    </row>
    <row r="12976" spans="5:5">
      <c r="E12976"/>
    </row>
    <row r="12977" spans="5:5">
      <c r="E12977"/>
    </row>
    <row r="12978" spans="5:5">
      <c r="E12978"/>
    </row>
    <row r="12979" spans="5:5">
      <c r="E12979"/>
    </row>
    <row r="12980" spans="5:5">
      <c r="E12980"/>
    </row>
    <row r="12981" spans="5:5">
      <c r="E12981"/>
    </row>
    <row r="12982" spans="5:5">
      <c r="E12982"/>
    </row>
    <row r="12983" spans="5:5">
      <c r="E12983"/>
    </row>
    <row r="12984" spans="5:5">
      <c r="E12984"/>
    </row>
    <row r="12985" spans="5:5">
      <c r="E12985"/>
    </row>
    <row r="12986" spans="5:5">
      <c r="E12986"/>
    </row>
    <row r="12987" spans="5:5">
      <c r="E12987"/>
    </row>
    <row r="12988" spans="5:5">
      <c r="E12988"/>
    </row>
    <row r="12989" spans="5:5">
      <c r="E12989"/>
    </row>
    <row r="12990" spans="5:5">
      <c r="E12990"/>
    </row>
    <row r="12991" spans="5:5">
      <c r="E12991"/>
    </row>
    <row r="12992" spans="5:5">
      <c r="E12992"/>
    </row>
    <row r="12993" spans="5:5">
      <c r="E12993"/>
    </row>
    <row r="12994" spans="5:5">
      <c r="E12994"/>
    </row>
    <row r="12995" spans="5:5">
      <c r="E12995"/>
    </row>
    <row r="12996" spans="5:5">
      <c r="E12996"/>
    </row>
    <row r="12997" spans="5:5">
      <c r="E12997"/>
    </row>
    <row r="12998" spans="5:5">
      <c r="E12998"/>
    </row>
    <row r="12999" spans="5:5">
      <c r="E12999"/>
    </row>
    <row r="13000" spans="5:5">
      <c r="E13000"/>
    </row>
    <row r="13001" spans="5:5">
      <c r="E13001"/>
    </row>
    <row r="13002" spans="5:5">
      <c r="E13002"/>
    </row>
    <row r="13003" spans="5:5">
      <c r="E13003"/>
    </row>
    <row r="13004" spans="5:5">
      <c r="E13004"/>
    </row>
    <row r="13005" spans="5:5">
      <c r="E13005"/>
    </row>
    <row r="13006" spans="5:5">
      <c r="E13006"/>
    </row>
    <row r="13007" spans="5:5">
      <c r="E13007"/>
    </row>
    <row r="13008" spans="5:5">
      <c r="E13008"/>
    </row>
    <row r="13009" spans="5:5">
      <c r="E13009"/>
    </row>
    <row r="13010" spans="5:5">
      <c r="E13010"/>
    </row>
    <row r="13011" spans="5:5">
      <c r="E13011"/>
    </row>
    <row r="13012" spans="5:5">
      <c r="E13012"/>
    </row>
    <row r="13013" spans="5:5">
      <c r="E13013"/>
    </row>
    <row r="13014" spans="5:5">
      <c r="E13014"/>
    </row>
    <row r="13015" spans="5:5">
      <c r="E13015"/>
    </row>
    <row r="13016" spans="5:5">
      <c r="E13016"/>
    </row>
    <row r="13017" spans="5:5">
      <c r="E13017"/>
    </row>
    <row r="13018" spans="5:5">
      <c r="E13018"/>
    </row>
    <row r="13019" spans="5:5">
      <c r="E13019"/>
    </row>
    <row r="13020" spans="5:5">
      <c r="E13020"/>
    </row>
    <row r="13021" spans="5:5">
      <c r="E13021"/>
    </row>
    <row r="13022" spans="5:5">
      <c r="E13022"/>
    </row>
    <row r="13023" spans="5:5">
      <c r="E13023"/>
    </row>
    <row r="13024" spans="5:5">
      <c r="E13024"/>
    </row>
    <row r="13025" spans="5:5">
      <c r="E13025"/>
    </row>
    <row r="13026" spans="5:5">
      <c r="E13026"/>
    </row>
    <row r="13027" spans="5:5">
      <c r="E13027"/>
    </row>
    <row r="13028" spans="5:5">
      <c r="E13028"/>
    </row>
    <row r="13029" spans="5:5">
      <c r="E13029"/>
    </row>
    <row r="13030" spans="5:5">
      <c r="E13030"/>
    </row>
    <row r="13031" spans="5:5">
      <c r="E13031"/>
    </row>
    <row r="13032" spans="5:5">
      <c r="E13032"/>
    </row>
    <row r="13033" spans="5:5">
      <c r="E13033"/>
    </row>
    <row r="13034" spans="5:5">
      <c r="E13034"/>
    </row>
    <row r="13035" spans="5:5">
      <c r="E13035"/>
    </row>
    <row r="13036" spans="5:5">
      <c r="E13036"/>
    </row>
    <row r="13037" spans="5:5">
      <c r="E13037"/>
    </row>
    <row r="13038" spans="5:5">
      <c r="E13038"/>
    </row>
    <row r="13039" spans="5:5">
      <c r="E13039"/>
    </row>
    <row r="13040" spans="5:5">
      <c r="E13040"/>
    </row>
    <row r="13041" spans="5:5">
      <c r="E13041"/>
    </row>
    <row r="13042" spans="5:5">
      <c r="E13042"/>
    </row>
    <row r="13043" spans="5:5">
      <c r="E13043"/>
    </row>
    <row r="13044" spans="5:5">
      <c r="E13044"/>
    </row>
    <row r="13045" spans="5:5">
      <c r="E13045"/>
    </row>
    <row r="13046" spans="5:5">
      <c r="E13046"/>
    </row>
    <row r="13047" spans="5:5">
      <c r="E13047"/>
    </row>
    <row r="13048" spans="5:5">
      <c r="E13048"/>
    </row>
    <row r="13049" spans="5:5">
      <c r="E13049"/>
    </row>
    <row r="13050" spans="5:5">
      <c r="E13050"/>
    </row>
    <row r="13051" spans="5:5">
      <c r="E13051"/>
    </row>
    <row r="13052" spans="5:5">
      <c r="E13052"/>
    </row>
    <row r="13053" spans="5:5">
      <c r="E13053"/>
    </row>
    <row r="13054" spans="5:5">
      <c r="E13054"/>
    </row>
    <row r="13055" spans="5:5">
      <c r="E13055"/>
    </row>
    <row r="13056" spans="5:5">
      <c r="E13056"/>
    </row>
    <row r="13057" spans="5:5">
      <c r="E13057"/>
    </row>
    <row r="13058" spans="5:5">
      <c r="E13058"/>
    </row>
    <row r="13059" spans="5:5">
      <c r="E13059"/>
    </row>
    <row r="13060" spans="5:5">
      <c r="E13060"/>
    </row>
    <row r="13061" spans="5:5">
      <c r="E13061"/>
    </row>
    <row r="13062" spans="5:5">
      <c r="E13062"/>
    </row>
    <row r="13063" spans="5:5">
      <c r="E13063"/>
    </row>
    <row r="13064" spans="5:5">
      <c r="E13064"/>
    </row>
    <row r="13065" spans="5:5">
      <c r="E13065"/>
    </row>
    <row r="13066" spans="5:5">
      <c r="E13066"/>
    </row>
    <row r="13067" spans="5:5">
      <c r="E13067"/>
    </row>
    <row r="13068" spans="5:5">
      <c r="E13068"/>
    </row>
    <row r="13069" spans="5:5">
      <c r="E13069"/>
    </row>
    <row r="13070" spans="5:5">
      <c r="E13070"/>
    </row>
    <row r="13071" spans="5:5">
      <c r="E13071"/>
    </row>
    <row r="13072" spans="5:5">
      <c r="E13072"/>
    </row>
    <row r="13073" spans="5:5">
      <c r="E13073"/>
    </row>
    <row r="13074" spans="5:5">
      <c r="E13074"/>
    </row>
    <row r="13075" spans="5:5">
      <c r="E13075"/>
    </row>
    <row r="13076" spans="5:5">
      <c r="E13076"/>
    </row>
    <row r="13077" spans="5:5">
      <c r="E13077"/>
    </row>
    <row r="13078" spans="5:5">
      <c r="E13078"/>
    </row>
    <row r="13079" spans="5:5">
      <c r="E13079"/>
    </row>
    <row r="13080" spans="5:5">
      <c r="E13080"/>
    </row>
    <row r="13081" spans="5:5">
      <c r="E13081"/>
    </row>
    <row r="13082" spans="5:5">
      <c r="E13082"/>
    </row>
    <row r="13083" spans="5:5">
      <c r="E13083"/>
    </row>
    <row r="13084" spans="5:5">
      <c r="E13084"/>
    </row>
    <row r="13085" spans="5:5">
      <c r="E13085"/>
    </row>
    <row r="13086" spans="5:5">
      <c r="E13086"/>
    </row>
    <row r="13087" spans="5:5">
      <c r="E13087"/>
    </row>
    <row r="13088" spans="5:5">
      <c r="E13088"/>
    </row>
    <row r="13089" spans="5:5">
      <c r="E13089"/>
    </row>
    <row r="13090" spans="5:5">
      <c r="E13090"/>
    </row>
    <row r="13091" spans="5:5">
      <c r="E13091"/>
    </row>
    <row r="13092" spans="5:5">
      <c r="E13092"/>
    </row>
    <row r="13093" spans="5:5">
      <c r="E13093"/>
    </row>
    <row r="13094" spans="5:5">
      <c r="E13094"/>
    </row>
    <row r="13095" spans="5:5">
      <c r="E13095"/>
    </row>
    <row r="13096" spans="5:5">
      <c r="E13096"/>
    </row>
    <row r="13097" spans="5:5">
      <c r="E13097"/>
    </row>
    <row r="13098" spans="5:5">
      <c r="E13098"/>
    </row>
    <row r="13099" spans="5:5">
      <c r="E13099"/>
    </row>
    <row r="13100" spans="5:5">
      <c r="E13100"/>
    </row>
    <row r="13101" spans="5:5">
      <c r="E13101"/>
    </row>
    <row r="13102" spans="5:5">
      <c r="E13102"/>
    </row>
    <row r="13103" spans="5:5">
      <c r="E13103"/>
    </row>
    <row r="13104" spans="5:5">
      <c r="E13104"/>
    </row>
    <row r="13105" spans="5:5">
      <c r="E13105"/>
    </row>
    <row r="13106" spans="5:5">
      <c r="E13106"/>
    </row>
    <row r="13107" spans="5:5">
      <c r="E13107"/>
    </row>
    <row r="13108" spans="5:5">
      <c r="E13108"/>
    </row>
    <row r="13109" spans="5:5">
      <c r="E13109"/>
    </row>
    <row r="13110" spans="5:5">
      <c r="E13110"/>
    </row>
    <row r="13111" spans="5:5">
      <c r="E13111"/>
    </row>
    <row r="13112" spans="5:5">
      <c r="E13112"/>
    </row>
    <row r="13113" spans="5:5">
      <c r="E13113"/>
    </row>
    <row r="13114" spans="5:5">
      <c r="E13114"/>
    </row>
    <row r="13115" spans="5:5">
      <c r="E13115"/>
    </row>
    <row r="13116" spans="5:5">
      <c r="E13116"/>
    </row>
    <row r="13117" spans="5:5">
      <c r="E13117"/>
    </row>
    <row r="13118" spans="5:5">
      <c r="E13118"/>
    </row>
    <row r="13119" spans="5:5">
      <c r="E13119"/>
    </row>
    <row r="13120" spans="5:5">
      <c r="E13120"/>
    </row>
    <row r="13121" spans="5:5">
      <c r="E13121"/>
    </row>
    <row r="13122" spans="5:5">
      <c r="E13122"/>
    </row>
    <row r="13123" spans="5:5">
      <c r="E13123"/>
    </row>
    <row r="13124" spans="5:5">
      <c r="E13124"/>
    </row>
    <row r="13125" spans="5:5">
      <c r="E13125"/>
    </row>
    <row r="13126" spans="5:5">
      <c r="E13126"/>
    </row>
    <row r="13127" spans="5:5">
      <c r="E13127"/>
    </row>
    <row r="13128" spans="5:5">
      <c r="E13128"/>
    </row>
    <row r="13129" spans="5:5">
      <c r="E13129"/>
    </row>
    <row r="13130" spans="5:5">
      <c r="E13130"/>
    </row>
    <row r="13131" spans="5:5">
      <c r="E13131"/>
    </row>
    <row r="13132" spans="5:5">
      <c r="E13132"/>
    </row>
    <row r="13133" spans="5:5">
      <c r="E13133"/>
    </row>
    <row r="13134" spans="5:5">
      <c r="E13134"/>
    </row>
    <row r="13135" spans="5:5">
      <c r="E13135"/>
    </row>
    <row r="13136" spans="5:5">
      <c r="E13136"/>
    </row>
    <row r="13137" spans="5:5">
      <c r="E13137"/>
    </row>
    <row r="13138" spans="5:5">
      <c r="E13138"/>
    </row>
    <row r="13139" spans="5:5">
      <c r="E13139"/>
    </row>
    <row r="13140" spans="5:5">
      <c r="E13140"/>
    </row>
    <row r="13141" spans="5:5">
      <c r="E13141"/>
    </row>
    <row r="13142" spans="5:5">
      <c r="E13142"/>
    </row>
    <row r="13143" spans="5:5">
      <c r="E13143"/>
    </row>
    <row r="13144" spans="5:5">
      <c r="E13144"/>
    </row>
    <row r="13145" spans="5:5">
      <c r="E13145"/>
    </row>
    <row r="13146" spans="5:5">
      <c r="E13146"/>
    </row>
    <row r="13147" spans="5:5">
      <c r="E13147"/>
    </row>
    <row r="13148" spans="5:5">
      <c r="E13148"/>
    </row>
    <row r="13149" spans="5:5">
      <c r="E13149"/>
    </row>
    <row r="13150" spans="5:5">
      <c r="E13150"/>
    </row>
    <row r="13151" spans="5:5">
      <c r="E13151"/>
    </row>
    <row r="13152" spans="5:5">
      <c r="E13152"/>
    </row>
    <row r="13153" spans="5:5">
      <c r="E13153"/>
    </row>
    <row r="13154" spans="5:5">
      <c r="E13154"/>
    </row>
    <row r="13155" spans="5:5">
      <c r="E13155"/>
    </row>
    <row r="13156" spans="5:5">
      <c r="E13156"/>
    </row>
    <row r="13157" spans="5:5">
      <c r="E13157"/>
    </row>
    <row r="13158" spans="5:5">
      <c r="E13158"/>
    </row>
    <row r="13159" spans="5:5">
      <c r="E13159"/>
    </row>
    <row r="13160" spans="5:5">
      <c r="E13160"/>
    </row>
    <row r="13161" spans="5:5">
      <c r="E13161"/>
    </row>
    <row r="13162" spans="5:5">
      <c r="E13162"/>
    </row>
    <row r="13163" spans="5:5">
      <c r="E13163"/>
    </row>
    <row r="13164" spans="5:5">
      <c r="E13164"/>
    </row>
    <row r="13165" spans="5:5">
      <c r="E13165"/>
    </row>
    <row r="13166" spans="5:5">
      <c r="E13166"/>
    </row>
    <row r="13167" spans="5:5">
      <c r="E13167"/>
    </row>
    <row r="13168" spans="5:5">
      <c r="E13168"/>
    </row>
    <row r="13169" spans="5:5">
      <c r="E13169"/>
    </row>
    <row r="13170" spans="5:5">
      <c r="E13170"/>
    </row>
    <row r="13171" spans="5:5">
      <c r="E13171"/>
    </row>
    <row r="13172" spans="5:5">
      <c r="E13172"/>
    </row>
    <row r="13173" spans="5:5">
      <c r="E13173"/>
    </row>
    <row r="13174" spans="5:5">
      <c r="E13174"/>
    </row>
    <row r="13175" spans="5:5">
      <c r="E13175"/>
    </row>
    <row r="13176" spans="5:5">
      <c r="E13176"/>
    </row>
    <row r="13177" spans="5:5">
      <c r="E13177"/>
    </row>
    <row r="13178" spans="5:5">
      <c r="E13178"/>
    </row>
    <row r="13179" spans="5:5">
      <c r="E13179"/>
    </row>
    <row r="13180" spans="5:5">
      <c r="E13180"/>
    </row>
    <row r="13181" spans="5:5">
      <c r="E13181"/>
    </row>
    <row r="13182" spans="5:5">
      <c r="E13182"/>
    </row>
    <row r="13183" spans="5:5">
      <c r="E13183"/>
    </row>
    <row r="13184" spans="5:5">
      <c r="E13184"/>
    </row>
    <row r="13185" spans="5:5">
      <c r="E13185"/>
    </row>
    <row r="13186" spans="5:5">
      <c r="E13186"/>
    </row>
    <row r="13187" spans="5:5">
      <c r="E13187"/>
    </row>
    <row r="13188" spans="5:5">
      <c r="E13188"/>
    </row>
    <row r="13189" spans="5:5">
      <c r="E13189"/>
    </row>
    <row r="13190" spans="5:5">
      <c r="E13190"/>
    </row>
    <row r="13191" spans="5:5">
      <c r="E13191"/>
    </row>
    <row r="13192" spans="5:5">
      <c r="E13192"/>
    </row>
    <row r="13193" spans="5:5">
      <c r="E13193"/>
    </row>
    <row r="13194" spans="5:5">
      <c r="E13194"/>
    </row>
    <row r="13195" spans="5:5">
      <c r="E13195"/>
    </row>
    <row r="13196" spans="5:5">
      <c r="E13196"/>
    </row>
    <row r="13197" spans="5:5">
      <c r="E13197"/>
    </row>
    <row r="13198" spans="5:5">
      <c r="E13198"/>
    </row>
    <row r="13199" spans="5:5">
      <c r="E13199"/>
    </row>
    <row r="13200" spans="5:5">
      <c r="E13200"/>
    </row>
    <row r="13201" spans="5:5">
      <c r="E13201"/>
    </row>
    <row r="13202" spans="5:5">
      <c r="E13202"/>
    </row>
    <row r="13203" spans="5:5">
      <c r="E13203"/>
    </row>
    <row r="13204" spans="5:5">
      <c r="E13204"/>
    </row>
    <row r="13205" spans="5:5">
      <c r="E13205"/>
    </row>
    <row r="13206" spans="5:5">
      <c r="E13206"/>
    </row>
    <row r="13207" spans="5:5">
      <c r="E13207"/>
    </row>
    <row r="13208" spans="5:5">
      <c r="E13208"/>
    </row>
    <row r="13209" spans="5:5">
      <c r="E13209"/>
    </row>
    <row r="13210" spans="5:5">
      <c r="E13210"/>
    </row>
    <row r="13211" spans="5:5">
      <c r="E13211"/>
    </row>
    <row r="13212" spans="5:5">
      <c r="E13212"/>
    </row>
    <row r="13213" spans="5:5">
      <c r="E13213"/>
    </row>
    <row r="13214" spans="5:5">
      <c r="E13214"/>
    </row>
    <row r="13215" spans="5:5">
      <c r="E13215"/>
    </row>
    <row r="13216" spans="5:5">
      <c r="E13216"/>
    </row>
    <row r="13217" spans="5:5">
      <c r="E13217"/>
    </row>
    <row r="13218" spans="5:5">
      <c r="E13218"/>
    </row>
    <row r="13219" spans="5:5">
      <c r="E13219"/>
    </row>
    <row r="13220" spans="5:5">
      <c r="E13220"/>
    </row>
    <row r="13221" spans="5:5">
      <c r="E13221"/>
    </row>
    <row r="13222" spans="5:5">
      <c r="E13222"/>
    </row>
    <row r="13223" spans="5:5">
      <c r="E13223"/>
    </row>
    <row r="13224" spans="5:5">
      <c r="E13224"/>
    </row>
    <row r="13225" spans="5:5">
      <c r="E13225"/>
    </row>
    <row r="13226" spans="5:5">
      <c r="E13226"/>
    </row>
    <row r="13227" spans="5:5">
      <c r="E13227"/>
    </row>
    <row r="13228" spans="5:5">
      <c r="E13228"/>
    </row>
    <row r="13229" spans="5:5">
      <c r="E13229"/>
    </row>
    <row r="13230" spans="5:5">
      <c r="E13230"/>
    </row>
    <row r="13231" spans="5:5">
      <c r="E13231"/>
    </row>
    <row r="13232" spans="5:5">
      <c r="E13232"/>
    </row>
    <row r="13233" spans="5:5">
      <c r="E13233"/>
    </row>
    <row r="13234" spans="5:5">
      <c r="E13234"/>
    </row>
    <row r="13235" spans="5:5">
      <c r="E13235"/>
    </row>
    <row r="13236" spans="5:5">
      <c r="E13236"/>
    </row>
    <row r="13237" spans="5:5">
      <c r="E13237"/>
    </row>
    <row r="13238" spans="5:5">
      <c r="E13238"/>
    </row>
    <row r="13239" spans="5:5">
      <c r="E13239"/>
    </row>
    <row r="13240" spans="5:5">
      <c r="E13240"/>
    </row>
    <row r="13241" spans="5:5">
      <c r="E13241"/>
    </row>
    <row r="13242" spans="5:5">
      <c r="E13242"/>
    </row>
    <row r="13243" spans="5:5">
      <c r="E13243"/>
    </row>
    <row r="13244" spans="5:5">
      <c r="E13244"/>
    </row>
    <row r="13245" spans="5:5">
      <c r="E13245"/>
    </row>
    <row r="13246" spans="5:5">
      <c r="E13246"/>
    </row>
    <row r="13247" spans="5:5">
      <c r="E13247"/>
    </row>
    <row r="13248" spans="5:5">
      <c r="E13248"/>
    </row>
    <row r="13249" spans="5:5">
      <c r="E13249"/>
    </row>
    <row r="13250" spans="5:5">
      <c r="E13250"/>
    </row>
    <row r="13251" spans="5:5">
      <c r="E13251"/>
    </row>
    <row r="13252" spans="5:5">
      <c r="E13252"/>
    </row>
    <row r="13253" spans="5:5">
      <c r="E13253"/>
    </row>
    <row r="13254" spans="5:5">
      <c r="E13254"/>
    </row>
    <row r="13255" spans="5:5">
      <c r="E13255"/>
    </row>
    <row r="13256" spans="5:5">
      <c r="E13256"/>
    </row>
    <row r="13257" spans="5:5">
      <c r="E13257"/>
    </row>
    <row r="13258" spans="5:5">
      <c r="E13258"/>
    </row>
    <row r="13259" spans="5:5">
      <c r="E13259"/>
    </row>
    <row r="13260" spans="5:5">
      <c r="E13260"/>
    </row>
    <row r="13261" spans="5:5">
      <c r="E13261"/>
    </row>
    <row r="13262" spans="5:5">
      <c r="E13262"/>
    </row>
    <row r="13263" spans="5:5">
      <c r="E13263"/>
    </row>
    <row r="13264" spans="5:5">
      <c r="E13264"/>
    </row>
    <row r="13265" spans="5:5">
      <c r="E13265"/>
    </row>
    <row r="13266" spans="5:5">
      <c r="E13266"/>
    </row>
    <row r="13267" spans="5:5">
      <c r="E13267"/>
    </row>
    <row r="13268" spans="5:5">
      <c r="E13268"/>
    </row>
    <row r="13269" spans="5:5">
      <c r="E13269"/>
    </row>
    <row r="13270" spans="5:5">
      <c r="E13270"/>
    </row>
    <row r="13271" spans="5:5">
      <c r="E13271"/>
    </row>
    <row r="13272" spans="5:5">
      <c r="E13272"/>
    </row>
    <row r="13273" spans="5:5">
      <c r="E13273"/>
    </row>
    <row r="13274" spans="5:5">
      <c r="E13274"/>
    </row>
    <row r="13275" spans="5:5">
      <c r="E13275"/>
    </row>
    <row r="13276" spans="5:5">
      <c r="E13276"/>
    </row>
    <row r="13277" spans="5:5">
      <c r="E13277"/>
    </row>
    <row r="13278" spans="5:5">
      <c r="E13278"/>
    </row>
    <row r="13279" spans="5:5">
      <c r="E13279"/>
    </row>
    <row r="13280" spans="5:5">
      <c r="E13280"/>
    </row>
    <row r="13281" spans="5:5">
      <c r="E13281"/>
    </row>
    <row r="13282" spans="5:5">
      <c r="E13282"/>
    </row>
    <row r="13283" spans="5:5">
      <c r="E13283"/>
    </row>
    <row r="13284" spans="5:5">
      <c r="E13284"/>
    </row>
    <row r="13285" spans="5:5">
      <c r="E13285"/>
    </row>
    <row r="13286" spans="5:5">
      <c r="E13286"/>
    </row>
    <row r="13287" spans="5:5">
      <c r="E13287"/>
    </row>
    <row r="13288" spans="5:5">
      <c r="E13288"/>
    </row>
    <row r="13289" spans="5:5">
      <c r="E13289"/>
    </row>
    <row r="13290" spans="5:5">
      <c r="E13290"/>
    </row>
    <row r="13291" spans="5:5">
      <c r="E13291"/>
    </row>
    <row r="13292" spans="5:5">
      <c r="E13292"/>
    </row>
    <row r="13293" spans="5:5">
      <c r="E13293"/>
    </row>
    <row r="13294" spans="5:5">
      <c r="E13294"/>
    </row>
    <row r="13295" spans="5:5">
      <c r="E13295"/>
    </row>
    <row r="13296" spans="5:5">
      <c r="E13296"/>
    </row>
    <row r="13297" spans="5:5">
      <c r="E13297"/>
    </row>
    <row r="13298" spans="5:5">
      <c r="E13298"/>
    </row>
    <row r="13299" spans="5:5">
      <c r="E13299"/>
    </row>
    <row r="13300" spans="5:5">
      <c r="E13300"/>
    </row>
    <row r="13301" spans="5:5">
      <c r="E13301"/>
    </row>
    <row r="13302" spans="5:5">
      <c r="E13302"/>
    </row>
    <row r="13303" spans="5:5">
      <c r="E13303"/>
    </row>
    <row r="13304" spans="5:5">
      <c r="E13304"/>
    </row>
    <row r="13305" spans="5:5">
      <c r="E13305"/>
    </row>
    <row r="13306" spans="5:5">
      <c r="E13306"/>
    </row>
    <row r="13307" spans="5:5">
      <c r="E13307"/>
    </row>
    <row r="13308" spans="5:5">
      <c r="E13308"/>
    </row>
    <row r="13309" spans="5:5">
      <c r="E13309"/>
    </row>
    <row r="13310" spans="5:5">
      <c r="E13310"/>
    </row>
    <row r="13311" spans="5:5">
      <c r="E13311"/>
    </row>
    <row r="13312" spans="5:5">
      <c r="E13312"/>
    </row>
    <row r="13313" spans="5:5">
      <c r="E13313"/>
    </row>
    <row r="13314" spans="5:5">
      <c r="E13314"/>
    </row>
    <row r="13315" spans="5:5">
      <c r="E13315"/>
    </row>
    <row r="13316" spans="5:5">
      <c r="E13316"/>
    </row>
    <row r="13317" spans="5:5">
      <c r="E13317"/>
    </row>
    <row r="13318" spans="5:5">
      <c r="E13318"/>
    </row>
    <row r="13319" spans="5:5">
      <c r="E13319"/>
    </row>
    <row r="13320" spans="5:5">
      <c r="E13320"/>
    </row>
    <row r="13321" spans="5:5">
      <c r="E13321"/>
    </row>
    <row r="13322" spans="5:5">
      <c r="E13322"/>
    </row>
    <row r="13323" spans="5:5">
      <c r="E13323"/>
    </row>
    <row r="13324" spans="5:5">
      <c r="E13324"/>
    </row>
    <row r="13325" spans="5:5">
      <c r="E13325"/>
    </row>
    <row r="13326" spans="5:5">
      <c r="E13326"/>
    </row>
    <row r="13327" spans="5:5">
      <c r="E13327"/>
    </row>
    <row r="13328" spans="5:5">
      <c r="E13328"/>
    </row>
    <row r="13329" spans="5:5">
      <c r="E13329"/>
    </row>
    <row r="13330" spans="5:5">
      <c r="E13330"/>
    </row>
    <row r="13331" spans="5:5">
      <c r="E13331"/>
    </row>
    <row r="13332" spans="5:5">
      <c r="E13332"/>
    </row>
    <row r="13333" spans="5:5">
      <c r="E13333"/>
    </row>
    <row r="13334" spans="5:5">
      <c r="E13334"/>
    </row>
    <row r="13335" spans="5:5">
      <c r="E13335"/>
    </row>
    <row r="13336" spans="5:5">
      <c r="E13336"/>
    </row>
    <row r="13337" spans="5:5">
      <c r="E13337"/>
    </row>
    <row r="13338" spans="5:5">
      <c r="E13338"/>
    </row>
    <row r="13339" spans="5:5">
      <c r="E13339"/>
    </row>
    <row r="13340" spans="5:5">
      <c r="E13340"/>
    </row>
    <row r="13341" spans="5:5">
      <c r="E13341"/>
    </row>
    <row r="13342" spans="5:5">
      <c r="E13342"/>
    </row>
    <row r="13343" spans="5:5">
      <c r="E13343"/>
    </row>
    <row r="13344" spans="5:5">
      <c r="E13344"/>
    </row>
    <row r="13345" spans="5:5">
      <c r="E13345"/>
    </row>
    <row r="13346" spans="5:5">
      <c r="E13346"/>
    </row>
    <row r="13347" spans="5:5">
      <c r="E13347"/>
    </row>
    <row r="13348" spans="5:5">
      <c r="E13348"/>
    </row>
    <row r="13349" spans="5:5">
      <c r="E13349"/>
    </row>
    <row r="13350" spans="5:5">
      <c r="E13350"/>
    </row>
    <row r="13351" spans="5:5">
      <c r="E13351"/>
    </row>
    <row r="13352" spans="5:5">
      <c r="E13352"/>
    </row>
    <row r="13353" spans="5:5">
      <c r="E13353"/>
    </row>
    <row r="13354" spans="5:5">
      <c r="E13354"/>
    </row>
    <row r="13355" spans="5:5">
      <c r="E13355"/>
    </row>
    <row r="13356" spans="5:5">
      <c r="E13356"/>
    </row>
    <row r="13357" spans="5:5">
      <c r="E13357"/>
    </row>
    <row r="13358" spans="5:5">
      <c r="E13358"/>
    </row>
    <row r="13359" spans="5:5">
      <c r="E13359"/>
    </row>
    <row r="13360" spans="5:5">
      <c r="E13360"/>
    </row>
    <row r="13361" spans="5:5">
      <c r="E13361"/>
    </row>
    <row r="13362" spans="5:5">
      <c r="E13362"/>
    </row>
    <row r="13363" spans="5:5">
      <c r="E13363"/>
    </row>
    <row r="13364" spans="5:5">
      <c r="E13364"/>
    </row>
    <row r="13365" spans="5:5">
      <c r="E13365"/>
    </row>
    <row r="13366" spans="5:5">
      <c r="E13366"/>
    </row>
    <row r="13367" spans="5:5">
      <c r="E13367"/>
    </row>
    <row r="13368" spans="5:5">
      <c r="E13368"/>
    </row>
    <row r="13369" spans="5:5">
      <c r="E13369"/>
    </row>
    <row r="13370" spans="5:5">
      <c r="E13370"/>
    </row>
    <row r="13371" spans="5:5">
      <c r="E13371"/>
    </row>
    <row r="13372" spans="5:5">
      <c r="E13372"/>
    </row>
    <row r="13373" spans="5:5">
      <c r="E13373"/>
    </row>
    <row r="13374" spans="5:5">
      <c r="E13374"/>
    </row>
    <row r="13375" spans="5:5">
      <c r="E13375"/>
    </row>
    <row r="13376" spans="5:5">
      <c r="E13376"/>
    </row>
    <row r="13377" spans="5:5">
      <c r="E13377"/>
    </row>
    <row r="13378" spans="5:5">
      <c r="E13378"/>
    </row>
    <row r="13379" spans="5:5">
      <c r="E13379"/>
    </row>
    <row r="13380" spans="5:5">
      <c r="E13380"/>
    </row>
    <row r="13381" spans="5:5">
      <c r="E13381"/>
    </row>
    <row r="13382" spans="5:5">
      <c r="E13382"/>
    </row>
    <row r="13383" spans="5:5">
      <c r="E13383"/>
    </row>
    <row r="13384" spans="5:5">
      <c r="E13384"/>
    </row>
    <row r="13385" spans="5:5">
      <c r="E13385"/>
    </row>
    <row r="13386" spans="5:5">
      <c r="E13386"/>
    </row>
    <row r="13387" spans="5:5">
      <c r="E13387"/>
    </row>
    <row r="13388" spans="5:5">
      <c r="E13388"/>
    </row>
    <row r="13389" spans="5:5">
      <c r="E13389"/>
    </row>
    <row r="13390" spans="5:5">
      <c r="E13390"/>
    </row>
    <row r="13391" spans="5:5">
      <c r="E13391"/>
    </row>
    <row r="13392" spans="5:5">
      <c r="E13392"/>
    </row>
    <row r="13393" spans="5:5">
      <c r="E13393"/>
    </row>
    <row r="13394" spans="5:5">
      <c r="E13394"/>
    </row>
    <row r="13395" spans="5:5">
      <c r="E13395"/>
    </row>
    <row r="13396" spans="5:5">
      <c r="E13396"/>
    </row>
    <row r="13397" spans="5:5">
      <c r="E13397"/>
    </row>
    <row r="13398" spans="5:5">
      <c r="E13398"/>
    </row>
    <row r="13399" spans="5:5">
      <c r="E13399"/>
    </row>
    <row r="13400" spans="5:5">
      <c r="E13400"/>
    </row>
    <row r="13401" spans="5:5">
      <c r="E13401"/>
    </row>
    <row r="13402" spans="5:5">
      <c r="E13402"/>
    </row>
    <row r="13403" spans="5:5">
      <c r="E13403"/>
    </row>
    <row r="13404" spans="5:5">
      <c r="E13404"/>
    </row>
    <row r="13405" spans="5:5">
      <c r="E13405"/>
    </row>
    <row r="13406" spans="5:5">
      <c r="E13406"/>
    </row>
    <row r="13407" spans="5:5">
      <c r="E13407"/>
    </row>
    <row r="13408" spans="5:5">
      <c r="E13408"/>
    </row>
    <row r="13409" spans="5:5">
      <c r="E13409"/>
    </row>
    <row r="13410" spans="5:5">
      <c r="E13410"/>
    </row>
    <row r="13411" spans="5:5">
      <c r="E13411"/>
    </row>
    <row r="13412" spans="5:5">
      <c r="E13412"/>
    </row>
    <row r="13413" spans="5:5">
      <c r="E13413"/>
    </row>
    <row r="13414" spans="5:5">
      <c r="E13414"/>
    </row>
    <row r="13415" spans="5:5">
      <c r="E13415"/>
    </row>
    <row r="13416" spans="5:5">
      <c r="E13416"/>
    </row>
    <row r="13417" spans="5:5">
      <c r="E13417"/>
    </row>
    <row r="13418" spans="5:5">
      <c r="E13418"/>
    </row>
    <row r="13419" spans="5:5">
      <c r="E13419"/>
    </row>
    <row r="13420" spans="5:5">
      <c r="E13420"/>
    </row>
    <row r="13421" spans="5:5">
      <c r="E13421"/>
    </row>
    <row r="13422" spans="5:5">
      <c r="E13422"/>
    </row>
    <row r="13423" spans="5:5">
      <c r="E13423"/>
    </row>
    <row r="13424" spans="5:5">
      <c r="E13424"/>
    </row>
    <row r="13425" spans="5:5">
      <c r="E13425"/>
    </row>
    <row r="13426" spans="5:5">
      <c r="E13426"/>
    </row>
    <row r="13427" spans="5:5">
      <c r="E13427"/>
    </row>
    <row r="13428" spans="5:5">
      <c r="E13428"/>
    </row>
    <row r="13429" spans="5:5">
      <c r="E13429"/>
    </row>
    <row r="13430" spans="5:5">
      <c r="E13430"/>
    </row>
    <row r="13431" spans="5:5">
      <c r="E13431"/>
    </row>
    <row r="13432" spans="5:5">
      <c r="E13432"/>
    </row>
    <row r="13433" spans="5:5">
      <c r="E13433"/>
    </row>
    <row r="13434" spans="5:5">
      <c r="E13434"/>
    </row>
    <row r="13435" spans="5:5">
      <c r="E13435"/>
    </row>
    <row r="13436" spans="5:5">
      <c r="E13436"/>
    </row>
    <row r="13437" spans="5:5">
      <c r="E13437"/>
    </row>
    <row r="13438" spans="5:5">
      <c r="E13438"/>
    </row>
    <row r="13439" spans="5:5">
      <c r="E13439"/>
    </row>
    <row r="13440" spans="5:5">
      <c r="E13440"/>
    </row>
    <row r="13441" spans="5:5">
      <c r="E13441"/>
    </row>
    <row r="13442" spans="5:5">
      <c r="E13442"/>
    </row>
    <row r="13443" spans="5:5">
      <c r="E13443"/>
    </row>
    <row r="13444" spans="5:5">
      <c r="E13444"/>
    </row>
    <row r="13445" spans="5:5">
      <c r="E13445"/>
    </row>
    <row r="13446" spans="5:5">
      <c r="E13446"/>
    </row>
    <row r="13447" spans="5:5">
      <c r="E13447"/>
    </row>
    <row r="13448" spans="5:5">
      <c r="E13448"/>
    </row>
    <row r="13449" spans="5:5">
      <c r="E13449"/>
    </row>
    <row r="13450" spans="5:5">
      <c r="E13450"/>
    </row>
    <row r="13451" spans="5:5">
      <c r="E13451"/>
    </row>
    <row r="13452" spans="5:5">
      <c r="E13452"/>
    </row>
    <row r="13453" spans="5:5">
      <c r="E13453"/>
    </row>
    <row r="13454" spans="5:5">
      <c r="E13454"/>
    </row>
    <row r="13455" spans="5:5">
      <c r="E13455"/>
    </row>
    <row r="13456" spans="5:5">
      <c r="E13456"/>
    </row>
    <row r="13457" spans="5:5">
      <c r="E13457"/>
    </row>
    <row r="13458" spans="5:5">
      <c r="E13458"/>
    </row>
    <row r="13459" spans="5:5">
      <c r="E13459"/>
    </row>
    <row r="13460" spans="5:5">
      <c r="E13460"/>
    </row>
    <row r="13461" spans="5:5">
      <c r="E13461"/>
    </row>
    <row r="13462" spans="5:5">
      <c r="E13462"/>
    </row>
    <row r="13463" spans="5:5">
      <c r="E13463"/>
    </row>
    <row r="13464" spans="5:5">
      <c r="E13464"/>
    </row>
    <row r="13465" spans="5:5">
      <c r="E13465"/>
    </row>
    <row r="13466" spans="5:5">
      <c r="E13466"/>
    </row>
    <row r="13467" spans="5:5">
      <c r="E13467"/>
    </row>
    <row r="13468" spans="5:5">
      <c r="E13468"/>
    </row>
    <row r="13469" spans="5:5">
      <c r="E13469"/>
    </row>
    <row r="13470" spans="5:5">
      <c r="E13470"/>
    </row>
    <row r="13471" spans="5:5">
      <c r="E13471"/>
    </row>
    <row r="13472" spans="5:5">
      <c r="E13472"/>
    </row>
    <row r="13473" spans="5:5">
      <c r="E13473"/>
    </row>
    <row r="13474" spans="5:5">
      <c r="E13474"/>
    </row>
    <row r="13475" spans="5:5">
      <c r="E13475"/>
    </row>
    <row r="13476" spans="5:5">
      <c r="E13476"/>
    </row>
    <row r="13477" spans="5:5">
      <c r="E13477"/>
    </row>
    <row r="13478" spans="5:5">
      <c r="E13478"/>
    </row>
    <row r="13479" spans="5:5">
      <c r="E13479"/>
    </row>
    <row r="13480" spans="5:5">
      <c r="E13480"/>
    </row>
    <row r="13481" spans="5:5">
      <c r="E13481"/>
    </row>
    <row r="13482" spans="5:5">
      <c r="E13482"/>
    </row>
    <row r="13483" spans="5:5">
      <c r="E13483"/>
    </row>
    <row r="13484" spans="5:5">
      <c r="E13484"/>
    </row>
    <row r="13485" spans="5:5">
      <c r="E13485"/>
    </row>
    <row r="13486" spans="5:5">
      <c r="E13486"/>
    </row>
    <row r="13487" spans="5:5">
      <c r="E13487"/>
    </row>
    <row r="13488" spans="5:5">
      <c r="E13488"/>
    </row>
    <row r="13489" spans="5:5">
      <c r="E13489"/>
    </row>
    <row r="13490" spans="5:5">
      <c r="E13490"/>
    </row>
    <row r="13491" spans="5:5">
      <c r="E13491"/>
    </row>
    <row r="13492" spans="5:5">
      <c r="E13492"/>
    </row>
    <row r="13493" spans="5:5">
      <c r="E13493"/>
    </row>
    <row r="13494" spans="5:5">
      <c r="E13494"/>
    </row>
    <row r="13495" spans="5:5">
      <c r="E13495"/>
    </row>
    <row r="13496" spans="5:5">
      <c r="E13496"/>
    </row>
    <row r="13497" spans="5:5">
      <c r="E13497"/>
    </row>
    <row r="13498" spans="5:5">
      <c r="E13498"/>
    </row>
    <row r="13499" spans="5:5">
      <c r="E13499"/>
    </row>
    <row r="13500" spans="5:5">
      <c r="E13500"/>
    </row>
    <row r="13501" spans="5:5">
      <c r="E13501"/>
    </row>
    <row r="13502" spans="5:5">
      <c r="E13502"/>
    </row>
    <row r="13503" spans="5:5">
      <c r="E13503"/>
    </row>
    <row r="13504" spans="5:5">
      <c r="E13504"/>
    </row>
    <row r="13505" spans="5:5">
      <c r="E13505"/>
    </row>
    <row r="13506" spans="5:5">
      <c r="E13506"/>
    </row>
    <row r="13507" spans="5:5">
      <c r="E13507"/>
    </row>
    <row r="13508" spans="5:5">
      <c r="E13508"/>
    </row>
    <row r="13509" spans="5:5">
      <c r="E13509"/>
    </row>
    <row r="13510" spans="5:5">
      <c r="E13510"/>
    </row>
    <row r="13511" spans="5:5">
      <c r="E13511"/>
    </row>
    <row r="13512" spans="5:5">
      <c r="E13512"/>
    </row>
    <row r="13513" spans="5:5">
      <c r="E13513"/>
    </row>
    <row r="13514" spans="5:5">
      <c r="E13514"/>
    </row>
    <row r="13515" spans="5:5">
      <c r="E13515"/>
    </row>
    <row r="13516" spans="5:5">
      <c r="E13516"/>
    </row>
    <row r="13517" spans="5:5">
      <c r="E13517"/>
    </row>
    <row r="13518" spans="5:5">
      <c r="E13518"/>
    </row>
    <row r="13519" spans="5:5">
      <c r="E13519"/>
    </row>
    <row r="13520" spans="5:5">
      <c r="E13520"/>
    </row>
    <row r="13521" spans="5:5">
      <c r="E13521"/>
    </row>
    <row r="13522" spans="5:5">
      <c r="E13522"/>
    </row>
    <row r="13523" spans="5:5">
      <c r="E13523"/>
    </row>
    <row r="13524" spans="5:5">
      <c r="E13524"/>
    </row>
    <row r="13525" spans="5:5">
      <c r="E13525"/>
    </row>
    <row r="13526" spans="5:5">
      <c r="E13526"/>
    </row>
    <row r="13527" spans="5:5">
      <c r="E13527"/>
    </row>
    <row r="13528" spans="5:5">
      <c r="E13528"/>
    </row>
    <row r="13529" spans="5:5">
      <c r="E13529"/>
    </row>
    <row r="13530" spans="5:5">
      <c r="E13530"/>
    </row>
    <row r="13531" spans="5:5">
      <c r="E13531"/>
    </row>
    <row r="13532" spans="5:5">
      <c r="E13532"/>
    </row>
    <row r="13533" spans="5:5">
      <c r="E13533"/>
    </row>
    <row r="13534" spans="5:5">
      <c r="E13534"/>
    </row>
    <row r="13535" spans="5:5">
      <c r="E13535"/>
    </row>
    <row r="13536" spans="5:5">
      <c r="E13536"/>
    </row>
    <row r="13537" spans="5:5">
      <c r="E13537"/>
    </row>
    <row r="13538" spans="5:5">
      <c r="E13538"/>
    </row>
    <row r="13539" spans="5:5">
      <c r="E13539"/>
    </row>
    <row r="13540" spans="5:5">
      <c r="E13540"/>
    </row>
    <row r="13541" spans="5:5">
      <c r="E13541"/>
    </row>
    <row r="13542" spans="5:5">
      <c r="E13542"/>
    </row>
    <row r="13543" spans="5:5">
      <c r="E13543"/>
    </row>
    <row r="13544" spans="5:5">
      <c r="E13544"/>
    </row>
    <row r="13545" spans="5:5">
      <c r="E13545"/>
    </row>
    <row r="13546" spans="5:5">
      <c r="E13546"/>
    </row>
    <row r="13547" spans="5:5">
      <c r="E13547"/>
    </row>
    <row r="13548" spans="5:5">
      <c r="E13548"/>
    </row>
    <row r="13549" spans="5:5">
      <c r="E13549"/>
    </row>
    <row r="13550" spans="5:5">
      <c r="E13550"/>
    </row>
    <row r="13551" spans="5:5">
      <c r="E13551"/>
    </row>
    <row r="13552" spans="5:5">
      <c r="E13552"/>
    </row>
    <row r="13553" spans="5:5">
      <c r="E13553"/>
    </row>
    <row r="13554" spans="5:5">
      <c r="E13554"/>
    </row>
    <row r="13555" spans="5:5">
      <c r="E13555"/>
    </row>
    <row r="13556" spans="5:5">
      <c r="E13556"/>
    </row>
    <row r="13557" spans="5:5">
      <c r="E13557"/>
    </row>
    <row r="13558" spans="5:5">
      <c r="E13558"/>
    </row>
    <row r="13559" spans="5:5">
      <c r="E13559"/>
    </row>
    <row r="13560" spans="5:5">
      <c r="E13560"/>
    </row>
    <row r="13561" spans="5:5">
      <c r="E13561"/>
    </row>
    <row r="13562" spans="5:5">
      <c r="E13562"/>
    </row>
    <row r="13563" spans="5:5">
      <c r="E13563"/>
    </row>
    <row r="13564" spans="5:5">
      <c r="E13564"/>
    </row>
    <row r="13565" spans="5:5">
      <c r="E13565"/>
    </row>
    <row r="13566" spans="5:5">
      <c r="E13566"/>
    </row>
    <row r="13567" spans="5:5">
      <c r="E13567"/>
    </row>
    <row r="13568" spans="5:5">
      <c r="E13568"/>
    </row>
    <row r="13569" spans="5:5">
      <c r="E13569"/>
    </row>
    <row r="13570" spans="5:5">
      <c r="E13570"/>
    </row>
    <row r="13571" spans="5:5">
      <c r="E13571"/>
    </row>
    <row r="13572" spans="5:5">
      <c r="E13572"/>
    </row>
    <row r="13573" spans="5:5">
      <c r="E13573"/>
    </row>
    <row r="13574" spans="5:5">
      <c r="E13574"/>
    </row>
    <row r="13575" spans="5:5">
      <c r="E13575"/>
    </row>
    <row r="13576" spans="5:5">
      <c r="E13576"/>
    </row>
    <row r="13577" spans="5:5">
      <c r="E13577"/>
    </row>
    <row r="13578" spans="5:5">
      <c r="E13578"/>
    </row>
    <row r="13579" spans="5:5">
      <c r="E13579"/>
    </row>
    <row r="13580" spans="5:5">
      <c r="E13580"/>
    </row>
    <row r="13581" spans="5:5">
      <c r="E13581"/>
    </row>
    <row r="13582" spans="5:5">
      <c r="E13582"/>
    </row>
    <row r="13583" spans="5:5">
      <c r="E13583"/>
    </row>
    <row r="13584" spans="5:5">
      <c r="E13584"/>
    </row>
    <row r="13585" spans="5:5">
      <c r="E13585"/>
    </row>
    <row r="13586" spans="5:5">
      <c r="E13586"/>
    </row>
    <row r="13587" spans="5:5">
      <c r="E13587"/>
    </row>
    <row r="13588" spans="5:5">
      <c r="E13588"/>
    </row>
    <row r="13589" spans="5:5">
      <c r="E13589"/>
    </row>
    <row r="13590" spans="5:5">
      <c r="E13590"/>
    </row>
    <row r="13591" spans="5:5">
      <c r="E13591"/>
    </row>
    <row r="13592" spans="5:5">
      <c r="E13592"/>
    </row>
    <row r="13593" spans="5:5">
      <c r="E13593"/>
    </row>
    <row r="13594" spans="5:5">
      <c r="E13594"/>
    </row>
    <row r="13595" spans="5:5">
      <c r="E13595"/>
    </row>
    <row r="13596" spans="5:5">
      <c r="E13596"/>
    </row>
    <row r="13597" spans="5:5">
      <c r="E13597"/>
    </row>
    <row r="13598" spans="5:5">
      <c r="E13598"/>
    </row>
    <row r="13599" spans="5:5">
      <c r="E13599"/>
    </row>
    <row r="13600" spans="5:5">
      <c r="E13600"/>
    </row>
    <row r="13601" spans="5:5">
      <c r="E13601"/>
    </row>
    <row r="13602" spans="5:5">
      <c r="E13602"/>
    </row>
    <row r="13603" spans="5:5">
      <c r="E13603"/>
    </row>
    <row r="13604" spans="5:5">
      <c r="E13604"/>
    </row>
    <row r="13605" spans="5:5">
      <c r="E13605"/>
    </row>
    <row r="13606" spans="5:5">
      <c r="E13606"/>
    </row>
    <row r="13607" spans="5:5">
      <c r="E13607"/>
    </row>
    <row r="13608" spans="5:5">
      <c r="E13608"/>
    </row>
    <row r="13609" spans="5:5">
      <c r="E13609"/>
    </row>
    <row r="13610" spans="5:5">
      <c r="E13610"/>
    </row>
    <row r="13611" spans="5:5">
      <c r="E13611"/>
    </row>
    <row r="13612" spans="5:5">
      <c r="E13612"/>
    </row>
    <row r="13613" spans="5:5">
      <c r="E13613"/>
    </row>
    <row r="13614" spans="5:5">
      <c r="E13614"/>
    </row>
    <row r="13615" spans="5:5">
      <c r="E13615"/>
    </row>
    <row r="13616" spans="5:5">
      <c r="E13616"/>
    </row>
    <row r="13617" spans="5:5">
      <c r="E13617"/>
    </row>
    <row r="13618" spans="5:5">
      <c r="E13618"/>
    </row>
    <row r="13619" spans="5:5">
      <c r="E13619"/>
    </row>
    <row r="13620" spans="5:5">
      <c r="E13620"/>
    </row>
    <row r="13621" spans="5:5">
      <c r="E13621"/>
    </row>
    <row r="13622" spans="5:5">
      <c r="E13622"/>
    </row>
    <row r="13623" spans="5:5">
      <c r="E13623"/>
    </row>
    <row r="13624" spans="5:5">
      <c r="E13624"/>
    </row>
    <row r="13625" spans="5:5">
      <c r="E13625"/>
    </row>
    <row r="13626" spans="5:5">
      <c r="E13626"/>
    </row>
    <row r="13627" spans="5:5">
      <c r="E13627"/>
    </row>
    <row r="13628" spans="5:5">
      <c r="E13628"/>
    </row>
    <row r="13629" spans="5:5">
      <c r="E13629"/>
    </row>
    <row r="13630" spans="5:5">
      <c r="E13630"/>
    </row>
    <row r="13631" spans="5:5">
      <c r="E13631"/>
    </row>
    <row r="13632" spans="5:5">
      <c r="E13632"/>
    </row>
    <row r="13633" spans="5:5">
      <c r="E13633"/>
    </row>
    <row r="13634" spans="5:5">
      <c r="E13634"/>
    </row>
    <row r="13635" spans="5:5">
      <c r="E13635"/>
    </row>
    <row r="13636" spans="5:5">
      <c r="E13636"/>
    </row>
    <row r="13637" spans="5:5">
      <c r="E13637"/>
    </row>
    <row r="13638" spans="5:5">
      <c r="E13638"/>
    </row>
    <row r="13639" spans="5:5">
      <c r="E13639"/>
    </row>
    <row r="13640" spans="5:5">
      <c r="E13640"/>
    </row>
    <row r="13641" spans="5:5">
      <c r="E13641"/>
    </row>
    <row r="13642" spans="5:5">
      <c r="E13642"/>
    </row>
    <row r="13643" spans="5:5">
      <c r="E13643"/>
    </row>
    <row r="13644" spans="5:5">
      <c r="E13644"/>
    </row>
    <row r="13645" spans="5:5">
      <c r="E13645"/>
    </row>
    <row r="13646" spans="5:5">
      <c r="E13646"/>
    </row>
    <row r="13647" spans="5:5">
      <c r="E13647"/>
    </row>
    <row r="13648" spans="5:5">
      <c r="E13648"/>
    </row>
    <row r="13649" spans="5:5">
      <c r="E13649"/>
    </row>
    <row r="13650" spans="5:5">
      <c r="E13650"/>
    </row>
    <row r="13651" spans="5:5">
      <c r="E13651"/>
    </row>
    <row r="13652" spans="5:5">
      <c r="E13652"/>
    </row>
    <row r="13653" spans="5:5">
      <c r="E13653"/>
    </row>
    <row r="13654" spans="5:5">
      <c r="E13654"/>
    </row>
    <row r="13655" spans="5:5">
      <c r="E13655"/>
    </row>
    <row r="13656" spans="5:5">
      <c r="E13656"/>
    </row>
    <row r="13657" spans="5:5">
      <c r="E13657"/>
    </row>
    <row r="13658" spans="5:5">
      <c r="E13658"/>
    </row>
    <row r="13659" spans="5:5">
      <c r="E13659"/>
    </row>
    <row r="13660" spans="5:5">
      <c r="E13660"/>
    </row>
    <row r="13661" spans="5:5">
      <c r="E13661"/>
    </row>
    <row r="13662" spans="5:5">
      <c r="E13662"/>
    </row>
    <row r="13663" spans="5:5">
      <c r="E13663"/>
    </row>
    <row r="13664" spans="5:5">
      <c r="E13664"/>
    </row>
    <row r="13665" spans="5:5">
      <c r="E13665"/>
    </row>
    <row r="13666" spans="5:5">
      <c r="E13666"/>
    </row>
    <row r="13667" spans="5:5">
      <c r="E13667"/>
    </row>
    <row r="13668" spans="5:5">
      <c r="E13668"/>
    </row>
    <row r="13669" spans="5:5">
      <c r="E13669"/>
    </row>
    <row r="13670" spans="5:5">
      <c r="E13670"/>
    </row>
    <row r="13671" spans="5:5">
      <c r="E13671"/>
    </row>
    <row r="13672" spans="5:5">
      <c r="E13672"/>
    </row>
    <row r="13673" spans="5:5">
      <c r="E13673"/>
    </row>
    <row r="13674" spans="5:5">
      <c r="E13674"/>
    </row>
    <row r="13675" spans="5:5">
      <c r="E13675"/>
    </row>
    <row r="13676" spans="5:5">
      <c r="E13676"/>
    </row>
    <row r="13677" spans="5:5">
      <c r="E13677"/>
    </row>
    <row r="13678" spans="5:5">
      <c r="E13678"/>
    </row>
    <row r="13679" spans="5:5">
      <c r="E13679"/>
    </row>
    <row r="13680" spans="5:5">
      <c r="E13680"/>
    </row>
    <row r="13681" spans="5:5">
      <c r="E13681"/>
    </row>
    <row r="13682" spans="5:5">
      <c r="E13682"/>
    </row>
    <row r="13683" spans="5:5">
      <c r="E13683"/>
    </row>
    <row r="13684" spans="5:5">
      <c r="E13684"/>
    </row>
    <row r="13685" spans="5:5">
      <c r="E13685"/>
    </row>
    <row r="13686" spans="5:5">
      <c r="E13686"/>
    </row>
    <row r="13687" spans="5:5">
      <c r="E13687"/>
    </row>
    <row r="13688" spans="5:5">
      <c r="E13688"/>
    </row>
    <row r="13689" spans="5:5">
      <c r="E13689"/>
    </row>
    <row r="13690" spans="5:5">
      <c r="E13690"/>
    </row>
    <row r="13691" spans="5:5">
      <c r="E13691"/>
    </row>
    <row r="13692" spans="5:5">
      <c r="E13692"/>
    </row>
    <row r="13693" spans="5:5">
      <c r="E13693"/>
    </row>
    <row r="13694" spans="5:5">
      <c r="E13694"/>
    </row>
    <row r="13695" spans="5:5">
      <c r="E13695"/>
    </row>
    <row r="13696" spans="5:5">
      <c r="E13696"/>
    </row>
    <row r="13697" spans="5:5">
      <c r="E13697"/>
    </row>
    <row r="13698" spans="5:5">
      <c r="E13698"/>
    </row>
    <row r="13699" spans="5:5">
      <c r="E13699"/>
    </row>
    <row r="13700" spans="5:5">
      <c r="E13700"/>
    </row>
    <row r="13701" spans="5:5">
      <c r="E13701"/>
    </row>
    <row r="13702" spans="5:5">
      <c r="E13702"/>
    </row>
    <row r="13703" spans="5:5">
      <c r="E13703"/>
    </row>
    <row r="13704" spans="5:5">
      <c r="E13704"/>
    </row>
    <row r="13705" spans="5:5">
      <c r="E13705"/>
    </row>
    <row r="13706" spans="5:5">
      <c r="E13706"/>
    </row>
    <row r="13707" spans="5:5">
      <c r="E13707"/>
    </row>
    <row r="13708" spans="5:5">
      <c r="E13708"/>
    </row>
    <row r="13709" spans="5:5">
      <c r="E13709"/>
    </row>
    <row r="13710" spans="5:5">
      <c r="E13710"/>
    </row>
    <row r="13711" spans="5:5">
      <c r="E13711"/>
    </row>
    <row r="13712" spans="5:5">
      <c r="E13712"/>
    </row>
    <row r="13713" spans="5:5">
      <c r="E13713"/>
    </row>
    <row r="13714" spans="5:5">
      <c r="E13714"/>
    </row>
    <row r="13715" spans="5:5">
      <c r="E13715"/>
    </row>
    <row r="13716" spans="5:5">
      <c r="E13716"/>
    </row>
    <row r="13717" spans="5:5">
      <c r="E13717"/>
    </row>
    <row r="13718" spans="5:5">
      <c r="E13718"/>
    </row>
    <row r="13719" spans="5:5">
      <c r="E13719"/>
    </row>
    <row r="13720" spans="5:5">
      <c r="E13720"/>
    </row>
    <row r="13721" spans="5:5">
      <c r="E13721"/>
    </row>
    <row r="13722" spans="5:5">
      <c r="E13722"/>
    </row>
    <row r="13723" spans="5:5">
      <c r="E13723"/>
    </row>
    <row r="13724" spans="5:5">
      <c r="E13724"/>
    </row>
    <row r="13725" spans="5:5">
      <c r="E13725"/>
    </row>
    <row r="13726" spans="5:5">
      <c r="E13726"/>
    </row>
    <row r="13727" spans="5:5">
      <c r="E13727"/>
    </row>
    <row r="13728" spans="5:5">
      <c r="E13728"/>
    </row>
    <row r="13729" spans="5:5">
      <c r="E13729"/>
    </row>
    <row r="13730" spans="5:5">
      <c r="E13730"/>
    </row>
    <row r="13731" spans="5:5">
      <c r="E13731"/>
    </row>
    <row r="13732" spans="5:5">
      <c r="E13732"/>
    </row>
    <row r="13733" spans="5:5">
      <c r="E13733"/>
    </row>
    <row r="13734" spans="5:5">
      <c r="E13734"/>
    </row>
    <row r="13735" spans="5:5">
      <c r="E13735"/>
    </row>
    <row r="13736" spans="5:5">
      <c r="E13736"/>
    </row>
    <row r="13737" spans="5:5">
      <c r="E13737"/>
    </row>
    <row r="13738" spans="5:5">
      <c r="E13738"/>
    </row>
    <row r="13739" spans="5:5">
      <c r="E13739"/>
    </row>
    <row r="13740" spans="5:5">
      <c r="E13740"/>
    </row>
    <row r="13741" spans="5:5">
      <c r="E13741"/>
    </row>
    <row r="13742" spans="5:5">
      <c r="E13742"/>
    </row>
    <row r="13743" spans="5:5">
      <c r="E13743"/>
    </row>
    <row r="13744" spans="5:5">
      <c r="E13744"/>
    </row>
    <row r="13745" spans="5:5">
      <c r="E13745"/>
    </row>
    <row r="13746" spans="5:5">
      <c r="E13746"/>
    </row>
    <row r="13747" spans="5:5">
      <c r="E13747"/>
    </row>
    <row r="13748" spans="5:5">
      <c r="E13748"/>
    </row>
    <row r="13749" spans="5:5">
      <c r="E13749"/>
    </row>
    <row r="13750" spans="5:5">
      <c r="E13750"/>
    </row>
    <row r="13751" spans="5:5">
      <c r="E13751"/>
    </row>
    <row r="13752" spans="5:5">
      <c r="E13752"/>
    </row>
    <row r="13753" spans="5:5">
      <c r="E13753"/>
    </row>
    <row r="13754" spans="5:5">
      <c r="E13754"/>
    </row>
    <row r="13755" spans="5:5">
      <c r="E13755"/>
    </row>
    <row r="13756" spans="5:5">
      <c r="E13756"/>
    </row>
    <row r="13757" spans="5:5">
      <c r="E13757"/>
    </row>
    <row r="13758" spans="5:5">
      <c r="E13758"/>
    </row>
    <row r="13759" spans="5:5">
      <c r="E13759"/>
    </row>
    <row r="13760" spans="5:5">
      <c r="E13760"/>
    </row>
    <row r="13761" spans="5:5">
      <c r="E13761"/>
    </row>
    <row r="13762" spans="5:5">
      <c r="E13762"/>
    </row>
    <row r="13763" spans="5:5">
      <c r="E13763"/>
    </row>
    <row r="13764" spans="5:5">
      <c r="E13764"/>
    </row>
    <row r="13765" spans="5:5">
      <c r="E13765"/>
    </row>
    <row r="13766" spans="5:5">
      <c r="E13766"/>
    </row>
    <row r="13767" spans="5:5">
      <c r="E13767"/>
    </row>
    <row r="13768" spans="5:5">
      <c r="E13768"/>
    </row>
    <row r="13769" spans="5:5">
      <c r="E13769"/>
    </row>
    <row r="13770" spans="5:5">
      <c r="E13770"/>
    </row>
    <row r="13771" spans="5:5">
      <c r="E13771"/>
    </row>
    <row r="13772" spans="5:5">
      <c r="E13772"/>
    </row>
    <row r="13773" spans="5:5">
      <c r="E13773"/>
    </row>
    <row r="13774" spans="5:5">
      <c r="E13774"/>
    </row>
    <row r="13775" spans="5:5">
      <c r="E13775"/>
    </row>
    <row r="13776" spans="5:5">
      <c r="E13776"/>
    </row>
    <row r="13777" spans="5:5">
      <c r="E13777"/>
    </row>
    <row r="13778" spans="5:5">
      <c r="E13778"/>
    </row>
    <row r="13779" spans="5:5">
      <c r="E13779"/>
    </row>
    <row r="13780" spans="5:5">
      <c r="E13780"/>
    </row>
    <row r="13781" spans="5:5">
      <c r="E13781"/>
    </row>
    <row r="13782" spans="5:5">
      <c r="E13782"/>
    </row>
    <row r="13783" spans="5:5">
      <c r="E13783"/>
    </row>
    <row r="13784" spans="5:5">
      <c r="E13784"/>
    </row>
    <row r="13785" spans="5:5">
      <c r="E13785"/>
    </row>
    <row r="13786" spans="5:5">
      <c r="E13786"/>
    </row>
    <row r="13787" spans="5:5">
      <c r="E13787"/>
    </row>
    <row r="13788" spans="5:5">
      <c r="E13788"/>
    </row>
    <row r="13789" spans="5:5">
      <c r="E13789"/>
    </row>
    <row r="13790" spans="5:5">
      <c r="E13790"/>
    </row>
    <row r="13791" spans="5:5">
      <c r="E13791"/>
    </row>
    <row r="13792" spans="5:5">
      <c r="E13792"/>
    </row>
    <row r="13793" spans="5:5">
      <c r="E13793"/>
    </row>
    <row r="13794" spans="5:5">
      <c r="E13794"/>
    </row>
    <row r="13795" spans="5:5">
      <c r="E13795"/>
    </row>
    <row r="13796" spans="5:5">
      <c r="E13796"/>
    </row>
    <row r="13797" spans="5:5">
      <c r="E13797"/>
    </row>
    <row r="13798" spans="5:5">
      <c r="E13798"/>
    </row>
    <row r="13799" spans="5:5">
      <c r="E13799"/>
    </row>
    <row r="13800" spans="5:5">
      <c r="E13800"/>
    </row>
    <row r="13801" spans="5:5">
      <c r="E13801"/>
    </row>
    <row r="13802" spans="5:5">
      <c r="E13802"/>
    </row>
    <row r="13803" spans="5:5">
      <c r="E13803"/>
    </row>
    <row r="13804" spans="5:5">
      <c r="E13804"/>
    </row>
    <row r="13805" spans="5:5">
      <c r="E13805"/>
    </row>
    <row r="13806" spans="5:5">
      <c r="E13806"/>
    </row>
    <row r="13807" spans="5:5">
      <c r="E13807"/>
    </row>
    <row r="13808" spans="5:5">
      <c r="E13808"/>
    </row>
    <row r="13809" spans="5:5">
      <c r="E13809"/>
    </row>
    <row r="13810" spans="5:5">
      <c r="E13810"/>
    </row>
    <row r="13811" spans="5:5">
      <c r="E13811"/>
    </row>
    <row r="13812" spans="5:5">
      <c r="E13812"/>
    </row>
    <row r="13813" spans="5:5">
      <c r="E13813"/>
    </row>
    <row r="13814" spans="5:5">
      <c r="E13814"/>
    </row>
    <row r="13815" spans="5:5">
      <c r="E13815"/>
    </row>
    <row r="13816" spans="5:5">
      <c r="E13816"/>
    </row>
    <row r="13817" spans="5:5">
      <c r="E13817"/>
    </row>
    <row r="13818" spans="5:5">
      <c r="E13818"/>
    </row>
    <row r="13819" spans="5:5">
      <c r="E13819"/>
    </row>
    <row r="13820" spans="5:5">
      <c r="E13820"/>
    </row>
    <row r="13821" spans="5:5">
      <c r="E13821"/>
    </row>
    <row r="13822" spans="5:5">
      <c r="E13822"/>
    </row>
    <row r="13823" spans="5:5">
      <c r="E13823"/>
    </row>
    <row r="13824" spans="5:5">
      <c r="E13824"/>
    </row>
    <row r="13825" spans="5:5">
      <c r="E13825"/>
    </row>
    <row r="13826" spans="5:5">
      <c r="E13826"/>
    </row>
    <row r="13827" spans="5:5">
      <c r="E13827"/>
    </row>
    <row r="13828" spans="5:5">
      <c r="E13828"/>
    </row>
    <row r="13829" spans="5:5">
      <c r="E13829"/>
    </row>
    <row r="13830" spans="5:5">
      <c r="E13830"/>
    </row>
    <row r="13831" spans="5:5">
      <c r="E13831"/>
    </row>
    <row r="13832" spans="5:5">
      <c r="E13832"/>
    </row>
    <row r="13833" spans="5:5">
      <c r="E13833"/>
    </row>
  </sheetData>
  <mergeCells count="8">
    <mergeCell ref="A3:C3"/>
    <mergeCell ref="E3:G3"/>
    <mergeCell ref="A4:B4"/>
    <mergeCell ref="C4:G4"/>
    <mergeCell ref="A117:G117"/>
    <mergeCell ref="A118:F118"/>
    <mergeCell ref="A142:F142"/>
    <mergeCell ref="A1:G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F8"/>
  <sheetViews>
    <sheetView workbookViewId="0">
      <selection activeCell="H6" sqref="H6"/>
    </sheetView>
  </sheetViews>
  <sheetFormatPr defaultColWidth="9" defaultRowHeight="15" outlineLevelRow="7" outlineLevelCol="5"/>
  <cols>
    <col min="1" max="1" width="11.7142857142857" customWidth="1"/>
    <col min="2" max="2" width="12.2857142857143" customWidth="1"/>
    <col min="3" max="4" width="16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4</v>
      </c>
      <c r="E3" s="11"/>
      <c r="F3" s="12"/>
    </row>
    <row r="4" ht="22.5" customHeight="1" spans="1:6">
      <c r="A4" s="13" t="s">
        <v>84</v>
      </c>
      <c r="B4" s="13"/>
      <c r="C4" s="14" t="s">
        <v>304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44599</v>
      </c>
      <c r="B6" s="17"/>
      <c r="C6" s="17" t="s">
        <v>305</v>
      </c>
      <c r="D6" s="17"/>
      <c r="E6" s="17">
        <v>161205</v>
      </c>
      <c r="F6" s="17">
        <f>E6-D6</f>
        <v>161205</v>
      </c>
    </row>
    <row r="7" ht="15.75" spans="1:6">
      <c r="A7" s="17"/>
      <c r="B7" s="17"/>
      <c r="C7" s="17"/>
      <c r="D7" s="17"/>
      <c r="E7" s="17"/>
      <c r="F7" s="17">
        <f>E7-D7</f>
        <v>0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0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H201"/>
  <sheetViews>
    <sheetView zoomScale="112" zoomScaleNormal="112" topLeftCell="A178" workbookViewId="0">
      <selection activeCell="K95" sqref="K95"/>
    </sheetView>
  </sheetViews>
  <sheetFormatPr defaultColWidth="9" defaultRowHeight="15" outlineLevelCol="7"/>
  <cols>
    <col min="1" max="1" width="11.2857142857143" customWidth="1"/>
    <col min="2" max="2" width="10.7142857142857" customWidth="1"/>
    <col min="3" max="3" width="26.5714285714286" customWidth="1"/>
    <col min="4" max="4" width="7.85714285714286" customWidth="1"/>
    <col min="5" max="5" width="8.85714285714286" customWidth="1"/>
    <col min="6" max="6" width="10.4285714285714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78</v>
      </c>
      <c r="E3" s="11"/>
      <c r="F3" s="12"/>
    </row>
    <row r="4" ht="18.75" spans="1:6">
      <c r="A4" s="13" t="s">
        <v>84</v>
      </c>
      <c r="B4" s="13"/>
      <c r="C4" s="14" t="s">
        <v>306</v>
      </c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45749</v>
      </c>
      <c r="B6" s="17" t="s">
        <v>307</v>
      </c>
      <c r="C6" s="17" t="s">
        <v>140</v>
      </c>
      <c r="D6" s="17"/>
      <c r="E6" s="17">
        <v>4000</v>
      </c>
      <c r="F6" s="17">
        <f>E6-D6</f>
        <v>4000</v>
      </c>
    </row>
    <row r="7" ht="15.75" spans="1:6">
      <c r="A7" s="18">
        <v>45810</v>
      </c>
      <c r="B7" s="17" t="s">
        <v>308</v>
      </c>
      <c r="C7" s="17" t="s">
        <v>140</v>
      </c>
      <c r="D7" s="17"/>
      <c r="E7" s="17">
        <v>12250</v>
      </c>
      <c r="F7" s="17">
        <f>E7-D7+F6</f>
        <v>16250</v>
      </c>
    </row>
    <row r="8" ht="31.5" spans="1:6">
      <c r="A8" s="18">
        <v>45810</v>
      </c>
      <c r="B8" s="17" t="s">
        <v>309</v>
      </c>
      <c r="C8" s="71" t="s">
        <v>310</v>
      </c>
      <c r="D8" s="17"/>
      <c r="E8" s="17">
        <v>19600</v>
      </c>
      <c r="F8" s="17">
        <f>E8-D8+F7</f>
        <v>35850</v>
      </c>
    </row>
    <row r="9" ht="15.75" spans="1:6">
      <c r="A9" s="18">
        <v>45810</v>
      </c>
      <c r="B9" s="17" t="s">
        <v>311</v>
      </c>
      <c r="C9" s="17" t="s">
        <v>140</v>
      </c>
      <c r="D9" s="17"/>
      <c r="E9" s="17">
        <v>5340</v>
      </c>
      <c r="F9" s="17">
        <f t="shared" ref="F9:F21" si="0">E9-D9+F8</f>
        <v>41190</v>
      </c>
    </row>
    <row r="10" ht="31.5" spans="1:6">
      <c r="A10" s="18">
        <v>45871</v>
      </c>
      <c r="B10" s="17" t="s">
        <v>312</v>
      </c>
      <c r="C10" s="71" t="s">
        <v>310</v>
      </c>
      <c r="D10" s="17"/>
      <c r="E10" s="17">
        <v>12140</v>
      </c>
      <c r="F10" s="17">
        <f t="shared" si="0"/>
        <v>53330</v>
      </c>
    </row>
    <row r="11" ht="15.75" spans="1:6">
      <c r="A11" s="18">
        <v>45871</v>
      </c>
      <c r="B11" s="17" t="s">
        <v>253</v>
      </c>
      <c r="C11" s="17" t="s">
        <v>313</v>
      </c>
      <c r="D11" s="17">
        <v>5880</v>
      </c>
      <c r="E11" s="17"/>
      <c r="F11" s="17">
        <f t="shared" si="0"/>
        <v>47450</v>
      </c>
    </row>
    <row r="12" ht="15.75" spans="1:6">
      <c r="A12" s="18">
        <v>45871</v>
      </c>
      <c r="B12" s="17" t="s">
        <v>253</v>
      </c>
      <c r="C12" s="17" t="s">
        <v>313</v>
      </c>
      <c r="D12" s="17">
        <v>31300</v>
      </c>
      <c r="E12" s="17"/>
      <c r="F12" s="17">
        <f t="shared" si="0"/>
        <v>16150</v>
      </c>
    </row>
    <row r="13" ht="15.75" spans="1:6">
      <c r="A13" s="75">
        <v>45779</v>
      </c>
      <c r="B13" s="17" t="s">
        <v>314</v>
      </c>
      <c r="C13" s="72" t="s">
        <v>315</v>
      </c>
      <c r="D13" s="17">
        <v>4000</v>
      </c>
      <c r="E13" s="19"/>
      <c r="F13" s="17">
        <f t="shared" si="0"/>
        <v>12150</v>
      </c>
    </row>
    <row r="14" ht="15.75" spans="1:6">
      <c r="A14" s="75">
        <v>45902</v>
      </c>
      <c r="B14" s="17" t="s">
        <v>253</v>
      </c>
      <c r="C14" s="72" t="s">
        <v>313</v>
      </c>
      <c r="D14" s="17">
        <v>12150</v>
      </c>
      <c r="E14" s="19"/>
      <c r="F14" s="17">
        <f t="shared" si="0"/>
        <v>0</v>
      </c>
    </row>
    <row r="15" ht="15.75" spans="1:6">
      <c r="A15" s="75">
        <v>45932</v>
      </c>
      <c r="B15" s="17" t="s">
        <v>316</v>
      </c>
      <c r="C15" s="72" t="s">
        <v>317</v>
      </c>
      <c r="D15" s="17"/>
      <c r="E15" s="19">
        <v>17972</v>
      </c>
      <c r="F15" s="17">
        <f t="shared" si="0"/>
        <v>17972</v>
      </c>
    </row>
    <row r="16" ht="31.5" spans="1:6">
      <c r="A16" s="75">
        <v>45963</v>
      </c>
      <c r="B16" s="17" t="s">
        <v>318</v>
      </c>
      <c r="C16" s="74" t="s">
        <v>319</v>
      </c>
      <c r="D16" s="17"/>
      <c r="E16" s="19">
        <v>25420</v>
      </c>
      <c r="F16" s="17">
        <f t="shared" si="0"/>
        <v>43392</v>
      </c>
    </row>
    <row r="17" ht="15.75" spans="1:6">
      <c r="A17" s="75">
        <v>45963</v>
      </c>
      <c r="B17" s="17" t="s">
        <v>253</v>
      </c>
      <c r="C17" s="72" t="s">
        <v>313</v>
      </c>
      <c r="D17" s="17">
        <v>17500</v>
      </c>
      <c r="E17" s="19"/>
      <c r="F17" s="17">
        <f t="shared" si="0"/>
        <v>25892</v>
      </c>
    </row>
    <row r="18" ht="47.25" spans="1:6">
      <c r="A18" s="75">
        <v>45993</v>
      </c>
      <c r="B18" s="17"/>
      <c r="C18" s="74" t="s">
        <v>320</v>
      </c>
      <c r="D18" s="17">
        <v>50000</v>
      </c>
      <c r="E18" s="19"/>
      <c r="F18" s="17">
        <f t="shared" si="0"/>
        <v>-24108</v>
      </c>
    </row>
    <row r="19" ht="31.5" spans="1:6">
      <c r="A19" s="75">
        <v>45993</v>
      </c>
      <c r="B19" s="17" t="s">
        <v>321</v>
      </c>
      <c r="C19" s="74" t="s">
        <v>310</v>
      </c>
      <c r="D19" s="17"/>
      <c r="E19" s="19">
        <v>17250</v>
      </c>
      <c r="F19" s="17">
        <f t="shared" si="0"/>
        <v>-6858</v>
      </c>
    </row>
    <row r="20" ht="15.75" spans="1:6">
      <c r="A20" s="75" t="s">
        <v>322</v>
      </c>
      <c r="B20" s="17" t="s">
        <v>323</v>
      </c>
      <c r="C20" s="72" t="s">
        <v>324</v>
      </c>
      <c r="D20" s="17"/>
      <c r="E20" s="19">
        <v>15120</v>
      </c>
      <c r="F20" s="17">
        <f t="shared" si="0"/>
        <v>8262</v>
      </c>
    </row>
    <row r="21" ht="15.75" spans="1:6">
      <c r="A21" s="73" t="s">
        <v>294</v>
      </c>
      <c r="B21" s="17" t="s">
        <v>325</v>
      </c>
      <c r="C21" s="72" t="s">
        <v>230</v>
      </c>
      <c r="D21" s="17"/>
      <c r="E21" s="19">
        <v>1800</v>
      </c>
      <c r="F21" s="17">
        <f t="shared" si="0"/>
        <v>10062</v>
      </c>
    </row>
    <row r="22" ht="15.75" spans="1:6">
      <c r="A22" s="73" t="s">
        <v>294</v>
      </c>
      <c r="B22" s="17" t="s">
        <v>326</v>
      </c>
      <c r="C22" s="72" t="s">
        <v>140</v>
      </c>
      <c r="D22" s="17"/>
      <c r="E22" s="19">
        <v>4600</v>
      </c>
      <c r="F22" s="17">
        <f t="shared" ref="F22:F190" si="1">E22-D22+F21</f>
        <v>14662</v>
      </c>
    </row>
    <row r="23" ht="15.75" spans="1:6">
      <c r="A23" s="73" t="s">
        <v>327</v>
      </c>
      <c r="B23" s="17" t="s">
        <v>253</v>
      </c>
      <c r="C23" s="72" t="s">
        <v>313</v>
      </c>
      <c r="D23" s="17">
        <v>6400</v>
      </c>
      <c r="E23" s="19"/>
      <c r="F23" s="17">
        <f t="shared" si="1"/>
        <v>8262</v>
      </c>
    </row>
    <row r="24" ht="31.5" spans="1:6">
      <c r="A24" s="73" t="s">
        <v>328</v>
      </c>
      <c r="B24" s="17" t="s">
        <v>329</v>
      </c>
      <c r="C24" s="74" t="s">
        <v>330</v>
      </c>
      <c r="D24" s="17"/>
      <c r="E24" s="19">
        <v>23050</v>
      </c>
      <c r="F24" s="17">
        <f t="shared" si="1"/>
        <v>31312</v>
      </c>
    </row>
    <row r="25" ht="15.75" spans="1:6">
      <c r="A25" s="73" t="s">
        <v>331</v>
      </c>
      <c r="B25" s="17" t="s">
        <v>332</v>
      </c>
      <c r="C25" s="72" t="s">
        <v>333</v>
      </c>
      <c r="D25" s="17"/>
      <c r="E25" s="19">
        <v>1540</v>
      </c>
      <c r="F25" s="17">
        <f t="shared" si="1"/>
        <v>32852</v>
      </c>
    </row>
    <row r="26" ht="15.75" spans="1:6">
      <c r="A26" s="73" t="s">
        <v>334</v>
      </c>
      <c r="B26" s="17" t="s">
        <v>253</v>
      </c>
      <c r="C26" s="72" t="s">
        <v>313</v>
      </c>
      <c r="D26" s="17">
        <v>1800</v>
      </c>
      <c r="E26" s="19"/>
      <c r="F26" s="17">
        <f t="shared" si="1"/>
        <v>31052</v>
      </c>
    </row>
    <row r="27" ht="15.75" spans="1:6">
      <c r="A27" s="73" t="s">
        <v>334</v>
      </c>
      <c r="B27" s="17" t="s">
        <v>253</v>
      </c>
      <c r="C27" s="72" t="s">
        <v>313</v>
      </c>
      <c r="D27" s="17">
        <v>18790</v>
      </c>
      <c r="E27" s="19"/>
      <c r="F27" s="17">
        <f t="shared" si="1"/>
        <v>12262</v>
      </c>
    </row>
    <row r="28" ht="15.75" spans="1:6">
      <c r="A28" s="73" t="s">
        <v>334</v>
      </c>
      <c r="B28" s="17" t="s">
        <v>335</v>
      </c>
      <c r="C28" s="72" t="s">
        <v>140</v>
      </c>
      <c r="D28" s="17"/>
      <c r="E28" s="19">
        <v>10000</v>
      </c>
      <c r="F28" s="17">
        <f t="shared" si="1"/>
        <v>22262</v>
      </c>
    </row>
    <row r="29" ht="15.75" spans="1:6">
      <c r="A29" s="73" t="s">
        <v>336</v>
      </c>
      <c r="B29" s="17" t="s">
        <v>337</v>
      </c>
      <c r="C29" s="72" t="s">
        <v>338</v>
      </c>
      <c r="D29" s="17"/>
      <c r="E29" s="19">
        <v>5140</v>
      </c>
      <c r="F29" s="17">
        <f t="shared" si="1"/>
        <v>27402</v>
      </c>
    </row>
    <row r="30" ht="15.75" spans="1:6">
      <c r="A30" s="73" t="s">
        <v>267</v>
      </c>
      <c r="B30" s="17" t="s">
        <v>339</v>
      </c>
      <c r="C30" s="72" t="s">
        <v>140</v>
      </c>
      <c r="D30" s="17"/>
      <c r="E30" s="19">
        <v>9880</v>
      </c>
      <c r="F30" s="17">
        <f t="shared" si="1"/>
        <v>37282</v>
      </c>
    </row>
    <row r="31" ht="15.75" spans="1:6">
      <c r="A31" s="75">
        <v>45691</v>
      </c>
      <c r="B31" s="17" t="s">
        <v>340</v>
      </c>
      <c r="C31" s="72" t="s">
        <v>140</v>
      </c>
      <c r="D31" s="17"/>
      <c r="E31" s="19">
        <v>7500</v>
      </c>
      <c r="F31" s="17">
        <f t="shared" si="1"/>
        <v>44782</v>
      </c>
    </row>
    <row r="32" ht="15.75" spans="1:6">
      <c r="A32" s="94">
        <v>45780</v>
      </c>
      <c r="B32" s="17"/>
      <c r="C32" s="72" t="s">
        <v>313</v>
      </c>
      <c r="D32" s="17">
        <v>20000</v>
      </c>
      <c r="E32" s="19"/>
      <c r="F32" s="17">
        <f t="shared" si="1"/>
        <v>24782</v>
      </c>
    </row>
    <row r="33" ht="15.75" spans="1:6">
      <c r="A33" s="75">
        <v>45780</v>
      </c>
      <c r="B33" s="17" t="s">
        <v>341</v>
      </c>
      <c r="C33" s="72" t="s">
        <v>342</v>
      </c>
      <c r="D33" s="17"/>
      <c r="E33" s="19">
        <v>8340</v>
      </c>
      <c r="F33" s="17">
        <f t="shared" si="1"/>
        <v>33122</v>
      </c>
    </row>
    <row r="34" ht="31.5" spans="1:6">
      <c r="A34" s="75">
        <v>45811</v>
      </c>
      <c r="B34" s="17" t="s">
        <v>343</v>
      </c>
      <c r="C34" s="74" t="s">
        <v>344</v>
      </c>
      <c r="D34" s="17"/>
      <c r="E34" s="19">
        <v>3500</v>
      </c>
      <c r="F34" s="17">
        <f t="shared" si="1"/>
        <v>36622</v>
      </c>
    </row>
    <row r="35" ht="15.75" spans="1:6">
      <c r="A35" s="75">
        <v>45872</v>
      </c>
      <c r="B35" s="17" t="s">
        <v>345</v>
      </c>
      <c r="C35" s="72" t="s">
        <v>140</v>
      </c>
      <c r="D35" s="17"/>
      <c r="E35" s="19">
        <v>12380</v>
      </c>
      <c r="F35" s="17">
        <f t="shared" si="1"/>
        <v>49002</v>
      </c>
    </row>
    <row r="36" ht="15.75" spans="1:6">
      <c r="A36" s="75">
        <v>45933</v>
      </c>
      <c r="B36" s="17" t="s">
        <v>346</v>
      </c>
      <c r="C36" s="72" t="s">
        <v>140</v>
      </c>
      <c r="D36" s="17"/>
      <c r="E36" s="19">
        <v>15000</v>
      </c>
      <c r="F36" s="17">
        <f t="shared" si="1"/>
        <v>64002</v>
      </c>
    </row>
    <row r="37" ht="15.75" spans="1:6">
      <c r="A37" s="75">
        <v>45994</v>
      </c>
      <c r="B37" s="17" t="s">
        <v>347</v>
      </c>
      <c r="C37" s="72" t="s">
        <v>140</v>
      </c>
      <c r="D37" s="17"/>
      <c r="E37" s="19">
        <v>23530</v>
      </c>
      <c r="F37" s="93">
        <f t="shared" si="1"/>
        <v>87532</v>
      </c>
    </row>
    <row r="38" ht="15.75" spans="1:6">
      <c r="A38" s="75" t="s">
        <v>348</v>
      </c>
      <c r="B38" s="17" t="s">
        <v>349</v>
      </c>
      <c r="C38" s="72" t="s">
        <v>140</v>
      </c>
      <c r="D38" s="17"/>
      <c r="E38" s="19">
        <v>7490</v>
      </c>
      <c r="F38" s="17">
        <f t="shared" si="1"/>
        <v>95022</v>
      </c>
    </row>
    <row r="39" ht="15.75" spans="1:6">
      <c r="A39" s="75" t="s">
        <v>348</v>
      </c>
      <c r="B39" s="17" t="s">
        <v>350</v>
      </c>
      <c r="C39" s="72" t="s">
        <v>114</v>
      </c>
      <c r="D39" s="17"/>
      <c r="E39" s="19">
        <v>4200</v>
      </c>
      <c r="F39" s="17">
        <f t="shared" si="1"/>
        <v>99222</v>
      </c>
    </row>
    <row r="40" ht="31.5" spans="1:6">
      <c r="A40" s="75" t="s">
        <v>351</v>
      </c>
      <c r="B40" s="17" t="s">
        <v>352</v>
      </c>
      <c r="C40" s="74" t="s">
        <v>353</v>
      </c>
      <c r="D40" s="17"/>
      <c r="E40" s="19">
        <v>19260</v>
      </c>
      <c r="F40" s="17">
        <f t="shared" si="1"/>
        <v>118482</v>
      </c>
    </row>
    <row r="41" ht="15.75" spans="1:6">
      <c r="A41" s="75" t="s">
        <v>354</v>
      </c>
      <c r="B41" s="17" t="s">
        <v>253</v>
      </c>
      <c r="C41" s="72" t="s">
        <v>313</v>
      </c>
      <c r="D41" s="17">
        <v>25000</v>
      </c>
      <c r="E41" s="19"/>
      <c r="F41" s="17">
        <f>E41-D41+F40</f>
        <v>93482</v>
      </c>
    </row>
    <row r="42" ht="31.5" spans="1:6">
      <c r="A42" s="75" t="s">
        <v>269</v>
      </c>
      <c r="B42" s="17"/>
      <c r="C42" s="74" t="s">
        <v>355</v>
      </c>
      <c r="D42" s="17">
        <v>93482</v>
      </c>
      <c r="E42" s="19"/>
      <c r="F42" s="17">
        <f t="shared" si="1"/>
        <v>0</v>
      </c>
    </row>
    <row r="43" ht="31.5" spans="1:6">
      <c r="A43" s="75" t="s">
        <v>356</v>
      </c>
      <c r="B43" s="17" t="s">
        <v>357</v>
      </c>
      <c r="C43" s="74" t="s">
        <v>353</v>
      </c>
      <c r="D43" s="17"/>
      <c r="E43" s="19">
        <v>19260</v>
      </c>
      <c r="F43" s="17">
        <f t="shared" si="1"/>
        <v>19260</v>
      </c>
    </row>
    <row r="44" ht="47.25" spans="1:6">
      <c r="A44" s="75" t="s">
        <v>358</v>
      </c>
      <c r="B44" s="17" t="s">
        <v>359</v>
      </c>
      <c r="C44" s="74" t="s">
        <v>360</v>
      </c>
      <c r="D44" s="17"/>
      <c r="E44" s="19">
        <v>26680</v>
      </c>
      <c r="F44" s="17">
        <f t="shared" si="1"/>
        <v>45940</v>
      </c>
    </row>
    <row r="45" ht="15.75" spans="1:6">
      <c r="A45" s="75" t="s">
        <v>295</v>
      </c>
      <c r="B45" s="17" t="s">
        <v>361</v>
      </c>
      <c r="C45" s="72" t="s">
        <v>140</v>
      </c>
      <c r="D45" s="17"/>
      <c r="E45" s="19">
        <v>12880</v>
      </c>
      <c r="F45" s="17">
        <f t="shared" si="1"/>
        <v>58820</v>
      </c>
    </row>
    <row r="46" ht="15.75" spans="1:6">
      <c r="A46" s="75" t="s">
        <v>295</v>
      </c>
      <c r="B46" s="17" t="s">
        <v>362</v>
      </c>
      <c r="C46" s="72" t="s">
        <v>363</v>
      </c>
      <c r="D46" s="17">
        <v>4050</v>
      </c>
      <c r="E46" s="19"/>
      <c r="F46" s="17">
        <f t="shared" si="1"/>
        <v>54770</v>
      </c>
    </row>
    <row r="47" ht="47.25" spans="1:6">
      <c r="A47" s="75" t="s">
        <v>364</v>
      </c>
      <c r="B47" s="17" t="s">
        <v>365</v>
      </c>
      <c r="C47" s="74" t="s">
        <v>366</v>
      </c>
      <c r="D47" s="17"/>
      <c r="E47" s="19">
        <v>25240</v>
      </c>
      <c r="F47" s="17">
        <f t="shared" si="1"/>
        <v>80010</v>
      </c>
    </row>
    <row r="48" ht="15.75" spans="1:6">
      <c r="A48" s="94" t="s">
        <v>364</v>
      </c>
      <c r="B48" s="17" t="s">
        <v>367</v>
      </c>
      <c r="C48" s="72" t="s">
        <v>368</v>
      </c>
      <c r="D48" s="17"/>
      <c r="E48" s="19">
        <v>18070</v>
      </c>
      <c r="F48" s="17">
        <f t="shared" si="1"/>
        <v>98080</v>
      </c>
    </row>
    <row r="49" ht="15.75" spans="1:6">
      <c r="A49" s="75" t="s">
        <v>300</v>
      </c>
      <c r="B49" s="17" t="s">
        <v>253</v>
      </c>
      <c r="C49" s="72" t="s">
        <v>313</v>
      </c>
      <c r="D49" s="17">
        <v>40000</v>
      </c>
      <c r="E49" s="19"/>
      <c r="F49" s="17">
        <f t="shared" si="1"/>
        <v>58080</v>
      </c>
    </row>
    <row r="50" ht="15.75" spans="1:6">
      <c r="A50" s="75" t="s">
        <v>300</v>
      </c>
      <c r="B50" s="17" t="s">
        <v>253</v>
      </c>
      <c r="C50" s="72" t="s">
        <v>313</v>
      </c>
      <c r="D50" s="17">
        <v>10000</v>
      </c>
      <c r="E50" s="19"/>
      <c r="F50" s="17">
        <f t="shared" si="1"/>
        <v>48080</v>
      </c>
    </row>
    <row r="51" ht="15.75" spans="1:6">
      <c r="A51" s="75" t="s">
        <v>300</v>
      </c>
      <c r="B51" s="17" t="s">
        <v>369</v>
      </c>
      <c r="C51" s="72" t="s">
        <v>370</v>
      </c>
      <c r="D51" s="17"/>
      <c r="E51" s="19">
        <v>22480</v>
      </c>
      <c r="F51" s="17">
        <f t="shared" si="1"/>
        <v>70560</v>
      </c>
    </row>
    <row r="52" ht="15.75" spans="1:6">
      <c r="A52" s="75" t="s">
        <v>302</v>
      </c>
      <c r="B52" s="17" t="s">
        <v>371</v>
      </c>
      <c r="C52" s="72" t="s">
        <v>140</v>
      </c>
      <c r="D52" s="17"/>
      <c r="E52" s="19">
        <v>15320</v>
      </c>
      <c r="F52" s="17">
        <f t="shared" si="1"/>
        <v>85880</v>
      </c>
    </row>
    <row r="53" ht="31.5" spans="1:6">
      <c r="A53" s="75" t="s">
        <v>372</v>
      </c>
      <c r="B53" s="17" t="s">
        <v>373</v>
      </c>
      <c r="C53" s="74" t="s">
        <v>374</v>
      </c>
      <c r="D53" s="17"/>
      <c r="E53" s="19">
        <v>27760</v>
      </c>
      <c r="F53" s="17">
        <f t="shared" si="1"/>
        <v>113640</v>
      </c>
    </row>
    <row r="54" ht="15.75" spans="1:6">
      <c r="A54" s="75" t="s">
        <v>372</v>
      </c>
      <c r="B54" s="17" t="s">
        <v>375</v>
      </c>
      <c r="C54" s="72" t="s">
        <v>376</v>
      </c>
      <c r="D54" s="17"/>
      <c r="E54" s="19">
        <v>31490</v>
      </c>
      <c r="F54" s="17">
        <f t="shared" si="1"/>
        <v>145130</v>
      </c>
    </row>
    <row r="55" ht="15.75" spans="1:6">
      <c r="A55" s="75" t="s">
        <v>377</v>
      </c>
      <c r="B55" s="17" t="s">
        <v>378</v>
      </c>
      <c r="C55" s="72" t="s">
        <v>379</v>
      </c>
      <c r="D55" s="17"/>
      <c r="E55" s="19">
        <v>25490</v>
      </c>
      <c r="F55" s="17">
        <f t="shared" si="1"/>
        <v>170620</v>
      </c>
    </row>
    <row r="56" ht="15.75" spans="1:6">
      <c r="A56" s="75" t="s">
        <v>377</v>
      </c>
      <c r="B56" s="17" t="s">
        <v>380</v>
      </c>
      <c r="C56" s="72" t="s">
        <v>381</v>
      </c>
      <c r="D56" s="17"/>
      <c r="E56" s="19">
        <v>11660</v>
      </c>
      <c r="F56" s="17">
        <f t="shared" si="1"/>
        <v>182280</v>
      </c>
    </row>
    <row r="57" ht="15.75" spans="1:6">
      <c r="A57" s="75">
        <v>45720</v>
      </c>
      <c r="B57" s="17" t="s">
        <v>253</v>
      </c>
      <c r="C57" s="72" t="s">
        <v>313</v>
      </c>
      <c r="D57" s="17">
        <v>30000</v>
      </c>
      <c r="E57" s="19"/>
      <c r="F57" s="17">
        <f t="shared" si="1"/>
        <v>152280</v>
      </c>
    </row>
    <row r="58" ht="15.75" spans="1:6">
      <c r="A58" s="75">
        <v>45720</v>
      </c>
      <c r="B58" s="17" t="s">
        <v>382</v>
      </c>
      <c r="C58" s="72" t="s">
        <v>383</v>
      </c>
      <c r="D58" s="17"/>
      <c r="E58" s="19">
        <v>25850</v>
      </c>
      <c r="F58" s="17">
        <f t="shared" si="1"/>
        <v>178130</v>
      </c>
    </row>
    <row r="59" ht="15.75" spans="1:6">
      <c r="A59" s="75">
        <v>45720</v>
      </c>
      <c r="B59" s="17" t="s">
        <v>253</v>
      </c>
      <c r="C59" s="72" t="s">
        <v>313</v>
      </c>
      <c r="D59" s="17">
        <v>30000</v>
      </c>
      <c r="E59" s="19"/>
      <c r="F59" s="17">
        <f t="shared" si="1"/>
        <v>148130</v>
      </c>
    </row>
    <row r="60" ht="15.75" spans="1:6">
      <c r="A60" s="75" t="s">
        <v>384</v>
      </c>
      <c r="B60" s="17"/>
      <c r="C60" s="72" t="s">
        <v>385</v>
      </c>
      <c r="D60" s="17">
        <v>25000</v>
      </c>
      <c r="E60" s="19"/>
      <c r="F60" s="17">
        <f t="shared" si="1"/>
        <v>123130</v>
      </c>
    </row>
    <row r="61" ht="15.75" spans="1:6">
      <c r="A61" s="75">
        <v>45720</v>
      </c>
      <c r="B61" s="17" t="s">
        <v>253</v>
      </c>
      <c r="C61" s="72" t="s">
        <v>313</v>
      </c>
      <c r="D61" s="17">
        <v>20000</v>
      </c>
      <c r="E61" s="19"/>
      <c r="F61" s="17">
        <f t="shared" si="1"/>
        <v>103130</v>
      </c>
    </row>
    <row r="62" ht="15.75" spans="1:6">
      <c r="A62" s="75">
        <v>45720</v>
      </c>
      <c r="B62" s="17" t="s">
        <v>386</v>
      </c>
      <c r="C62" s="72" t="s">
        <v>140</v>
      </c>
      <c r="D62" s="17"/>
      <c r="E62" s="19">
        <v>12550</v>
      </c>
      <c r="F62" s="17">
        <f t="shared" si="1"/>
        <v>115680</v>
      </c>
    </row>
    <row r="63" ht="15.75" spans="1:6">
      <c r="A63" s="75">
        <v>45781</v>
      </c>
      <c r="B63" s="17" t="s">
        <v>387</v>
      </c>
      <c r="C63" s="72" t="s">
        <v>388</v>
      </c>
      <c r="D63" s="17">
        <v>750</v>
      </c>
      <c r="E63" s="19"/>
      <c r="F63" s="17">
        <f t="shared" si="1"/>
        <v>114930</v>
      </c>
    </row>
    <row r="64" ht="31.5" spans="1:6">
      <c r="A64" s="75">
        <v>45842</v>
      </c>
      <c r="B64" s="17" t="s">
        <v>389</v>
      </c>
      <c r="C64" s="74" t="s">
        <v>390</v>
      </c>
      <c r="D64" s="17"/>
      <c r="E64" s="19">
        <v>52220</v>
      </c>
      <c r="F64" s="17">
        <f t="shared" si="1"/>
        <v>167150</v>
      </c>
    </row>
    <row r="65" ht="15.75" spans="1:6">
      <c r="A65" s="75">
        <v>45812</v>
      </c>
      <c r="B65" s="17" t="s">
        <v>391</v>
      </c>
      <c r="C65" s="72" t="s">
        <v>392</v>
      </c>
      <c r="D65" s="17"/>
      <c r="E65" s="19">
        <v>4300</v>
      </c>
      <c r="F65" s="17">
        <f t="shared" si="1"/>
        <v>171450</v>
      </c>
    </row>
    <row r="66" ht="15.75" spans="1:6">
      <c r="A66" s="75">
        <v>45842</v>
      </c>
      <c r="B66" s="17" t="s">
        <v>253</v>
      </c>
      <c r="C66" s="72" t="s">
        <v>313</v>
      </c>
      <c r="D66" s="17">
        <v>17000</v>
      </c>
      <c r="E66" s="19"/>
      <c r="F66" s="17">
        <f t="shared" si="1"/>
        <v>154450</v>
      </c>
    </row>
    <row r="67" ht="15.75" spans="1:6">
      <c r="A67" s="75">
        <v>45842</v>
      </c>
      <c r="B67" s="17"/>
      <c r="C67" s="72" t="s">
        <v>102</v>
      </c>
      <c r="D67" s="17">
        <v>34000</v>
      </c>
      <c r="E67" s="19"/>
      <c r="F67" s="17">
        <f t="shared" si="1"/>
        <v>120450</v>
      </c>
    </row>
    <row r="68" ht="15.75" spans="1:6">
      <c r="A68" s="75">
        <v>45812</v>
      </c>
      <c r="B68" s="17" t="s">
        <v>253</v>
      </c>
      <c r="C68" s="72" t="s">
        <v>313</v>
      </c>
      <c r="D68" s="17">
        <v>20000</v>
      </c>
      <c r="E68" s="19"/>
      <c r="F68" s="17">
        <f t="shared" si="1"/>
        <v>100450</v>
      </c>
    </row>
    <row r="69" ht="15.75" spans="1:6">
      <c r="A69" s="75">
        <v>45812</v>
      </c>
      <c r="B69" s="17" t="s">
        <v>253</v>
      </c>
      <c r="C69" s="72" t="s">
        <v>313</v>
      </c>
      <c r="D69" s="17">
        <v>6550</v>
      </c>
      <c r="E69" s="19"/>
      <c r="F69" s="17">
        <f t="shared" si="1"/>
        <v>93900</v>
      </c>
    </row>
    <row r="70" ht="15.75" spans="1:6">
      <c r="A70" s="75">
        <v>45873</v>
      </c>
      <c r="B70" s="17" t="s">
        <v>393</v>
      </c>
      <c r="C70" s="72" t="s">
        <v>394</v>
      </c>
      <c r="D70" s="17"/>
      <c r="E70" s="19">
        <v>17850</v>
      </c>
      <c r="F70" s="17">
        <f t="shared" si="1"/>
        <v>111750</v>
      </c>
    </row>
    <row r="71" ht="15.75" spans="1:6">
      <c r="A71" s="75">
        <v>45873</v>
      </c>
      <c r="B71" s="17" t="s">
        <v>395</v>
      </c>
      <c r="C71" s="72" t="s">
        <v>140</v>
      </c>
      <c r="D71" s="17"/>
      <c r="E71" s="19">
        <v>120</v>
      </c>
      <c r="F71" s="17">
        <f t="shared" si="1"/>
        <v>111870</v>
      </c>
    </row>
    <row r="72" ht="15.75" spans="1:6">
      <c r="A72" s="75">
        <v>45904</v>
      </c>
      <c r="B72" s="17" t="s">
        <v>396</v>
      </c>
      <c r="C72" s="72" t="s">
        <v>394</v>
      </c>
      <c r="D72" s="17"/>
      <c r="E72" s="19">
        <v>6375</v>
      </c>
      <c r="F72" s="17">
        <f t="shared" si="1"/>
        <v>118245</v>
      </c>
    </row>
    <row r="73" ht="15.75" spans="1:6">
      <c r="A73" s="94">
        <v>45934</v>
      </c>
      <c r="B73" s="93"/>
      <c r="C73" s="361" t="s">
        <v>102</v>
      </c>
      <c r="D73" s="93">
        <v>3000</v>
      </c>
      <c r="E73" s="108"/>
      <c r="F73" s="93">
        <f t="shared" si="1"/>
        <v>115245</v>
      </c>
    </row>
    <row r="74" ht="15.75" spans="1:6">
      <c r="A74" s="75">
        <v>45934</v>
      </c>
      <c r="B74" s="17" t="s">
        <v>253</v>
      </c>
      <c r="C74" s="72" t="s">
        <v>313</v>
      </c>
      <c r="D74" s="17">
        <v>15000</v>
      </c>
      <c r="E74" s="19"/>
      <c r="F74" s="17">
        <f t="shared" si="1"/>
        <v>100245</v>
      </c>
    </row>
    <row r="75" ht="15.75" spans="1:6">
      <c r="A75" s="75">
        <v>45904</v>
      </c>
      <c r="B75" s="17" t="s">
        <v>397</v>
      </c>
      <c r="C75" s="72" t="s">
        <v>140</v>
      </c>
      <c r="D75" s="17"/>
      <c r="E75" s="19">
        <v>6540</v>
      </c>
      <c r="F75" s="17">
        <f t="shared" si="1"/>
        <v>106785</v>
      </c>
    </row>
    <row r="76" ht="15.75" spans="1:6">
      <c r="A76" s="75">
        <v>45934</v>
      </c>
      <c r="B76" s="17" t="s">
        <v>253</v>
      </c>
      <c r="C76" s="72" t="s">
        <v>313</v>
      </c>
      <c r="D76" s="17">
        <v>9000</v>
      </c>
      <c r="E76" s="19"/>
      <c r="F76" s="17">
        <f t="shared" si="1"/>
        <v>97785</v>
      </c>
    </row>
    <row r="77" ht="15.75" spans="1:6">
      <c r="A77" s="75" t="s">
        <v>398</v>
      </c>
      <c r="B77" s="17" t="s">
        <v>253</v>
      </c>
      <c r="C77" s="72" t="s">
        <v>313</v>
      </c>
      <c r="D77" s="17">
        <v>18000</v>
      </c>
      <c r="E77" s="19"/>
      <c r="F77" s="17">
        <f t="shared" si="1"/>
        <v>79785</v>
      </c>
    </row>
    <row r="78" ht="15.75" spans="1:6">
      <c r="A78" s="75">
        <v>45934</v>
      </c>
      <c r="B78" s="17" t="s">
        <v>399</v>
      </c>
      <c r="C78" s="72" t="s">
        <v>400</v>
      </c>
      <c r="D78" s="17"/>
      <c r="E78" s="19">
        <v>48660</v>
      </c>
      <c r="F78" s="17">
        <f t="shared" si="1"/>
        <v>128445</v>
      </c>
    </row>
    <row r="79" ht="15.75" spans="1:6">
      <c r="A79" s="75" t="s">
        <v>398</v>
      </c>
      <c r="B79" s="17" t="s">
        <v>253</v>
      </c>
      <c r="C79" s="72" t="s">
        <v>313</v>
      </c>
      <c r="D79" s="17">
        <v>12000</v>
      </c>
      <c r="E79" s="19"/>
      <c r="F79" s="17">
        <f t="shared" si="1"/>
        <v>116445</v>
      </c>
    </row>
    <row r="80" ht="15.75" spans="1:6">
      <c r="A80" s="75" t="s">
        <v>398</v>
      </c>
      <c r="B80" s="17" t="s">
        <v>401</v>
      </c>
      <c r="C80" s="72" t="s">
        <v>402</v>
      </c>
      <c r="D80" s="17"/>
      <c r="E80" s="19">
        <v>53900</v>
      </c>
      <c r="F80" s="17">
        <f t="shared" si="1"/>
        <v>170345</v>
      </c>
    </row>
    <row r="81" ht="15.75" spans="1:6">
      <c r="A81" s="75" t="s">
        <v>403</v>
      </c>
      <c r="B81" s="17" t="s">
        <v>253</v>
      </c>
      <c r="C81" s="72" t="s">
        <v>313</v>
      </c>
      <c r="D81" s="17">
        <v>74000</v>
      </c>
      <c r="E81" s="19"/>
      <c r="F81" s="17">
        <f t="shared" si="1"/>
        <v>96345</v>
      </c>
    </row>
    <row r="82" ht="15.75" spans="1:6">
      <c r="A82" s="75" t="s">
        <v>403</v>
      </c>
      <c r="B82" s="17" t="s">
        <v>253</v>
      </c>
      <c r="C82" s="72" t="s">
        <v>313</v>
      </c>
      <c r="D82" s="17">
        <v>11000</v>
      </c>
      <c r="E82" s="19"/>
      <c r="F82" s="17">
        <f t="shared" si="1"/>
        <v>85345</v>
      </c>
    </row>
    <row r="83" ht="15.75" spans="1:6">
      <c r="A83" s="75" t="s">
        <v>403</v>
      </c>
      <c r="B83" s="17" t="s">
        <v>404</v>
      </c>
      <c r="C83" s="72" t="s">
        <v>402</v>
      </c>
      <c r="D83" s="17"/>
      <c r="E83" s="19">
        <v>11025</v>
      </c>
      <c r="F83" s="17">
        <f t="shared" si="1"/>
        <v>96370</v>
      </c>
    </row>
    <row r="84" ht="15.75" spans="1:6">
      <c r="A84" s="75" t="s">
        <v>405</v>
      </c>
      <c r="B84" s="17" t="s">
        <v>253</v>
      </c>
      <c r="C84" s="72" t="s">
        <v>313</v>
      </c>
      <c r="D84" s="17">
        <v>10000</v>
      </c>
      <c r="E84" s="19"/>
      <c r="F84" s="17">
        <f t="shared" si="1"/>
        <v>86370</v>
      </c>
    </row>
    <row r="85" ht="15.75" spans="1:6">
      <c r="A85" s="94" t="s">
        <v>405</v>
      </c>
      <c r="B85" s="17"/>
      <c r="C85" s="72" t="s">
        <v>406</v>
      </c>
      <c r="D85" s="17">
        <v>50000</v>
      </c>
      <c r="E85" s="19"/>
      <c r="F85" s="17">
        <f t="shared" si="1"/>
        <v>36370</v>
      </c>
    </row>
    <row r="86" ht="31.5" spans="1:6">
      <c r="A86" s="75" t="s">
        <v>405</v>
      </c>
      <c r="B86" s="17" t="s">
        <v>407</v>
      </c>
      <c r="C86" s="74" t="s">
        <v>408</v>
      </c>
      <c r="D86" s="17">
        <v>20000</v>
      </c>
      <c r="E86" s="19"/>
      <c r="F86" s="17">
        <f t="shared" si="1"/>
        <v>16370</v>
      </c>
    </row>
    <row r="87" ht="15.75" spans="1:6">
      <c r="A87" s="75" t="s">
        <v>405</v>
      </c>
      <c r="B87" s="17" t="s">
        <v>409</v>
      </c>
      <c r="C87" s="72" t="s">
        <v>410</v>
      </c>
      <c r="D87" s="17"/>
      <c r="E87" s="19">
        <v>92925</v>
      </c>
      <c r="F87" s="17">
        <f t="shared" si="1"/>
        <v>109295</v>
      </c>
    </row>
    <row r="88" ht="15.75" spans="1:6">
      <c r="A88" s="75" t="s">
        <v>411</v>
      </c>
      <c r="B88" s="17" t="s">
        <v>412</v>
      </c>
      <c r="C88" s="72" t="s">
        <v>114</v>
      </c>
      <c r="D88" s="17"/>
      <c r="E88" s="19">
        <v>1550</v>
      </c>
      <c r="F88" s="17">
        <f t="shared" si="1"/>
        <v>110845</v>
      </c>
    </row>
    <row r="89" ht="15.75" spans="1:6">
      <c r="A89" s="75" t="s">
        <v>405</v>
      </c>
      <c r="B89" s="17" t="s">
        <v>413</v>
      </c>
      <c r="C89" s="72" t="s">
        <v>414</v>
      </c>
      <c r="D89" s="17"/>
      <c r="E89" s="19">
        <v>6050</v>
      </c>
      <c r="F89" s="17">
        <f t="shared" si="1"/>
        <v>116895</v>
      </c>
    </row>
    <row r="90" ht="15.75" spans="1:6">
      <c r="A90" s="75" t="s">
        <v>415</v>
      </c>
      <c r="B90" s="17" t="s">
        <v>416</v>
      </c>
      <c r="C90" s="72" t="s">
        <v>417</v>
      </c>
      <c r="D90" s="17"/>
      <c r="E90" s="19">
        <v>2900</v>
      </c>
      <c r="F90" s="17">
        <f t="shared" si="1"/>
        <v>119795</v>
      </c>
    </row>
    <row r="91" ht="15.75" spans="1:6">
      <c r="A91" s="75" t="s">
        <v>415</v>
      </c>
      <c r="B91" s="17" t="s">
        <v>418</v>
      </c>
      <c r="C91" s="72" t="s">
        <v>419</v>
      </c>
      <c r="D91" s="17"/>
      <c r="E91" s="19">
        <v>10800</v>
      </c>
      <c r="F91" s="17">
        <f t="shared" si="1"/>
        <v>130595</v>
      </c>
    </row>
    <row r="92" ht="15.75" spans="1:6">
      <c r="A92" s="75" t="s">
        <v>415</v>
      </c>
      <c r="B92" s="17" t="s">
        <v>420</v>
      </c>
      <c r="C92" s="72" t="s">
        <v>421</v>
      </c>
      <c r="D92" s="17"/>
      <c r="E92" s="19">
        <v>9000</v>
      </c>
      <c r="F92" s="17">
        <f t="shared" si="1"/>
        <v>139595</v>
      </c>
    </row>
    <row r="93" ht="15.75" spans="1:6">
      <c r="A93" s="75" t="s">
        <v>415</v>
      </c>
      <c r="B93" s="17" t="s">
        <v>253</v>
      </c>
      <c r="C93" s="72" t="s">
        <v>313</v>
      </c>
      <c r="D93" s="17">
        <v>55000</v>
      </c>
      <c r="E93" s="19"/>
      <c r="F93" s="17">
        <f t="shared" si="1"/>
        <v>84595</v>
      </c>
    </row>
    <row r="94" ht="31.5" spans="1:6">
      <c r="A94" s="75" t="s">
        <v>422</v>
      </c>
      <c r="B94" s="17" t="s">
        <v>423</v>
      </c>
      <c r="C94" s="74" t="s">
        <v>374</v>
      </c>
      <c r="D94" s="17"/>
      <c r="E94" s="19">
        <v>97052</v>
      </c>
      <c r="F94" s="17">
        <f t="shared" si="1"/>
        <v>181647</v>
      </c>
    </row>
    <row r="95" ht="15.75" spans="1:6">
      <c r="A95" s="94" t="s">
        <v>415</v>
      </c>
      <c r="B95" s="17" t="s">
        <v>101</v>
      </c>
      <c r="C95" s="72" t="s">
        <v>424</v>
      </c>
      <c r="D95" s="17">
        <v>50000</v>
      </c>
      <c r="E95" s="19"/>
      <c r="F95" s="17">
        <f t="shared" si="1"/>
        <v>131647</v>
      </c>
    </row>
    <row r="96" ht="15.75" spans="1:6">
      <c r="A96" s="75" t="s">
        <v>425</v>
      </c>
      <c r="B96" s="17" t="s">
        <v>426</v>
      </c>
      <c r="C96" s="72" t="s">
        <v>410</v>
      </c>
      <c r="D96" s="17"/>
      <c r="E96" s="19">
        <v>54260</v>
      </c>
      <c r="F96" s="17">
        <f t="shared" si="1"/>
        <v>185907</v>
      </c>
    </row>
    <row r="97" ht="31.5" spans="1:6">
      <c r="A97" s="75" t="s">
        <v>425</v>
      </c>
      <c r="B97" s="17" t="s">
        <v>427</v>
      </c>
      <c r="C97" s="74" t="s">
        <v>428</v>
      </c>
      <c r="D97" s="17"/>
      <c r="E97" s="19">
        <v>11300</v>
      </c>
      <c r="F97" s="17">
        <f t="shared" si="1"/>
        <v>197207</v>
      </c>
    </row>
    <row r="98" ht="15.75" spans="1:6">
      <c r="A98" s="75" t="s">
        <v>425</v>
      </c>
      <c r="B98" s="17" t="s">
        <v>429</v>
      </c>
      <c r="C98" s="74" t="s">
        <v>430</v>
      </c>
      <c r="D98" s="17"/>
      <c r="E98" s="19">
        <v>4000</v>
      </c>
      <c r="F98" s="17">
        <f t="shared" si="1"/>
        <v>201207</v>
      </c>
    </row>
    <row r="99" ht="15.75" spans="1:6">
      <c r="A99" s="75" t="s">
        <v>425</v>
      </c>
      <c r="B99" s="17" t="s">
        <v>253</v>
      </c>
      <c r="C99" s="74" t="s">
        <v>313</v>
      </c>
      <c r="D99" s="17">
        <v>43500</v>
      </c>
      <c r="E99" s="19"/>
      <c r="F99" s="17">
        <f t="shared" si="1"/>
        <v>157707</v>
      </c>
    </row>
    <row r="100" ht="15.75" spans="1:6">
      <c r="A100" s="94" t="s">
        <v>431</v>
      </c>
      <c r="B100" s="17" t="s">
        <v>253</v>
      </c>
      <c r="C100" s="74" t="s">
        <v>313</v>
      </c>
      <c r="D100" s="17">
        <v>50000</v>
      </c>
      <c r="E100" s="19"/>
      <c r="F100" s="17">
        <f t="shared" si="1"/>
        <v>107707</v>
      </c>
    </row>
    <row r="101" ht="15.75" spans="1:6">
      <c r="A101" s="94" t="s">
        <v>432</v>
      </c>
      <c r="B101" s="17" t="s">
        <v>433</v>
      </c>
      <c r="C101" s="74" t="s">
        <v>434</v>
      </c>
      <c r="D101" s="17"/>
      <c r="E101" s="19">
        <v>7100</v>
      </c>
      <c r="F101" s="17">
        <f t="shared" si="1"/>
        <v>114807</v>
      </c>
    </row>
    <row r="102" ht="15.75" spans="1:6">
      <c r="A102" s="75" t="s">
        <v>432</v>
      </c>
      <c r="B102" s="17"/>
      <c r="C102" s="74" t="s">
        <v>435</v>
      </c>
      <c r="D102" s="17">
        <v>6400</v>
      </c>
      <c r="E102" s="19"/>
      <c r="F102" s="17">
        <f t="shared" si="1"/>
        <v>108407</v>
      </c>
    </row>
    <row r="103" ht="15.75" spans="1:6">
      <c r="A103" s="75" t="s">
        <v>436</v>
      </c>
      <c r="B103" s="17" t="s">
        <v>433</v>
      </c>
      <c r="C103" s="74" t="s">
        <v>437</v>
      </c>
      <c r="D103" s="17"/>
      <c r="E103" s="19">
        <v>2600</v>
      </c>
      <c r="F103" s="17">
        <f t="shared" si="1"/>
        <v>111007</v>
      </c>
    </row>
    <row r="104" ht="31.5" spans="1:6">
      <c r="A104" s="75" t="s">
        <v>438</v>
      </c>
      <c r="B104" s="17" t="s">
        <v>439</v>
      </c>
      <c r="C104" s="74" t="s">
        <v>440</v>
      </c>
      <c r="D104" s="17"/>
      <c r="E104" s="19">
        <v>58127</v>
      </c>
      <c r="F104" s="17">
        <f t="shared" si="1"/>
        <v>169134</v>
      </c>
    </row>
    <row r="105" ht="15.75" spans="1:6">
      <c r="A105" s="75" t="s">
        <v>438</v>
      </c>
      <c r="B105" s="17" t="s">
        <v>253</v>
      </c>
      <c r="C105" s="74" t="s">
        <v>313</v>
      </c>
      <c r="D105" s="17">
        <v>35000</v>
      </c>
      <c r="E105" s="19"/>
      <c r="F105" s="17">
        <f t="shared" si="1"/>
        <v>134134</v>
      </c>
    </row>
    <row r="106" ht="15.75" spans="1:6">
      <c r="A106" s="75" t="s">
        <v>441</v>
      </c>
      <c r="B106" s="17" t="s">
        <v>253</v>
      </c>
      <c r="C106" s="74" t="s">
        <v>313</v>
      </c>
      <c r="D106" s="17">
        <v>35500</v>
      </c>
      <c r="E106" s="19"/>
      <c r="F106" s="17">
        <f t="shared" si="1"/>
        <v>98634</v>
      </c>
    </row>
    <row r="107" ht="31.5" spans="1:6">
      <c r="A107" s="75" t="s">
        <v>441</v>
      </c>
      <c r="B107" s="17" t="s">
        <v>442</v>
      </c>
      <c r="C107" s="74" t="s">
        <v>443</v>
      </c>
      <c r="D107" s="17"/>
      <c r="E107" s="19">
        <v>8800</v>
      </c>
      <c r="F107" s="17">
        <f t="shared" si="1"/>
        <v>107434</v>
      </c>
    </row>
    <row r="108" ht="15.75" spans="1:6">
      <c r="A108" s="75" t="s">
        <v>444</v>
      </c>
      <c r="B108" s="17" t="s">
        <v>445</v>
      </c>
      <c r="C108" s="74" t="s">
        <v>402</v>
      </c>
      <c r="D108" s="17"/>
      <c r="E108" s="19">
        <v>12180</v>
      </c>
      <c r="F108" s="17">
        <f t="shared" si="1"/>
        <v>119614</v>
      </c>
    </row>
    <row r="109" ht="15.75" spans="1:6">
      <c r="A109" s="75" t="s">
        <v>444</v>
      </c>
      <c r="B109" s="17" t="s">
        <v>253</v>
      </c>
      <c r="C109" s="74" t="s">
        <v>313</v>
      </c>
      <c r="D109" s="17">
        <v>38000</v>
      </c>
      <c r="E109" s="19"/>
      <c r="F109" s="17">
        <f t="shared" si="1"/>
        <v>81614</v>
      </c>
    </row>
    <row r="110" ht="15.75" spans="1:6">
      <c r="A110" s="75" t="s">
        <v>444</v>
      </c>
      <c r="B110" s="17" t="s">
        <v>446</v>
      </c>
      <c r="C110" s="74" t="s">
        <v>447</v>
      </c>
      <c r="D110" s="17"/>
      <c r="E110" s="19">
        <v>4000</v>
      </c>
      <c r="F110" s="17">
        <f t="shared" si="1"/>
        <v>85614</v>
      </c>
    </row>
    <row r="111" ht="15.75" spans="1:6">
      <c r="A111" s="75" t="s">
        <v>448</v>
      </c>
      <c r="B111" s="17" t="s">
        <v>449</v>
      </c>
      <c r="C111" s="74" t="s">
        <v>450</v>
      </c>
      <c r="D111" s="17"/>
      <c r="E111" s="19">
        <v>3660</v>
      </c>
      <c r="F111" s="17">
        <f t="shared" si="1"/>
        <v>89274</v>
      </c>
    </row>
    <row r="112" ht="15.75" spans="1:6">
      <c r="A112" s="75" t="s">
        <v>448</v>
      </c>
      <c r="B112" s="17" t="s">
        <v>451</v>
      </c>
      <c r="C112" s="74" t="s">
        <v>452</v>
      </c>
      <c r="D112" s="17"/>
      <c r="E112" s="19">
        <v>1920</v>
      </c>
      <c r="F112" s="17">
        <f t="shared" si="1"/>
        <v>91194</v>
      </c>
    </row>
    <row r="113" ht="15.75" spans="1:6">
      <c r="A113" s="75" t="s">
        <v>448</v>
      </c>
      <c r="B113" s="17" t="s">
        <v>253</v>
      </c>
      <c r="C113" s="74" t="s">
        <v>313</v>
      </c>
      <c r="D113" s="17">
        <v>10000</v>
      </c>
      <c r="E113" s="19"/>
      <c r="F113" s="17">
        <f t="shared" si="1"/>
        <v>81194</v>
      </c>
    </row>
    <row r="114" ht="15.75" spans="1:6">
      <c r="A114" s="75" t="s">
        <v>448</v>
      </c>
      <c r="B114" s="17"/>
      <c r="C114" s="74" t="s">
        <v>101</v>
      </c>
      <c r="D114" s="17">
        <v>10000</v>
      </c>
      <c r="E114" s="19"/>
      <c r="F114" s="17">
        <f t="shared" si="1"/>
        <v>71194</v>
      </c>
    </row>
    <row r="115" ht="15.75" spans="1:6">
      <c r="A115" s="75" t="s">
        <v>453</v>
      </c>
      <c r="B115" s="17" t="s">
        <v>454</v>
      </c>
      <c r="C115" s="74" t="s">
        <v>455</v>
      </c>
      <c r="D115" s="17"/>
      <c r="E115" s="19">
        <v>3650</v>
      </c>
      <c r="F115" s="17">
        <f t="shared" si="1"/>
        <v>74844</v>
      </c>
    </row>
    <row r="116" ht="15.75" spans="1:6">
      <c r="A116" s="75" t="s">
        <v>453</v>
      </c>
      <c r="B116" s="17" t="s">
        <v>253</v>
      </c>
      <c r="C116" s="74" t="s">
        <v>313</v>
      </c>
      <c r="D116" s="17">
        <v>16000</v>
      </c>
      <c r="E116" s="19"/>
      <c r="F116" s="17">
        <f t="shared" si="1"/>
        <v>58844</v>
      </c>
    </row>
    <row r="117" ht="15.75" spans="1:6">
      <c r="A117" s="75" t="s">
        <v>453</v>
      </c>
      <c r="B117" s="17" t="s">
        <v>253</v>
      </c>
      <c r="C117" s="74" t="s">
        <v>313</v>
      </c>
      <c r="D117" s="17">
        <v>11500</v>
      </c>
      <c r="E117" s="19"/>
      <c r="F117" s="17">
        <f t="shared" si="1"/>
        <v>47344</v>
      </c>
    </row>
    <row r="118" ht="15.75" spans="1:6">
      <c r="A118" s="75" t="s">
        <v>453</v>
      </c>
      <c r="B118" s="17" t="s">
        <v>253</v>
      </c>
      <c r="C118" s="74" t="s">
        <v>456</v>
      </c>
      <c r="D118" s="17">
        <v>22500</v>
      </c>
      <c r="E118" s="19"/>
      <c r="F118" s="17">
        <f t="shared" si="1"/>
        <v>24844</v>
      </c>
    </row>
    <row r="119" ht="15.75" spans="1:6">
      <c r="A119" s="75" t="s">
        <v>453</v>
      </c>
      <c r="B119" s="17" t="s">
        <v>457</v>
      </c>
      <c r="C119" s="74" t="s">
        <v>140</v>
      </c>
      <c r="D119" s="17"/>
      <c r="E119" s="19">
        <v>50000</v>
      </c>
      <c r="F119" s="17">
        <f t="shared" si="1"/>
        <v>74844</v>
      </c>
    </row>
    <row r="120" ht="47.25" spans="1:6">
      <c r="A120" s="75" t="s">
        <v>453</v>
      </c>
      <c r="B120" s="17" t="s">
        <v>458</v>
      </c>
      <c r="C120" s="74" t="s">
        <v>459</v>
      </c>
      <c r="D120" s="17"/>
      <c r="E120" s="19">
        <v>11600</v>
      </c>
      <c r="F120" s="17">
        <f t="shared" si="1"/>
        <v>86444</v>
      </c>
    </row>
    <row r="121" ht="15.75" spans="1:6">
      <c r="A121" s="75" t="s">
        <v>460</v>
      </c>
      <c r="B121" s="17" t="s">
        <v>461</v>
      </c>
      <c r="C121" s="74" t="s">
        <v>140</v>
      </c>
      <c r="D121" s="17"/>
      <c r="E121" s="19">
        <v>1400</v>
      </c>
      <c r="F121" s="17">
        <f t="shared" si="1"/>
        <v>87844</v>
      </c>
    </row>
    <row r="122" ht="15.75" spans="1:6">
      <c r="A122" s="75" t="s">
        <v>460</v>
      </c>
      <c r="B122" s="17" t="s">
        <v>462</v>
      </c>
      <c r="C122" s="74" t="s">
        <v>140</v>
      </c>
      <c r="D122" s="17"/>
      <c r="E122" s="19">
        <v>5900</v>
      </c>
      <c r="F122" s="17">
        <f t="shared" si="1"/>
        <v>93744</v>
      </c>
    </row>
    <row r="123" ht="15.75" spans="1:6">
      <c r="A123" s="75"/>
      <c r="B123" s="17"/>
      <c r="C123" s="74"/>
      <c r="D123" s="17"/>
      <c r="E123" s="19"/>
      <c r="F123" s="17">
        <f t="shared" si="1"/>
        <v>93744</v>
      </c>
    </row>
    <row r="124" ht="15.75" spans="1:6">
      <c r="A124" s="75">
        <v>45662</v>
      </c>
      <c r="B124" s="17" t="s">
        <v>253</v>
      </c>
      <c r="C124" s="74" t="s">
        <v>313</v>
      </c>
      <c r="D124" s="17">
        <v>15000</v>
      </c>
      <c r="E124" s="19"/>
      <c r="F124" s="17">
        <f t="shared" si="1"/>
        <v>78744</v>
      </c>
    </row>
    <row r="125" ht="15.75" spans="1:6">
      <c r="A125" s="75" t="s">
        <v>460</v>
      </c>
      <c r="B125" s="17" t="s">
        <v>463</v>
      </c>
      <c r="C125" s="74" t="s">
        <v>464</v>
      </c>
      <c r="D125" s="17"/>
      <c r="E125" s="19">
        <v>1500</v>
      </c>
      <c r="F125" s="17">
        <f t="shared" si="1"/>
        <v>80244</v>
      </c>
    </row>
    <row r="126" ht="15.75" spans="1:6">
      <c r="A126" s="75">
        <v>45662</v>
      </c>
      <c r="B126" s="17" t="s">
        <v>465</v>
      </c>
      <c r="C126" s="74" t="s">
        <v>466</v>
      </c>
      <c r="D126" s="17"/>
      <c r="E126" s="19">
        <v>960</v>
      </c>
      <c r="F126" s="17">
        <f t="shared" si="1"/>
        <v>81204</v>
      </c>
    </row>
    <row r="127" ht="15.75" spans="1:6">
      <c r="A127" s="75">
        <v>45662</v>
      </c>
      <c r="B127" s="17" t="s">
        <v>467</v>
      </c>
      <c r="C127" s="74" t="s">
        <v>402</v>
      </c>
      <c r="D127" s="17"/>
      <c r="E127" s="19">
        <v>7300</v>
      </c>
      <c r="F127" s="17">
        <f t="shared" si="1"/>
        <v>88504</v>
      </c>
    </row>
    <row r="128" ht="15.75" spans="1:6">
      <c r="A128" s="75">
        <v>45693</v>
      </c>
      <c r="B128" s="17"/>
      <c r="C128" s="74" t="s">
        <v>101</v>
      </c>
      <c r="D128" s="17">
        <v>50000</v>
      </c>
      <c r="E128" s="19"/>
      <c r="F128" s="17">
        <f t="shared" si="1"/>
        <v>38504</v>
      </c>
    </row>
    <row r="129" ht="31.5" spans="1:6">
      <c r="A129" s="75">
        <v>45662</v>
      </c>
      <c r="B129" s="17" t="s">
        <v>468</v>
      </c>
      <c r="C129" s="74" t="s">
        <v>469</v>
      </c>
      <c r="D129" s="17"/>
      <c r="E129" s="19">
        <v>45450</v>
      </c>
      <c r="F129" s="17">
        <f t="shared" si="1"/>
        <v>83954</v>
      </c>
    </row>
    <row r="130" ht="31.5" spans="1:6">
      <c r="A130" s="75">
        <v>45662</v>
      </c>
      <c r="B130" s="17" t="s">
        <v>470</v>
      </c>
      <c r="C130" s="74" t="s">
        <v>471</v>
      </c>
      <c r="D130" s="17"/>
      <c r="E130" s="19">
        <v>11400</v>
      </c>
      <c r="F130" s="17">
        <f t="shared" si="1"/>
        <v>95354</v>
      </c>
    </row>
    <row r="131" ht="15.75" spans="1:6">
      <c r="A131" s="75">
        <v>45721</v>
      </c>
      <c r="B131" s="17"/>
      <c r="C131" s="74" t="s">
        <v>102</v>
      </c>
      <c r="D131" s="17">
        <v>20000</v>
      </c>
      <c r="E131" s="19"/>
      <c r="F131" s="17">
        <f t="shared" si="1"/>
        <v>75354</v>
      </c>
    </row>
    <row r="132" ht="31.5" spans="1:6">
      <c r="A132" s="75">
        <v>45782</v>
      </c>
      <c r="B132" s="17" t="s">
        <v>472</v>
      </c>
      <c r="C132" s="74" t="s">
        <v>473</v>
      </c>
      <c r="D132" s="17"/>
      <c r="E132" s="19">
        <v>10600</v>
      </c>
      <c r="F132" s="17">
        <f t="shared" si="1"/>
        <v>85954</v>
      </c>
    </row>
    <row r="133" ht="15.75" spans="1:6">
      <c r="A133" s="75">
        <v>45782</v>
      </c>
      <c r="B133" s="17" t="s">
        <v>474</v>
      </c>
      <c r="C133" s="74" t="s">
        <v>342</v>
      </c>
      <c r="D133" s="17"/>
      <c r="E133" s="19">
        <v>54076</v>
      </c>
      <c r="F133" s="17">
        <f t="shared" si="1"/>
        <v>140030</v>
      </c>
    </row>
    <row r="134" ht="15.75" spans="1:6">
      <c r="A134" s="75">
        <v>45782</v>
      </c>
      <c r="B134" s="17" t="s">
        <v>253</v>
      </c>
      <c r="C134" s="74" t="s">
        <v>313</v>
      </c>
      <c r="D134" s="17">
        <v>30500</v>
      </c>
      <c r="E134" s="19"/>
      <c r="F134" s="17">
        <f t="shared" si="1"/>
        <v>109530</v>
      </c>
    </row>
    <row r="135" ht="15.75" spans="1:6">
      <c r="A135" s="75">
        <v>45782</v>
      </c>
      <c r="B135" s="17" t="s">
        <v>253</v>
      </c>
      <c r="C135" s="74" t="s">
        <v>101</v>
      </c>
      <c r="D135" s="17">
        <v>7000</v>
      </c>
      <c r="E135" s="19"/>
      <c r="F135" s="17">
        <f t="shared" si="1"/>
        <v>102530</v>
      </c>
    </row>
    <row r="136" ht="15.75" spans="1:6">
      <c r="A136" s="75">
        <v>45782</v>
      </c>
      <c r="B136" s="17" t="s">
        <v>253</v>
      </c>
      <c r="C136" s="74" t="s">
        <v>313</v>
      </c>
      <c r="D136" s="17">
        <v>12500</v>
      </c>
      <c r="E136" s="19"/>
      <c r="F136" s="17">
        <f t="shared" si="1"/>
        <v>90030</v>
      </c>
    </row>
    <row r="137" ht="15.75" spans="1:6">
      <c r="A137" s="75">
        <v>45843</v>
      </c>
      <c r="B137" s="17" t="s">
        <v>475</v>
      </c>
      <c r="C137" s="74" t="s">
        <v>476</v>
      </c>
      <c r="D137" s="17"/>
      <c r="E137" s="19">
        <v>4000</v>
      </c>
      <c r="F137" s="17">
        <f t="shared" si="1"/>
        <v>94030</v>
      </c>
    </row>
    <row r="138" ht="15.75" spans="1:6">
      <c r="A138" s="75">
        <v>45813</v>
      </c>
      <c r="B138" s="17" t="s">
        <v>253</v>
      </c>
      <c r="C138" s="74" t="s">
        <v>477</v>
      </c>
      <c r="D138" s="17">
        <v>50000</v>
      </c>
      <c r="E138" s="19"/>
      <c r="F138" s="17">
        <f t="shared" si="1"/>
        <v>44030</v>
      </c>
    </row>
    <row r="139" ht="31.5" spans="1:6">
      <c r="A139" s="75">
        <v>45843</v>
      </c>
      <c r="B139" s="17" t="s">
        <v>478</v>
      </c>
      <c r="C139" s="74" t="s">
        <v>479</v>
      </c>
      <c r="D139" s="17"/>
      <c r="E139" s="19">
        <v>15680</v>
      </c>
      <c r="F139" s="17">
        <f t="shared" si="1"/>
        <v>59710</v>
      </c>
    </row>
    <row r="140" ht="31.5" spans="1:6">
      <c r="A140" s="75">
        <v>45935</v>
      </c>
      <c r="B140" s="17" t="s">
        <v>480</v>
      </c>
      <c r="C140" s="74" t="s">
        <v>481</v>
      </c>
      <c r="D140" s="17"/>
      <c r="E140" s="19">
        <v>25690</v>
      </c>
      <c r="F140" s="17">
        <f t="shared" si="1"/>
        <v>85400</v>
      </c>
    </row>
    <row r="141" ht="15.75" spans="1:6">
      <c r="A141" s="75">
        <v>45966</v>
      </c>
      <c r="B141" s="17" t="s">
        <v>482</v>
      </c>
      <c r="C141" s="74" t="s">
        <v>466</v>
      </c>
      <c r="D141" s="17"/>
      <c r="E141" s="19">
        <v>2400</v>
      </c>
      <c r="F141" s="17">
        <f t="shared" si="1"/>
        <v>87800</v>
      </c>
    </row>
    <row r="142" ht="15.75" spans="1:6">
      <c r="A142" s="75">
        <v>45966</v>
      </c>
      <c r="B142" s="17" t="s">
        <v>253</v>
      </c>
      <c r="C142" s="74" t="s">
        <v>483</v>
      </c>
      <c r="D142" s="17">
        <v>15000</v>
      </c>
      <c r="E142" s="19"/>
      <c r="F142" s="17">
        <f t="shared" si="1"/>
        <v>72800</v>
      </c>
    </row>
    <row r="143" ht="15.75" spans="1:6">
      <c r="A143" s="75">
        <v>45966</v>
      </c>
      <c r="B143" s="17"/>
      <c r="C143" s="74" t="s">
        <v>101</v>
      </c>
      <c r="D143" s="17">
        <v>40000</v>
      </c>
      <c r="E143" s="19"/>
      <c r="F143" s="17">
        <f t="shared" si="1"/>
        <v>32800</v>
      </c>
    </row>
    <row r="144" ht="15.75" spans="1:6">
      <c r="A144" s="75" t="s">
        <v>484</v>
      </c>
      <c r="B144" s="17"/>
      <c r="C144" s="74" t="s">
        <v>485</v>
      </c>
      <c r="D144" s="17">
        <v>25000</v>
      </c>
      <c r="E144" s="19"/>
      <c r="F144" s="17">
        <f t="shared" si="1"/>
        <v>7800</v>
      </c>
    </row>
    <row r="145" ht="15.75" spans="1:6">
      <c r="A145" s="75">
        <v>45996</v>
      </c>
      <c r="B145" s="17" t="s">
        <v>486</v>
      </c>
      <c r="C145" s="74" t="s">
        <v>487</v>
      </c>
      <c r="D145" s="17"/>
      <c r="E145" s="19">
        <v>34425</v>
      </c>
      <c r="F145" s="17">
        <f t="shared" si="1"/>
        <v>42225</v>
      </c>
    </row>
    <row r="146" ht="15.75" spans="1:6">
      <c r="A146" s="75">
        <v>45996</v>
      </c>
      <c r="B146" s="17" t="s">
        <v>488</v>
      </c>
      <c r="C146" s="74" t="s">
        <v>466</v>
      </c>
      <c r="D146" s="17"/>
      <c r="E146" s="19">
        <v>2400</v>
      </c>
      <c r="F146" s="17">
        <f t="shared" si="1"/>
        <v>44625</v>
      </c>
    </row>
    <row r="147" ht="15.75" spans="1:6">
      <c r="A147" s="75">
        <v>45996</v>
      </c>
      <c r="B147" s="17" t="s">
        <v>253</v>
      </c>
      <c r="C147" s="74" t="s">
        <v>313</v>
      </c>
      <c r="D147" s="17">
        <v>28000</v>
      </c>
      <c r="E147" s="19"/>
      <c r="F147" s="17">
        <f t="shared" si="1"/>
        <v>16625</v>
      </c>
    </row>
    <row r="148" ht="31.5" spans="1:6">
      <c r="A148" s="75" t="s">
        <v>484</v>
      </c>
      <c r="B148" s="17" t="s">
        <v>489</v>
      </c>
      <c r="C148" s="74" t="s">
        <v>490</v>
      </c>
      <c r="D148" s="17"/>
      <c r="E148" s="19">
        <v>34620</v>
      </c>
      <c r="F148" s="17">
        <f t="shared" si="1"/>
        <v>51245</v>
      </c>
    </row>
    <row r="149" ht="15.75" spans="1:6">
      <c r="A149" s="75" t="s">
        <v>484</v>
      </c>
      <c r="B149" s="17"/>
      <c r="C149" s="74" t="s">
        <v>491</v>
      </c>
      <c r="D149" s="17"/>
      <c r="E149" s="19">
        <v>220000</v>
      </c>
      <c r="F149" s="17">
        <f t="shared" si="1"/>
        <v>271245</v>
      </c>
    </row>
    <row r="150" ht="15.75" spans="1:6">
      <c r="A150" s="75">
        <v>45813</v>
      </c>
      <c r="B150" s="17"/>
      <c r="C150" s="74" t="s">
        <v>492</v>
      </c>
      <c r="D150" s="17">
        <v>50000</v>
      </c>
      <c r="E150" s="19"/>
      <c r="F150" s="17">
        <f t="shared" si="1"/>
        <v>221245</v>
      </c>
    </row>
    <row r="151" ht="15.75" spans="1:6">
      <c r="A151" s="75" t="s">
        <v>484</v>
      </c>
      <c r="B151" s="17"/>
      <c r="C151" s="74" t="s">
        <v>493</v>
      </c>
      <c r="D151" s="17">
        <v>15000</v>
      </c>
      <c r="E151" s="19"/>
      <c r="F151" s="17">
        <f t="shared" si="1"/>
        <v>206245</v>
      </c>
    </row>
    <row r="152" ht="15.75" spans="1:6">
      <c r="A152" s="75"/>
      <c r="B152" s="17"/>
      <c r="C152" s="74" t="s">
        <v>494</v>
      </c>
      <c r="D152" s="17">
        <v>20000</v>
      </c>
      <c r="E152" s="19"/>
      <c r="F152" s="17">
        <f t="shared" si="1"/>
        <v>186245</v>
      </c>
    </row>
    <row r="153" ht="15.75" spans="1:6">
      <c r="A153" s="75"/>
      <c r="B153" s="17"/>
      <c r="C153" s="74" t="s">
        <v>495</v>
      </c>
      <c r="D153" s="17"/>
      <c r="E153" s="19">
        <v>46500</v>
      </c>
      <c r="F153" s="17">
        <f t="shared" si="1"/>
        <v>232745</v>
      </c>
    </row>
    <row r="154" ht="15.75" spans="1:6">
      <c r="A154" s="75"/>
      <c r="B154" s="17"/>
      <c r="C154" s="74" t="s">
        <v>496</v>
      </c>
      <c r="D154" s="17">
        <v>215000</v>
      </c>
      <c r="E154" s="19"/>
      <c r="F154" s="17">
        <f t="shared" si="1"/>
        <v>17745</v>
      </c>
    </row>
    <row r="155" ht="47.25" spans="1:6">
      <c r="A155" s="75" t="s">
        <v>497</v>
      </c>
      <c r="B155" s="17" t="s">
        <v>498</v>
      </c>
      <c r="C155" s="74" t="s">
        <v>499</v>
      </c>
      <c r="D155" s="17"/>
      <c r="E155" s="19">
        <v>31250</v>
      </c>
      <c r="F155" s="17">
        <f t="shared" si="1"/>
        <v>48995</v>
      </c>
    </row>
    <row r="156" ht="15.75" spans="1:6">
      <c r="A156" s="75" t="s">
        <v>497</v>
      </c>
      <c r="B156" s="17" t="s">
        <v>500</v>
      </c>
      <c r="C156" s="74" t="s">
        <v>501</v>
      </c>
      <c r="D156" s="17"/>
      <c r="E156" s="19">
        <v>42550</v>
      </c>
      <c r="F156" s="17">
        <f t="shared" si="1"/>
        <v>91545</v>
      </c>
    </row>
    <row r="157" ht="15.75" spans="1:6">
      <c r="A157" s="75" t="s">
        <v>497</v>
      </c>
      <c r="B157" s="17" t="s">
        <v>253</v>
      </c>
      <c r="C157" s="74" t="s">
        <v>313</v>
      </c>
      <c r="D157" s="17">
        <v>25000</v>
      </c>
      <c r="E157" s="19"/>
      <c r="F157" s="17">
        <f t="shared" si="1"/>
        <v>66545</v>
      </c>
    </row>
    <row r="158" ht="31.5" spans="1:6">
      <c r="A158" s="75" t="s">
        <v>502</v>
      </c>
      <c r="B158" s="17" t="s">
        <v>503</v>
      </c>
      <c r="C158" s="74" t="s">
        <v>504</v>
      </c>
      <c r="D158" s="17"/>
      <c r="E158" s="19">
        <v>36615</v>
      </c>
      <c r="F158" s="17">
        <f t="shared" si="1"/>
        <v>103160</v>
      </c>
    </row>
    <row r="159" ht="15.75" spans="1:6">
      <c r="A159" s="75" t="s">
        <v>502</v>
      </c>
      <c r="B159" s="17" t="s">
        <v>253</v>
      </c>
      <c r="C159" s="74" t="s">
        <v>313</v>
      </c>
      <c r="D159" s="17">
        <v>36500</v>
      </c>
      <c r="E159" s="19"/>
      <c r="F159" s="17">
        <f t="shared" si="1"/>
        <v>66660</v>
      </c>
    </row>
    <row r="160" ht="15.75" spans="1:6">
      <c r="A160" s="75" t="s">
        <v>505</v>
      </c>
      <c r="B160" s="17" t="s">
        <v>506</v>
      </c>
      <c r="C160" s="74" t="s">
        <v>507</v>
      </c>
      <c r="D160" s="17"/>
      <c r="E160" s="19">
        <v>17710</v>
      </c>
      <c r="F160" s="17">
        <f t="shared" si="1"/>
        <v>84370</v>
      </c>
    </row>
    <row r="161" ht="15.75" spans="1:6">
      <c r="A161" s="75" t="s">
        <v>505</v>
      </c>
      <c r="B161" s="17" t="s">
        <v>508</v>
      </c>
      <c r="C161" s="74" t="s">
        <v>509</v>
      </c>
      <c r="D161" s="17"/>
      <c r="E161" s="19">
        <v>3040</v>
      </c>
      <c r="F161" s="17">
        <f t="shared" si="1"/>
        <v>87410</v>
      </c>
    </row>
    <row r="162" ht="15.75" spans="1:6">
      <c r="A162" s="75" t="s">
        <v>505</v>
      </c>
      <c r="B162" s="17" t="s">
        <v>253</v>
      </c>
      <c r="C162" s="74" t="s">
        <v>313</v>
      </c>
      <c r="D162" s="17">
        <v>38000</v>
      </c>
      <c r="E162" s="19"/>
      <c r="F162" s="17">
        <f t="shared" si="1"/>
        <v>49410</v>
      </c>
    </row>
    <row r="163" ht="15.75" spans="1:6">
      <c r="A163" s="75" t="s">
        <v>510</v>
      </c>
      <c r="B163" s="17" t="s">
        <v>511</v>
      </c>
      <c r="C163" s="74" t="s">
        <v>512</v>
      </c>
      <c r="D163" s="17"/>
      <c r="E163" s="19">
        <v>3010</v>
      </c>
      <c r="F163" s="17">
        <f t="shared" si="1"/>
        <v>52420</v>
      </c>
    </row>
    <row r="164" ht="31.5" spans="1:6">
      <c r="A164" s="75" t="s">
        <v>510</v>
      </c>
      <c r="B164" s="17" t="s">
        <v>513</v>
      </c>
      <c r="C164" s="74" t="s">
        <v>514</v>
      </c>
      <c r="D164" s="17"/>
      <c r="E164" s="19">
        <v>64960</v>
      </c>
      <c r="F164" s="17">
        <f t="shared" si="1"/>
        <v>117380</v>
      </c>
    </row>
    <row r="165" ht="15.75" spans="1:6">
      <c r="A165" s="75" t="s">
        <v>515</v>
      </c>
      <c r="B165" s="17" t="s">
        <v>253</v>
      </c>
      <c r="C165" s="74" t="s">
        <v>313</v>
      </c>
      <c r="D165" s="17">
        <v>32000</v>
      </c>
      <c r="E165" s="19"/>
      <c r="F165" s="17">
        <f t="shared" si="1"/>
        <v>85380</v>
      </c>
    </row>
    <row r="166" ht="15.75" spans="1:6">
      <c r="A166" s="75" t="s">
        <v>515</v>
      </c>
      <c r="B166" s="17" t="s">
        <v>253</v>
      </c>
      <c r="C166" s="74" t="s">
        <v>313</v>
      </c>
      <c r="D166" s="17">
        <v>25000</v>
      </c>
      <c r="E166" s="19"/>
      <c r="F166" s="17">
        <f t="shared" si="1"/>
        <v>60380</v>
      </c>
    </row>
    <row r="167" ht="15.75" spans="1:6">
      <c r="A167" s="75" t="s">
        <v>516</v>
      </c>
      <c r="B167" s="17" t="s">
        <v>517</v>
      </c>
      <c r="C167" s="74" t="s">
        <v>402</v>
      </c>
      <c r="D167" s="17"/>
      <c r="E167" s="19">
        <v>20125</v>
      </c>
      <c r="F167" s="17">
        <f t="shared" si="1"/>
        <v>80505</v>
      </c>
    </row>
    <row r="168" ht="31.5" spans="1:6">
      <c r="A168" s="75" t="s">
        <v>516</v>
      </c>
      <c r="B168" s="17" t="s">
        <v>518</v>
      </c>
      <c r="C168" s="74" t="s">
        <v>519</v>
      </c>
      <c r="D168" s="17"/>
      <c r="E168" s="19">
        <v>8300</v>
      </c>
      <c r="F168" s="17">
        <f t="shared" si="1"/>
        <v>88805</v>
      </c>
    </row>
    <row r="169" ht="15.75" spans="1:6">
      <c r="A169" s="75" t="s">
        <v>516</v>
      </c>
      <c r="B169" s="17" t="s">
        <v>253</v>
      </c>
      <c r="C169" s="74" t="s">
        <v>313</v>
      </c>
      <c r="D169" s="17">
        <v>22000</v>
      </c>
      <c r="E169" s="19"/>
      <c r="F169" s="17">
        <f t="shared" si="1"/>
        <v>66805</v>
      </c>
    </row>
    <row r="170" ht="15.75" spans="1:6">
      <c r="A170" s="75" t="s">
        <v>520</v>
      </c>
      <c r="B170" s="17" t="s">
        <v>521</v>
      </c>
      <c r="C170" s="74" t="s">
        <v>230</v>
      </c>
      <c r="D170" s="17"/>
      <c r="E170" s="19">
        <v>1600</v>
      </c>
      <c r="F170" s="17">
        <f t="shared" si="1"/>
        <v>68405</v>
      </c>
    </row>
    <row r="171" ht="15.75" spans="1:6">
      <c r="A171" s="75" t="s">
        <v>522</v>
      </c>
      <c r="B171" s="17" t="s">
        <v>523</v>
      </c>
      <c r="C171" s="74" t="s">
        <v>452</v>
      </c>
      <c r="D171" s="17"/>
      <c r="E171" s="19">
        <v>2880</v>
      </c>
      <c r="F171" s="17">
        <f t="shared" si="1"/>
        <v>71285</v>
      </c>
    </row>
    <row r="172" ht="15.75" spans="1:6">
      <c r="A172" s="75" t="s">
        <v>522</v>
      </c>
      <c r="B172" s="17" t="s">
        <v>524</v>
      </c>
      <c r="C172" s="74" t="s">
        <v>525</v>
      </c>
      <c r="D172" s="17"/>
      <c r="E172" s="19">
        <v>1700</v>
      </c>
      <c r="F172" s="17">
        <f t="shared" si="1"/>
        <v>72985</v>
      </c>
    </row>
    <row r="173" ht="31.5" spans="1:6">
      <c r="A173" s="75" t="s">
        <v>522</v>
      </c>
      <c r="B173" s="17" t="s">
        <v>526</v>
      </c>
      <c r="C173" s="74" t="s">
        <v>527</v>
      </c>
      <c r="D173" s="17"/>
      <c r="E173" s="19">
        <v>37670</v>
      </c>
      <c r="F173" s="17">
        <f t="shared" si="1"/>
        <v>110655</v>
      </c>
    </row>
    <row r="174" ht="15.75" spans="1:6">
      <c r="A174" s="75" t="s">
        <v>522</v>
      </c>
      <c r="B174" s="17" t="s">
        <v>253</v>
      </c>
      <c r="C174" s="74" t="s">
        <v>313</v>
      </c>
      <c r="D174" s="17">
        <v>9000</v>
      </c>
      <c r="E174" s="19"/>
      <c r="F174" s="17">
        <f t="shared" si="1"/>
        <v>101655</v>
      </c>
    </row>
    <row r="175" ht="15.75" spans="1:6">
      <c r="A175" s="75" t="s">
        <v>522</v>
      </c>
      <c r="B175" s="17" t="s">
        <v>253</v>
      </c>
      <c r="C175" s="74" t="s">
        <v>313</v>
      </c>
      <c r="D175" s="17">
        <v>25000</v>
      </c>
      <c r="E175" s="19"/>
      <c r="F175" s="17">
        <f t="shared" si="1"/>
        <v>76655</v>
      </c>
    </row>
    <row r="176" ht="31.5" spans="1:6">
      <c r="A176" s="75" t="s">
        <v>528</v>
      </c>
      <c r="B176" s="17" t="s">
        <v>529</v>
      </c>
      <c r="C176" s="74" t="s">
        <v>530</v>
      </c>
      <c r="D176" s="17"/>
      <c r="E176" s="19">
        <v>4850</v>
      </c>
      <c r="F176" s="17">
        <f t="shared" si="1"/>
        <v>81505</v>
      </c>
    </row>
    <row r="177" ht="31.5" spans="1:6">
      <c r="A177" s="75" t="s">
        <v>531</v>
      </c>
      <c r="B177" s="17" t="s">
        <v>253</v>
      </c>
      <c r="C177" s="74" t="s">
        <v>532</v>
      </c>
      <c r="D177" s="17">
        <v>4850</v>
      </c>
      <c r="E177" s="19"/>
      <c r="F177" s="17">
        <f t="shared" si="1"/>
        <v>76655</v>
      </c>
    </row>
    <row r="178" ht="15.75" spans="1:6">
      <c r="A178" s="75" t="s">
        <v>533</v>
      </c>
      <c r="B178" s="17" t="s">
        <v>534</v>
      </c>
      <c r="C178" s="74" t="s">
        <v>140</v>
      </c>
      <c r="D178" s="17"/>
      <c r="E178" s="19">
        <v>175</v>
      </c>
      <c r="F178" s="17">
        <f t="shared" si="1"/>
        <v>76830</v>
      </c>
    </row>
    <row r="179" ht="31.5" spans="1:6">
      <c r="A179" s="75" t="s">
        <v>533</v>
      </c>
      <c r="B179" s="17" t="s">
        <v>535</v>
      </c>
      <c r="C179" s="74" t="s">
        <v>536</v>
      </c>
      <c r="D179" s="17"/>
      <c r="E179" s="19">
        <v>10600</v>
      </c>
      <c r="F179" s="17">
        <f t="shared" si="1"/>
        <v>87430</v>
      </c>
    </row>
    <row r="180" ht="31.5" spans="1:6">
      <c r="A180" s="134" t="s">
        <v>537</v>
      </c>
      <c r="B180" s="17" t="s">
        <v>538</v>
      </c>
      <c r="C180" s="71" t="s">
        <v>539</v>
      </c>
      <c r="D180" s="17"/>
      <c r="E180" s="19">
        <v>8200</v>
      </c>
      <c r="F180" s="17">
        <f t="shared" si="1"/>
        <v>95630</v>
      </c>
    </row>
    <row r="181" ht="31.5" spans="1:6">
      <c r="A181" s="75" t="s">
        <v>540</v>
      </c>
      <c r="B181" s="17" t="s">
        <v>541</v>
      </c>
      <c r="C181" s="74" t="s">
        <v>542</v>
      </c>
      <c r="D181" s="17"/>
      <c r="E181" s="19">
        <v>4000</v>
      </c>
      <c r="F181" s="17">
        <f t="shared" si="1"/>
        <v>99630</v>
      </c>
    </row>
    <row r="182" ht="15.75" spans="1:6">
      <c r="A182" s="75" t="s">
        <v>540</v>
      </c>
      <c r="B182" s="17"/>
      <c r="C182" s="74" t="s">
        <v>543</v>
      </c>
      <c r="D182" s="17">
        <v>10000</v>
      </c>
      <c r="E182" s="19"/>
      <c r="F182" s="17">
        <f t="shared" si="1"/>
        <v>89630</v>
      </c>
    </row>
    <row r="183" ht="15.75" spans="1:6">
      <c r="A183" s="75" t="s">
        <v>544</v>
      </c>
      <c r="B183" s="17" t="s">
        <v>545</v>
      </c>
      <c r="C183" s="74" t="s">
        <v>402</v>
      </c>
      <c r="D183" s="17"/>
      <c r="E183" s="19">
        <v>4872</v>
      </c>
      <c r="F183" s="17">
        <f t="shared" si="1"/>
        <v>94502</v>
      </c>
    </row>
    <row r="184" ht="15.75" spans="1:6">
      <c r="A184" s="75" t="s">
        <v>546</v>
      </c>
      <c r="B184" s="17" t="s">
        <v>253</v>
      </c>
      <c r="C184" s="74" t="s">
        <v>313</v>
      </c>
      <c r="D184" s="17">
        <v>4870</v>
      </c>
      <c r="E184" s="19"/>
      <c r="F184" s="17">
        <f t="shared" si="1"/>
        <v>89632</v>
      </c>
    </row>
    <row r="185" ht="15.75" spans="1:6">
      <c r="A185" s="75" t="s">
        <v>547</v>
      </c>
      <c r="B185" s="17" t="s">
        <v>253</v>
      </c>
      <c r="C185" s="74" t="s">
        <v>313</v>
      </c>
      <c r="D185" s="17">
        <v>6000</v>
      </c>
      <c r="E185" s="19"/>
      <c r="F185" s="17">
        <f t="shared" si="1"/>
        <v>83632</v>
      </c>
    </row>
    <row r="186" ht="15.75" spans="1:6">
      <c r="A186" s="75" t="s">
        <v>548</v>
      </c>
      <c r="B186" s="17" t="s">
        <v>253</v>
      </c>
      <c r="C186" s="74" t="s">
        <v>313</v>
      </c>
      <c r="D186" s="17">
        <v>5000</v>
      </c>
      <c r="E186" s="19"/>
      <c r="F186" s="17">
        <f t="shared" si="1"/>
        <v>78632</v>
      </c>
    </row>
    <row r="187" ht="15.75" spans="1:6">
      <c r="A187" s="75" t="s">
        <v>549</v>
      </c>
      <c r="B187" s="17" t="s">
        <v>550</v>
      </c>
      <c r="C187" s="74" t="s">
        <v>551</v>
      </c>
      <c r="D187" s="17"/>
      <c r="E187" s="19">
        <v>700</v>
      </c>
      <c r="F187" s="17">
        <f t="shared" si="1"/>
        <v>79332</v>
      </c>
    </row>
    <row r="188" ht="15.75" spans="1:6">
      <c r="A188" s="75" t="s">
        <v>552</v>
      </c>
      <c r="B188" s="17" t="s">
        <v>553</v>
      </c>
      <c r="C188" s="74" t="s">
        <v>551</v>
      </c>
      <c r="D188" s="17"/>
      <c r="E188" s="19">
        <v>4530</v>
      </c>
      <c r="F188" s="17">
        <f t="shared" si="1"/>
        <v>83862</v>
      </c>
    </row>
    <row r="189" ht="15.75" spans="1:8">
      <c r="A189" s="75" t="s">
        <v>554</v>
      </c>
      <c r="B189" s="17" t="s">
        <v>253</v>
      </c>
      <c r="C189" s="74" t="s">
        <v>157</v>
      </c>
      <c r="D189" s="17">
        <v>5000</v>
      </c>
      <c r="E189" s="19"/>
      <c r="F189" s="17">
        <f t="shared" si="1"/>
        <v>78862</v>
      </c>
      <c r="H189" s="76"/>
    </row>
    <row r="190" ht="15.75" spans="1:6">
      <c r="A190" s="75">
        <v>45756</v>
      </c>
      <c r="B190" s="17" t="s">
        <v>253</v>
      </c>
      <c r="C190" s="72" t="s">
        <v>555</v>
      </c>
      <c r="D190" s="17">
        <v>500</v>
      </c>
      <c r="E190" s="19"/>
      <c r="F190" s="17">
        <f t="shared" si="1"/>
        <v>78362</v>
      </c>
    </row>
    <row r="191" ht="15.75" spans="1:6">
      <c r="A191" s="18"/>
      <c r="B191" s="17"/>
      <c r="C191" s="17"/>
      <c r="D191" s="17"/>
      <c r="E191" s="19"/>
      <c r="F191" s="17">
        <f t="shared" ref="F191:F195" si="2">E191-D191+F190</f>
        <v>78362</v>
      </c>
    </row>
    <row r="192" ht="15.75" spans="1:6">
      <c r="A192" s="18"/>
      <c r="B192" s="17"/>
      <c r="C192" s="17"/>
      <c r="D192" s="17"/>
      <c r="E192" s="19"/>
      <c r="F192" s="17">
        <f t="shared" si="2"/>
        <v>78362</v>
      </c>
    </row>
    <row r="193" ht="15.75" spans="1:6">
      <c r="A193" s="18"/>
      <c r="B193" s="17"/>
      <c r="C193" s="17"/>
      <c r="D193" s="17"/>
      <c r="E193" s="19"/>
      <c r="F193" s="17">
        <f t="shared" si="2"/>
        <v>78362</v>
      </c>
    </row>
    <row r="194" ht="15.75" spans="1:6">
      <c r="A194" s="18"/>
      <c r="B194" s="17"/>
      <c r="C194" s="17"/>
      <c r="D194" s="17"/>
      <c r="E194" s="19"/>
      <c r="F194" s="17">
        <f t="shared" si="2"/>
        <v>78362</v>
      </c>
    </row>
    <row r="195" ht="15.75" spans="1:6">
      <c r="A195" s="18"/>
      <c r="B195" s="17"/>
      <c r="C195" s="17"/>
      <c r="D195" s="17"/>
      <c r="E195" s="19"/>
      <c r="F195" s="17">
        <f t="shared" si="2"/>
        <v>78362</v>
      </c>
    </row>
    <row r="196" ht="15.75" spans="1:6">
      <c r="A196" s="18"/>
      <c r="B196" s="17"/>
      <c r="C196" s="17"/>
      <c r="D196" s="17"/>
      <c r="E196" s="19"/>
      <c r="F196" s="17">
        <f t="shared" ref="F196" si="3">E196-D196+F195</f>
        <v>78362</v>
      </c>
    </row>
    <row r="197" ht="18.75" spans="1:6">
      <c r="A197" s="7" t="s">
        <v>303</v>
      </c>
      <c r="B197" s="8"/>
      <c r="C197" s="8"/>
      <c r="D197" s="8"/>
      <c r="E197" s="9"/>
      <c r="F197" s="17">
        <f>E197-D197+F190</f>
        <v>78362</v>
      </c>
    </row>
    <row r="198" ht="18.75" spans="3:3">
      <c r="C198" s="379"/>
    </row>
    <row r="199" ht="18.75" spans="3:3">
      <c r="C199" s="379"/>
    </row>
    <row r="200" ht="18.75" spans="3:3">
      <c r="C200" s="379"/>
    </row>
    <row r="201" ht="18.75" spans="3:3">
      <c r="C201" s="379"/>
    </row>
  </sheetData>
  <mergeCells count="6">
    <mergeCell ref="A3:C3"/>
    <mergeCell ref="D3:F3"/>
    <mergeCell ref="A4:B4"/>
    <mergeCell ref="C4:F4"/>
    <mergeCell ref="A197:B197"/>
    <mergeCell ref="A1:F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F8"/>
  <sheetViews>
    <sheetView workbookViewId="0">
      <selection activeCell="C12" sqref="C12"/>
    </sheetView>
  </sheetViews>
  <sheetFormatPr defaultColWidth="9" defaultRowHeight="15" outlineLevelRow="7" outlineLevelCol="5"/>
  <cols>
    <col min="1" max="1" width="11.7142857142857" customWidth="1"/>
    <col min="2" max="2" width="9.85714285714286" customWidth="1"/>
    <col min="3" max="3" width="17.1428571428571" customWidth="1"/>
    <col min="4" max="4" width="18.5714285714286" customWidth="1"/>
    <col min="5" max="5" width="18.1428571428571" customWidth="1"/>
    <col min="6" max="6" width="10.2857142857143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</v>
      </c>
      <c r="E3" s="11"/>
      <c r="F3" s="12"/>
    </row>
    <row r="4" ht="22.5" customHeight="1" spans="1:6">
      <c r="A4" s="13" t="s">
        <v>84</v>
      </c>
      <c r="B4" s="13"/>
      <c r="C4" s="14" t="s">
        <v>556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44599</v>
      </c>
      <c r="B6" s="17"/>
      <c r="C6" s="17" t="s">
        <v>305</v>
      </c>
      <c r="D6" s="17"/>
      <c r="E6" s="17">
        <v>27468</v>
      </c>
      <c r="F6" s="17">
        <f>E6-D6</f>
        <v>27468</v>
      </c>
    </row>
    <row r="7" ht="15.75" spans="1:6">
      <c r="A7" s="17"/>
      <c r="B7" s="17"/>
      <c r="C7" s="17"/>
      <c r="D7" s="17"/>
      <c r="E7" s="17"/>
      <c r="F7" s="17">
        <f>F6-D7+E7</f>
        <v>27468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27468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F25"/>
  <sheetViews>
    <sheetView topLeftCell="A4" workbookViewId="0">
      <selection activeCell="H7" sqref="H7"/>
    </sheetView>
  </sheetViews>
  <sheetFormatPr defaultColWidth="9" defaultRowHeight="15" outlineLevelCol="5"/>
  <cols>
    <col min="1" max="1" width="11.7142857142857" customWidth="1"/>
    <col min="2" max="2" width="14" customWidth="1"/>
    <col min="3" max="3" width="33.4285714285714" customWidth="1"/>
    <col min="4" max="4" width="7.57142857142857" customWidth="1"/>
    <col min="5" max="5" width="8.7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</v>
      </c>
      <c r="E3" s="11"/>
      <c r="F3" s="12"/>
    </row>
    <row r="4" ht="22.5" customHeight="1" spans="1:6">
      <c r="A4" s="13" t="s">
        <v>84</v>
      </c>
      <c r="B4" s="13"/>
      <c r="C4" s="14" t="s">
        <v>557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558</v>
      </c>
      <c r="D6" s="17"/>
      <c r="E6" s="17">
        <v>41490</v>
      </c>
      <c r="F6" s="17">
        <f>E6-D6</f>
        <v>41490</v>
      </c>
    </row>
    <row r="7" ht="15.75" spans="1:6">
      <c r="A7" s="17" t="s">
        <v>559</v>
      </c>
      <c r="B7" s="17" t="s">
        <v>253</v>
      </c>
      <c r="C7" s="17" t="s">
        <v>157</v>
      </c>
      <c r="D7" s="17">
        <v>500</v>
      </c>
      <c r="E7" s="17"/>
      <c r="F7" s="17">
        <f>F6-D7+E7</f>
        <v>40990</v>
      </c>
    </row>
    <row r="8" ht="15.75" spans="1:6">
      <c r="A8" s="18">
        <v>45445</v>
      </c>
      <c r="B8" s="17" t="s">
        <v>253</v>
      </c>
      <c r="C8" s="17" t="s">
        <v>157</v>
      </c>
      <c r="D8" s="17">
        <v>500</v>
      </c>
      <c r="E8" s="17"/>
      <c r="F8" s="17">
        <f t="shared" ref="F8:F19" si="0">F7-D8+E8</f>
        <v>40490</v>
      </c>
    </row>
    <row r="9" ht="15.75" spans="1:6">
      <c r="A9" s="17" t="s">
        <v>560</v>
      </c>
      <c r="B9" s="17" t="s">
        <v>561</v>
      </c>
      <c r="C9" s="17" t="s">
        <v>562</v>
      </c>
      <c r="D9" s="17"/>
      <c r="E9" s="17">
        <v>400</v>
      </c>
      <c r="F9" s="17">
        <f t="shared" si="0"/>
        <v>40890</v>
      </c>
    </row>
    <row r="10" ht="15.75" spans="1:6">
      <c r="A10" s="17" t="s">
        <v>560</v>
      </c>
      <c r="B10" s="17" t="s">
        <v>563</v>
      </c>
      <c r="C10" s="17" t="s">
        <v>94</v>
      </c>
      <c r="D10" s="17"/>
      <c r="E10" s="17">
        <v>240</v>
      </c>
      <c r="F10" s="17">
        <f t="shared" si="0"/>
        <v>41130</v>
      </c>
    </row>
    <row r="11" ht="15.75" spans="1:6">
      <c r="A11" s="17" t="s">
        <v>564</v>
      </c>
      <c r="B11" s="17" t="s">
        <v>565</v>
      </c>
      <c r="C11" s="17" t="s">
        <v>157</v>
      </c>
      <c r="D11" s="17">
        <v>680</v>
      </c>
      <c r="E11" s="17"/>
      <c r="F11" s="17">
        <f t="shared" si="0"/>
        <v>40450</v>
      </c>
    </row>
    <row r="12" ht="15.75" spans="1:6">
      <c r="A12" s="17" t="s">
        <v>566</v>
      </c>
      <c r="B12" s="17" t="s">
        <v>567</v>
      </c>
      <c r="C12" s="17" t="s">
        <v>568</v>
      </c>
      <c r="D12" s="17"/>
      <c r="E12" s="17">
        <v>1200</v>
      </c>
      <c r="F12" s="17">
        <f t="shared" si="0"/>
        <v>41650</v>
      </c>
    </row>
    <row r="13" ht="15.75" spans="1:6">
      <c r="A13" s="17" t="s">
        <v>107</v>
      </c>
      <c r="B13" s="17" t="s">
        <v>569</v>
      </c>
      <c r="C13" s="17" t="s">
        <v>570</v>
      </c>
      <c r="D13" s="17"/>
      <c r="E13" s="17">
        <v>150</v>
      </c>
      <c r="F13" s="17">
        <f t="shared" si="0"/>
        <v>41800</v>
      </c>
    </row>
    <row r="14" ht="15.75" spans="1:6">
      <c r="A14" s="17" t="s">
        <v>107</v>
      </c>
      <c r="B14" s="17" t="s">
        <v>253</v>
      </c>
      <c r="C14" s="17" t="s">
        <v>157</v>
      </c>
      <c r="D14" s="17">
        <v>2000</v>
      </c>
      <c r="E14" s="17"/>
      <c r="F14" s="17">
        <f t="shared" si="0"/>
        <v>39800</v>
      </c>
    </row>
    <row r="15" ht="15.75" spans="1:6">
      <c r="A15" s="18">
        <v>45602</v>
      </c>
      <c r="B15" s="17" t="s">
        <v>569</v>
      </c>
      <c r="C15" s="17" t="s">
        <v>571</v>
      </c>
      <c r="D15" s="17"/>
      <c r="E15" s="17">
        <v>2000</v>
      </c>
      <c r="F15" s="17">
        <f t="shared" si="0"/>
        <v>41800</v>
      </c>
    </row>
    <row r="16" ht="15.75" spans="1:6">
      <c r="A16" s="17" t="s">
        <v>572</v>
      </c>
      <c r="B16" s="17" t="s">
        <v>573</v>
      </c>
      <c r="C16" s="17" t="s">
        <v>574</v>
      </c>
      <c r="D16" s="17"/>
      <c r="E16" s="17">
        <v>519</v>
      </c>
      <c r="F16" s="17">
        <f t="shared" si="0"/>
        <v>42319</v>
      </c>
    </row>
    <row r="17" ht="15.75" spans="1:6">
      <c r="A17" s="75">
        <v>45299</v>
      </c>
      <c r="B17" s="17" t="s">
        <v>575</v>
      </c>
      <c r="C17" s="17" t="s">
        <v>576</v>
      </c>
      <c r="D17" s="17"/>
      <c r="E17" s="19">
        <v>469</v>
      </c>
      <c r="F17" s="17">
        <f t="shared" si="0"/>
        <v>42788</v>
      </c>
    </row>
    <row r="18" ht="15.75" spans="1:6">
      <c r="A18" s="75">
        <v>45542</v>
      </c>
      <c r="B18" s="17"/>
      <c r="C18" s="17" t="s">
        <v>101</v>
      </c>
      <c r="D18" s="17">
        <v>2700</v>
      </c>
      <c r="E18" s="19"/>
      <c r="F18" s="17">
        <f t="shared" si="0"/>
        <v>40088</v>
      </c>
    </row>
    <row r="19" ht="15.75" spans="1:6">
      <c r="A19" s="75">
        <v>45299</v>
      </c>
      <c r="B19" s="17" t="s">
        <v>253</v>
      </c>
      <c r="C19" s="17" t="s">
        <v>157</v>
      </c>
      <c r="D19" s="17">
        <v>510</v>
      </c>
      <c r="E19" s="19"/>
      <c r="F19" s="17">
        <f t="shared" si="0"/>
        <v>39578</v>
      </c>
    </row>
    <row r="20" ht="15.75" spans="1:6">
      <c r="A20" s="73"/>
      <c r="B20" s="17"/>
      <c r="C20" s="17" t="s">
        <v>577</v>
      </c>
      <c r="D20" s="17">
        <v>9000</v>
      </c>
      <c r="E20" s="19"/>
      <c r="F20" s="17">
        <f t="shared" ref="F20:F25" si="1">F19-D20+E20</f>
        <v>30578</v>
      </c>
    </row>
    <row r="21" ht="15.75" spans="1:6">
      <c r="A21" s="73"/>
      <c r="B21" s="72"/>
      <c r="C21" s="72"/>
      <c r="D21" s="72"/>
      <c r="E21" s="19"/>
      <c r="F21" s="17">
        <f t="shared" si="1"/>
        <v>30578</v>
      </c>
    </row>
    <row r="22" ht="15.75" spans="1:6">
      <c r="A22" s="73"/>
      <c r="B22" s="72"/>
      <c r="C22" s="72"/>
      <c r="D22" s="72"/>
      <c r="E22" s="19"/>
      <c r="F22" s="17">
        <f t="shared" si="1"/>
        <v>30578</v>
      </c>
    </row>
    <row r="23" ht="15.75" spans="1:6">
      <c r="A23" s="73"/>
      <c r="B23" s="72"/>
      <c r="C23" s="72"/>
      <c r="D23" s="72"/>
      <c r="E23" s="19"/>
      <c r="F23" s="17">
        <f t="shared" si="1"/>
        <v>30578</v>
      </c>
    </row>
    <row r="24" ht="15.75" spans="1:6">
      <c r="A24" s="73"/>
      <c r="B24" s="72"/>
      <c r="C24" s="72"/>
      <c r="D24" s="72"/>
      <c r="E24" s="19"/>
      <c r="F24" s="17">
        <f t="shared" si="1"/>
        <v>30578</v>
      </c>
    </row>
    <row r="25" ht="18" customHeight="1" spans="1:6">
      <c r="A25" s="7" t="s">
        <v>303</v>
      </c>
      <c r="B25" s="8"/>
      <c r="C25" s="8"/>
      <c r="D25" s="8"/>
      <c r="E25" s="9"/>
      <c r="F25" s="17">
        <f t="shared" si="1"/>
        <v>30578</v>
      </c>
    </row>
  </sheetData>
  <mergeCells count="6">
    <mergeCell ref="A3:C3"/>
    <mergeCell ref="D3:F3"/>
    <mergeCell ref="A4:B4"/>
    <mergeCell ref="C4:F4"/>
    <mergeCell ref="A25:E25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F12"/>
  <sheetViews>
    <sheetView workbookViewId="0">
      <selection activeCell="F11" sqref="F11"/>
    </sheetView>
  </sheetViews>
  <sheetFormatPr defaultColWidth="9" defaultRowHeight="15" outlineLevelCol="5"/>
  <cols>
    <col min="1" max="1" width="11.7142857142857" customWidth="1"/>
    <col min="2" max="2" width="12.8571428571429" customWidth="1"/>
    <col min="3" max="3" width="18.1428571428571" customWidth="1"/>
    <col min="4" max="4" width="16.8571428571429" customWidth="1"/>
    <col min="5" max="5" width="14.8571428571429" customWidth="1"/>
    <col min="6" max="6" width="10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578</v>
      </c>
      <c r="E3" s="11"/>
      <c r="F3" s="12"/>
    </row>
    <row r="4" ht="22.5" customHeight="1" spans="1:6">
      <c r="A4" s="13" t="s">
        <v>84</v>
      </c>
      <c r="B4" s="13"/>
      <c r="C4" s="14" t="s">
        <v>579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580</v>
      </c>
      <c r="B6" s="17"/>
      <c r="C6" s="17" t="s">
        <v>305</v>
      </c>
      <c r="D6" s="17"/>
      <c r="E6" s="17">
        <v>17200</v>
      </c>
      <c r="F6" s="17">
        <f>E6-D6</f>
        <v>17200</v>
      </c>
    </row>
    <row r="7" ht="15.75" spans="1:6">
      <c r="A7" s="18">
        <v>45326</v>
      </c>
      <c r="B7" s="17" t="s">
        <v>581</v>
      </c>
      <c r="C7" s="17" t="s">
        <v>582</v>
      </c>
      <c r="D7" s="17"/>
      <c r="E7" s="17">
        <v>8500</v>
      </c>
      <c r="F7" s="17">
        <f>F6-D7+E7</f>
        <v>25700</v>
      </c>
    </row>
    <row r="8" ht="15.75" spans="1:6">
      <c r="A8" s="18">
        <v>45296</v>
      </c>
      <c r="B8" s="17" t="s">
        <v>583</v>
      </c>
      <c r="C8" s="17" t="s">
        <v>584</v>
      </c>
      <c r="D8" s="17"/>
      <c r="E8" s="19">
        <v>850</v>
      </c>
      <c r="F8" s="17">
        <f t="shared" ref="F8:F10" si="0">F7-D8+E8</f>
        <v>26550</v>
      </c>
    </row>
    <row r="9" ht="15.75" spans="1:6">
      <c r="A9" s="18"/>
      <c r="B9" s="17"/>
      <c r="C9" s="17"/>
      <c r="D9" s="17"/>
      <c r="E9" s="19"/>
      <c r="F9" s="17">
        <f t="shared" si="0"/>
        <v>26550</v>
      </c>
    </row>
    <row r="10" ht="18.75" spans="1:6">
      <c r="A10" s="7" t="s">
        <v>303</v>
      </c>
      <c r="B10" s="8"/>
      <c r="C10" s="8"/>
      <c r="D10" s="8"/>
      <c r="E10" s="9"/>
      <c r="F10" s="17">
        <f t="shared" si="0"/>
        <v>26550</v>
      </c>
    </row>
    <row r="12" spans="5:5">
      <c r="E12" t="s">
        <v>5</v>
      </c>
    </row>
  </sheetData>
  <mergeCells count="6">
    <mergeCell ref="A3:C3"/>
    <mergeCell ref="D3:F3"/>
    <mergeCell ref="A4:B4"/>
    <mergeCell ref="C4:F4"/>
    <mergeCell ref="A10:E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F24"/>
  <sheetViews>
    <sheetView workbookViewId="0">
      <selection activeCell="C14" sqref="C14"/>
    </sheetView>
  </sheetViews>
  <sheetFormatPr defaultColWidth="9" defaultRowHeight="15" outlineLevelCol="5"/>
  <cols>
    <col min="1" max="1" width="11.7142857142857" customWidth="1"/>
    <col min="2" max="2" width="11.2857142857143" customWidth="1"/>
    <col min="3" max="3" width="23.5714285714286" customWidth="1"/>
    <col min="4" max="5" width="13.2857142857143" customWidth="1"/>
    <col min="6" max="6" width="12.4285714285714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9</v>
      </c>
      <c r="E3" s="11"/>
      <c r="F3" s="12"/>
    </row>
    <row r="4" ht="22.5" customHeight="1" spans="1:6">
      <c r="A4" s="13" t="s">
        <v>84</v>
      </c>
      <c r="B4" s="13"/>
      <c r="C4" s="14" t="s">
        <v>585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45383</v>
      </c>
      <c r="B6" s="17"/>
      <c r="C6" s="17" t="s">
        <v>305</v>
      </c>
      <c r="D6" s="17"/>
      <c r="E6" s="17">
        <v>9560</v>
      </c>
      <c r="F6" s="17">
        <f>E6-D6</f>
        <v>9560</v>
      </c>
    </row>
    <row r="7" ht="15.75" spans="1:6">
      <c r="A7" s="18">
        <v>45414</v>
      </c>
      <c r="B7" s="17"/>
      <c r="C7" s="17" t="s">
        <v>101</v>
      </c>
      <c r="D7" s="17">
        <v>9560</v>
      </c>
      <c r="E7" s="17"/>
      <c r="F7" s="17">
        <f>F6-D7+E7</f>
        <v>0</v>
      </c>
    </row>
    <row r="8" ht="15.75" spans="1:6">
      <c r="A8" s="18" t="s">
        <v>586</v>
      </c>
      <c r="B8" s="17" t="s">
        <v>587</v>
      </c>
      <c r="C8" s="17" t="s">
        <v>437</v>
      </c>
      <c r="D8" s="17"/>
      <c r="E8" s="17">
        <v>13000</v>
      </c>
      <c r="F8" s="17">
        <f t="shared" ref="F8:F24" si="0">F7-D8+E8</f>
        <v>13000</v>
      </c>
    </row>
    <row r="9" ht="15.75" spans="1:6">
      <c r="A9" s="18">
        <v>45386</v>
      </c>
      <c r="B9" s="17" t="s">
        <v>253</v>
      </c>
      <c r="C9" s="17" t="s">
        <v>588</v>
      </c>
      <c r="D9" s="17">
        <v>3060</v>
      </c>
      <c r="E9" s="17"/>
      <c r="F9" s="17">
        <f t="shared" si="0"/>
        <v>9940</v>
      </c>
    </row>
    <row r="10" ht="15.75" spans="1:6">
      <c r="A10" s="18" t="s">
        <v>589</v>
      </c>
      <c r="B10" s="17" t="s">
        <v>590</v>
      </c>
      <c r="C10" s="17" t="s">
        <v>437</v>
      </c>
      <c r="D10" s="17"/>
      <c r="E10" s="17">
        <v>13000</v>
      </c>
      <c r="F10" s="17">
        <f t="shared" si="0"/>
        <v>22940</v>
      </c>
    </row>
    <row r="11" ht="15.75" spans="1:6">
      <c r="A11" s="18" t="s">
        <v>589</v>
      </c>
      <c r="B11" s="17"/>
      <c r="C11" s="17" t="s">
        <v>101</v>
      </c>
      <c r="D11" s="17">
        <v>20000</v>
      </c>
      <c r="E11" s="17"/>
      <c r="F11" s="17">
        <f t="shared" si="0"/>
        <v>2940</v>
      </c>
    </row>
    <row r="12" ht="15.75" spans="1:6">
      <c r="A12" s="18" t="s">
        <v>591</v>
      </c>
      <c r="B12" s="17" t="s">
        <v>592</v>
      </c>
      <c r="C12" s="17" t="s">
        <v>437</v>
      </c>
      <c r="D12" s="17"/>
      <c r="E12" s="17">
        <v>28000</v>
      </c>
      <c r="F12" s="17">
        <f t="shared" si="0"/>
        <v>30940</v>
      </c>
    </row>
    <row r="13" ht="31.5" spans="1:6">
      <c r="A13" s="18">
        <v>45812</v>
      </c>
      <c r="B13" s="17" t="s">
        <v>593</v>
      </c>
      <c r="C13" s="71" t="s">
        <v>594</v>
      </c>
      <c r="D13" s="17">
        <v>500</v>
      </c>
      <c r="E13" s="17"/>
      <c r="F13" s="17">
        <f t="shared" si="0"/>
        <v>30440</v>
      </c>
    </row>
    <row r="14" ht="15.75" spans="1:6">
      <c r="A14" s="18" t="s">
        <v>595</v>
      </c>
      <c r="B14" s="17" t="s">
        <v>596</v>
      </c>
      <c r="C14" s="17" t="s">
        <v>597</v>
      </c>
      <c r="D14" s="17"/>
      <c r="E14" s="17">
        <v>5112</v>
      </c>
      <c r="F14" s="17">
        <f t="shared" si="0"/>
        <v>35552</v>
      </c>
    </row>
    <row r="15" ht="15.75" spans="1:6">
      <c r="A15" s="18"/>
      <c r="B15" s="17"/>
      <c r="C15" s="17"/>
      <c r="D15" s="17"/>
      <c r="E15" s="17"/>
      <c r="F15" s="17">
        <f t="shared" si="0"/>
        <v>35552</v>
      </c>
    </row>
    <row r="16" ht="15.75" spans="1:6">
      <c r="A16" s="18"/>
      <c r="B16" s="17"/>
      <c r="C16" s="17"/>
      <c r="D16" s="17"/>
      <c r="E16" s="17"/>
      <c r="F16" s="17">
        <f t="shared" si="0"/>
        <v>35552</v>
      </c>
    </row>
    <row r="17" ht="15.75" spans="1:6">
      <c r="A17" s="18"/>
      <c r="B17" s="17"/>
      <c r="C17" s="17"/>
      <c r="D17" s="17"/>
      <c r="E17" s="17"/>
      <c r="F17" s="17">
        <f t="shared" si="0"/>
        <v>35552</v>
      </c>
    </row>
    <row r="18" ht="15.75" spans="1:6">
      <c r="A18" s="18"/>
      <c r="B18" s="17"/>
      <c r="C18" s="17"/>
      <c r="D18" s="17"/>
      <c r="E18" s="17"/>
      <c r="F18" s="17">
        <f t="shared" si="0"/>
        <v>35552</v>
      </c>
    </row>
    <row r="19" ht="15.75" spans="1:6">
      <c r="A19" s="18"/>
      <c r="B19" s="17"/>
      <c r="C19" s="17"/>
      <c r="D19" s="17"/>
      <c r="E19" s="17"/>
      <c r="F19" s="17">
        <f t="shared" si="0"/>
        <v>35552</v>
      </c>
    </row>
    <row r="20" ht="15.75" spans="1:6">
      <c r="A20" s="18"/>
      <c r="B20" s="17"/>
      <c r="C20" s="17"/>
      <c r="D20" s="17"/>
      <c r="E20" s="17"/>
      <c r="F20" s="17">
        <f t="shared" si="0"/>
        <v>35552</v>
      </c>
    </row>
    <row r="21" ht="15.75" spans="1:6">
      <c r="A21" s="18"/>
      <c r="B21" s="17"/>
      <c r="C21" s="17"/>
      <c r="D21" s="17"/>
      <c r="E21" s="17"/>
      <c r="F21" s="17">
        <f t="shared" si="0"/>
        <v>35552</v>
      </c>
    </row>
    <row r="22" ht="15.75" spans="1:6">
      <c r="A22" s="18"/>
      <c r="B22" s="17"/>
      <c r="C22" s="17"/>
      <c r="D22" s="17"/>
      <c r="E22" s="17"/>
      <c r="F22" s="17">
        <f t="shared" si="0"/>
        <v>35552</v>
      </c>
    </row>
    <row r="23" ht="15.75" spans="1:6">
      <c r="A23" s="18"/>
      <c r="B23" s="17"/>
      <c r="C23" s="17"/>
      <c r="D23" s="17"/>
      <c r="E23" s="17"/>
      <c r="F23" s="17">
        <f t="shared" si="0"/>
        <v>35552</v>
      </c>
    </row>
    <row r="24" ht="18.75" spans="1:6">
      <c r="A24" s="7" t="s">
        <v>303</v>
      </c>
      <c r="B24" s="8"/>
      <c r="C24" s="8"/>
      <c r="D24" s="8"/>
      <c r="E24" s="9"/>
      <c r="F24" s="17">
        <f t="shared" si="0"/>
        <v>35552</v>
      </c>
    </row>
  </sheetData>
  <mergeCells count="6">
    <mergeCell ref="A3:C3"/>
    <mergeCell ref="D3:F3"/>
    <mergeCell ref="A4:B4"/>
    <mergeCell ref="C4:F4"/>
    <mergeCell ref="A24:E24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K52"/>
  <sheetViews>
    <sheetView zoomScale="89" zoomScaleNormal="89" topLeftCell="A43" workbookViewId="0">
      <selection activeCell="M42" sqref="M42"/>
    </sheetView>
  </sheetViews>
  <sheetFormatPr defaultColWidth="9" defaultRowHeight="15"/>
  <cols>
    <col min="1" max="1" width="11.7142857142857" customWidth="1"/>
    <col min="2" max="2" width="9.85714285714286" customWidth="1"/>
    <col min="3" max="3" width="30.1428571428571" customWidth="1"/>
    <col min="4" max="4" width="12.1428571428571" customWidth="1"/>
    <col min="5" max="5" width="11.5714285714286" customWidth="1"/>
    <col min="6" max="6" width="10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598</v>
      </c>
      <c r="E3" s="11"/>
      <c r="F3" s="12"/>
    </row>
    <row r="4" ht="22.5" customHeight="1" spans="1:11">
      <c r="A4" s="13" t="s">
        <v>84</v>
      </c>
      <c r="B4" s="13"/>
      <c r="C4" s="14" t="s">
        <v>599</v>
      </c>
      <c r="D4" s="15"/>
      <c r="E4" s="15"/>
      <c r="F4" s="16"/>
      <c r="K4" t="s">
        <v>5</v>
      </c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600</v>
      </c>
      <c r="B6" s="17"/>
      <c r="C6" s="17" t="s">
        <v>558</v>
      </c>
      <c r="D6" s="17"/>
      <c r="E6" s="17">
        <v>85000</v>
      </c>
      <c r="F6" s="17">
        <f>E6-D6</f>
        <v>85000</v>
      </c>
    </row>
    <row r="7" ht="15.75" spans="1:6">
      <c r="A7" s="17" t="s">
        <v>600</v>
      </c>
      <c r="B7" s="17" t="s">
        <v>601</v>
      </c>
      <c r="C7" s="17" t="s">
        <v>157</v>
      </c>
      <c r="D7" s="17">
        <v>160</v>
      </c>
      <c r="E7" s="17"/>
      <c r="F7" s="17">
        <f>F6-D7+E7</f>
        <v>84840</v>
      </c>
    </row>
    <row r="8" ht="15.75" spans="1:6">
      <c r="A8" s="17" t="s">
        <v>602</v>
      </c>
      <c r="B8" s="17" t="s">
        <v>603</v>
      </c>
      <c r="C8" s="17" t="s">
        <v>604</v>
      </c>
      <c r="D8" s="17"/>
      <c r="E8" s="17">
        <v>2000</v>
      </c>
      <c r="F8" s="17">
        <f t="shared" ref="F8:F52" si="0">F7-D8+E8</f>
        <v>86840</v>
      </c>
    </row>
    <row r="9" ht="15.75" spans="1:6">
      <c r="A9" s="17" t="s">
        <v>605</v>
      </c>
      <c r="B9" s="17" t="s">
        <v>606</v>
      </c>
      <c r="C9" s="17" t="s">
        <v>94</v>
      </c>
      <c r="D9" s="17"/>
      <c r="E9" s="17">
        <v>1450</v>
      </c>
      <c r="F9" s="17">
        <f t="shared" si="0"/>
        <v>88290</v>
      </c>
    </row>
    <row r="10" ht="15.75" spans="1:6">
      <c r="A10" s="18">
        <v>45293</v>
      </c>
      <c r="B10" s="17" t="s">
        <v>607</v>
      </c>
      <c r="C10" s="17" t="s">
        <v>94</v>
      </c>
      <c r="D10" s="17"/>
      <c r="E10" s="17">
        <v>12000</v>
      </c>
      <c r="F10" s="17">
        <f t="shared" si="0"/>
        <v>100290</v>
      </c>
    </row>
    <row r="11" ht="15.75" spans="1:6">
      <c r="A11" s="18">
        <v>45353</v>
      </c>
      <c r="B11" s="17" t="s">
        <v>608</v>
      </c>
      <c r="C11" s="17" t="s">
        <v>94</v>
      </c>
      <c r="D11" s="17"/>
      <c r="E11" s="17">
        <v>20770</v>
      </c>
      <c r="F11" s="17">
        <f t="shared" si="0"/>
        <v>121060</v>
      </c>
    </row>
    <row r="12" ht="15.75" spans="1:6">
      <c r="A12" s="18">
        <v>45414</v>
      </c>
      <c r="B12" s="17" t="s">
        <v>609</v>
      </c>
      <c r="C12" s="17" t="s">
        <v>94</v>
      </c>
      <c r="D12" s="17"/>
      <c r="E12" s="17">
        <v>13850</v>
      </c>
      <c r="F12" s="17">
        <f t="shared" si="0"/>
        <v>134910</v>
      </c>
    </row>
    <row r="13" ht="15.75" spans="1:6">
      <c r="A13" s="18">
        <v>45475</v>
      </c>
      <c r="B13" s="17" t="s">
        <v>610</v>
      </c>
      <c r="C13" s="17" t="s">
        <v>94</v>
      </c>
      <c r="D13" s="17"/>
      <c r="E13" s="17">
        <v>33000</v>
      </c>
      <c r="F13" s="17">
        <f t="shared" si="0"/>
        <v>167910</v>
      </c>
    </row>
    <row r="14" ht="15.75" spans="1:6">
      <c r="A14" s="18">
        <v>45567</v>
      </c>
      <c r="B14" s="17" t="s">
        <v>611</v>
      </c>
      <c r="C14" s="17" t="s">
        <v>94</v>
      </c>
      <c r="D14" s="17"/>
      <c r="E14" s="17">
        <v>16680</v>
      </c>
      <c r="F14" s="17">
        <f t="shared" si="0"/>
        <v>184590</v>
      </c>
    </row>
    <row r="15" ht="15.75" spans="1:6">
      <c r="A15" s="18">
        <v>45628</v>
      </c>
      <c r="B15" s="17" t="s">
        <v>612</v>
      </c>
      <c r="C15" s="17" t="s">
        <v>94</v>
      </c>
      <c r="D15" s="17"/>
      <c r="E15" s="17">
        <v>12480</v>
      </c>
      <c r="F15" s="17">
        <f t="shared" si="0"/>
        <v>197070</v>
      </c>
    </row>
    <row r="16" ht="15.75" spans="1:6">
      <c r="A16" s="18" t="s">
        <v>613</v>
      </c>
      <c r="B16" s="17" t="s">
        <v>614</v>
      </c>
      <c r="C16" s="17" t="s">
        <v>94</v>
      </c>
      <c r="D16" s="17"/>
      <c r="E16" s="17">
        <v>3550</v>
      </c>
      <c r="F16" s="17">
        <f t="shared" si="0"/>
        <v>200620</v>
      </c>
    </row>
    <row r="17" ht="15.75" spans="1:6">
      <c r="A17" s="18" t="s">
        <v>615</v>
      </c>
      <c r="B17" s="17" t="s">
        <v>616</v>
      </c>
      <c r="C17" s="17" t="s">
        <v>94</v>
      </c>
      <c r="D17" s="17"/>
      <c r="E17" s="17">
        <v>820</v>
      </c>
      <c r="F17" s="17">
        <f t="shared" si="0"/>
        <v>201440</v>
      </c>
    </row>
    <row r="18" ht="15.75" spans="1:6">
      <c r="A18" s="18" t="s">
        <v>617</v>
      </c>
      <c r="B18" s="17" t="s">
        <v>618</v>
      </c>
      <c r="C18" s="17" t="s">
        <v>437</v>
      </c>
      <c r="D18" s="17"/>
      <c r="E18" s="17">
        <v>1350</v>
      </c>
      <c r="F18" s="17">
        <f t="shared" si="0"/>
        <v>202790</v>
      </c>
    </row>
    <row r="19" ht="15.75" spans="1:6">
      <c r="A19" s="18" t="s">
        <v>586</v>
      </c>
      <c r="B19" s="17" t="s">
        <v>619</v>
      </c>
      <c r="C19" s="17" t="s">
        <v>604</v>
      </c>
      <c r="D19" s="17"/>
      <c r="E19" s="17">
        <v>410</v>
      </c>
      <c r="F19" s="17">
        <f t="shared" si="0"/>
        <v>203200</v>
      </c>
    </row>
    <row r="20" ht="15.75" spans="1:6">
      <c r="A20" s="18" t="s">
        <v>620</v>
      </c>
      <c r="B20" s="17" t="s">
        <v>621</v>
      </c>
      <c r="C20" s="17" t="s">
        <v>96</v>
      </c>
      <c r="D20" s="17"/>
      <c r="E20" s="17">
        <v>100</v>
      </c>
      <c r="F20" s="17">
        <f t="shared" si="0"/>
        <v>203300</v>
      </c>
    </row>
    <row r="21" ht="15.75" spans="1:6">
      <c r="A21" s="18" t="s">
        <v>622</v>
      </c>
      <c r="B21" s="17" t="s">
        <v>623</v>
      </c>
      <c r="C21" s="17" t="s">
        <v>94</v>
      </c>
      <c r="D21" s="17"/>
      <c r="E21" s="17">
        <v>50</v>
      </c>
      <c r="F21" s="17">
        <f t="shared" si="0"/>
        <v>203350</v>
      </c>
    </row>
    <row r="22" ht="15.75" spans="1:6">
      <c r="A22" s="18"/>
      <c r="B22" s="17"/>
      <c r="C22" s="17" t="s">
        <v>624</v>
      </c>
      <c r="D22" s="17"/>
      <c r="E22" s="17">
        <v>50000</v>
      </c>
      <c r="F22" s="17">
        <f t="shared" si="0"/>
        <v>253350</v>
      </c>
    </row>
    <row r="23" ht="15.75" spans="1:6">
      <c r="A23" s="18" t="s">
        <v>625</v>
      </c>
      <c r="B23" s="17" t="s">
        <v>626</v>
      </c>
      <c r="C23" s="17" t="s">
        <v>627</v>
      </c>
      <c r="D23" s="17">
        <v>1660</v>
      </c>
      <c r="E23" s="17"/>
      <c r="F23" s="17">
        <f t="shared" si="0"/>
        <v>251690</v>
      </c>
    </row>
    <row r="24" ht="15.75" spans="1:6">
      <c r="A24" s="18">
        <v>45325</v>
      </c>
      <c r="B24" s="17" t="s">
        <v>628</v>
      </c>
      <c r="C24" s="17" t="s">
        <v>94</v>
      </c>
      <c r="D24" s="17"/>
      <c r="E24" s="17">
        <v>14550</v>
      </c>
      <c r="F24" s="17">
        <f t="shared" si="0"/>
        <v>266240</v>
      </c>
    </row>
    <row r="25" ht="15.75" spans="1:6">
      <c r="A25" s="18">
        <v>45385</v>
      </c>
      <c r="B25" s="17" t="s">
        <v>629</v>
      </c>
      <c r="C25" s="17" t="s">
        <v>94</v>
      </c>
      <c r="D25" s="17"/>
      <c r="E25" s="17">
        <v>9620</v>
      </c>
      <c r="F25" s="17">
        <f t="shared" si="0"/>
        <v>275860</v>
      </c>
    </row>
    <row r="26" ht="15.75" spans="1:6">
      <c r="A26" s="18">
        <v>45446</v>
      </c>
      <c r="B26" s="17" t="s">
        <v>630</v>
      </c>
      <c r="C26" s="17" t="s">
        <v>94</v>
      </c>
      <c r="D26" s="17"/>
      <c r="E26" s="17">
        <v>14550</v>
      </c>
      <c r="F26" s="17">
        <f t="shared" si="0"/>
        <v>290410</v>
      </c>
    </row>
    <row r="27" ht="15.75" spans="1:6">
      <c r="A27" s="18">
        <v>45476</v>
      </c>
      <c r="B27" s="17" t="s">
        <v>631</v>
      </c>
      <c r="C27" s="17" t="s">
        <v>94</v>
      </c>
      <c r="D27" s="17"/>
      <c r="E27" s="17">
        <v>12010</v>
      </c>
      <c r="F27" s="17">
        <f t="shared" si="0"/>
        <v>302420</v>
      </c>
    </row>
    <row r="28" ht="15.75" spans="1:6">
      <c r="A28" s="18">
        <v>45568</v>
      </c>
      <c r="B28" s="17" t="s">
        <v>632</v>
      </c>
      <c r="C28" s="17" t="s">
        <v>94</v>
      </c>
      <c r="D28" s="17"/>
      <c r="E28" s="17">
        <v>19830</v>
      </c>
      <c r="F28" s="17">
        <f t="shared" si="0"/>
        <v>322250</v>
      </c>
    </row>
    <row r="29" ht="15.75" spans="1:6">
      <c r="A29" s="18" t="s">
        <v>633</v>
      </c>
      <c r="B29" s="17" t="s">
        <v>634</v>
      </c>
      <c r="C29" s="17" t="s">
        <v>94</v>
      </c>
      <c r="D29" s="17"/>
      <c r="E29" s="17">
        <v>21980</v>
      </c>
      <c r="F29" s="17">
        <f t="shared" si="0"/>
        <v>344230</v>
      </c>
    </row>
    <row r="30" ht="15.75" spans="1:6">
      <c r="A30" s="18" t="s">
        <v>635</v>
      </c>
      <c r="B30" s="17" t="s">
        <v>636</v>
      </c>
      <c r="C30" s="17" t="s">
        <v>637</v>
      </c>
      <c r="D30" s="17"/>
      <c r="E30" s="17">
        <v>34000</v>
      </c>
      <c r="F30" s="17">
        <f t="shared" si="0"/>
        <v>378230</v>
      </c>
    </row>
    <row r="31" ht="15.75" spans="1:6">
      <c r="A31" s="18">
        <v>45295</v>
      </c>
      <c r="B31" s="17" t="s">
        <v>638</v>
      </c>
      <c r="C31" s="17" t="s">
        <v>94</v>
      </c>
      <c r="D31" s="17"/>
      <c r="E31" s="17">
        <v>14160</v>
      </c>
      <c r="F31" s="17">
        <f t="shared" si="0"/>
        <v>392390</v>
      </c>
    </row>
    <row r="32" ht="15.75" spans="1:6">
      <c r="A32" s="18" t="s">
        <v>639</v>
      </c>
      <c r="B32" s="17" t="s">
        <v>640</v>
      </c>
      <c r="C32" s="17" t="s">
        <v>94</v>
      </c>
      <c r="D32" s="17"/>
      <c r="E32" s="17">
        <v>13250</v>
      </c>
      <c r="F32" s="17">
        <f t="shared" si="0"/>
        <v>405640</v>
      </c>
    </row>
    <row r="33" ht="15.75" spans="1:6">
      <c r="A33" s="18">
        <v>45477</v>
      </c>
      <c r="B33" s="17" t="s">
        <v>641</v>
      </c>
      <c r="C33" s="17" t="s">
        <v>94</v>
      </c>
      <c r="D33" s="17"/>
      <c r="E33" s="17">
        <v>10870</v>
      </c>
      <c r="F33" s="17">
        <f t="shared" si="0"/>
        <v>416510</v>
      </c>
    </row>
    <row r="34" ht="15.75" spans="1:6">
      <c r="A34" s="18">
        <v>45508</v>
      </c>
      <c r="B34" s="17" t="s">
        <v>642</v>
      </c>
      <c r="C34" s="17" t="s">
        <v>94</v>
      </c>
      <c r="D34" s="17"/>
      <c r="E34" s="17">
        <v>15390</v>
      </c>
      <c r="F34" s="17">
        <f t="shared" si="0"/>
        <v>431900</v>
      </c>
    </row>
    <row r="35" ht="15.75" spans="1:7">
      <c r="A35" s="18" t="s">
        <v>643</v>
      </c>
      <c r="B35" s="17" t="s">
        <v>644</v>
      </c>
      <c r="C35" s="17" t="s">
        <v>94</v>
      </c>
      <c r="D35" s="17"/>
      <c r="E35" s="17">
        <v>28620</v>
      </c>
      <c r="F35" s="17">
        <f t="shared" si="0"/>
        <v>460520</v>
      </c>
      <c r="G35" t="s">
        <v>5</v>
      </c>
    </row>
    <row r="36" ht="15.75" spans="1:6">
      <c r="A36" s="18" t="s">
        <v>645</v>
      </c>
      <c r="B36" s="17" t="s">
        <v>646</v>
      </c>
      <c r="C36" s="17" t="s">
        <v>94</v>
      </c>
      <c r="D36" s="17"/>
      <c r="E36" s="17">
        <v>20220</v>
      </c>
      <c r="F36" s="17">
        <f t="shared" si="0"/>
        <v>480740</v>
      </c>
    </row>
    <row r="37" ht="15.75" spans="1:6">
      <c r="A37" s="18" t="s">
        <v>589</v>
      </c>
      <c r="B37" s="17" t="s">
        <v>647</v>
      </c>
      <c r="C37" s="17" t="s">
        <v>648</v>
      </c>
      <c r="D37" s="17"/>
      <c r="E37" s="17">
        <v>400</v>
      </c>
      <c r="F37" s="17">
        <f t="shared" si="0"/>
        <v>481140</v>
      </c>
    </row>
    <row r="38" ht="15.75" spans="1:6">
      <c r="A38" s="18" t="s">
        <v>649</v>
      </c>
      <c r="B38" s="17" t="s">
        <v>650</v>
      </c>
      <c r="C38" s="17" t="s">
        <v>94</v>
      </c>
      <c r="D38" s="17"/>
      <c r="E38" s="17">
        <v>16450</v>
      </c>
      <c r="F38" s="17">
        <f t="shared" si="0"/>
        <v>497590</v>
      </c>
    </row>
    <row r="39" ht="15.75" spans="1:6">
      <c r="A39" s="18" t="s">
        <v>651</v>
      </c>
      <c r="B39" s="17" t="s">
        <v>253</v>
      </c>
      <c r="C39" s="17" t="s">
        <v>157</v>
      </c>
      <c r="D39" s="17">
        <v>12000</v>
      </c>
      <c r="E39" s="17"/>
      <c r="F39" s="17">
        <f t="shared" si="0"/>
        <v>485590</v>
      </c>
    </row>
    <row r="40" ht="15.75" spans="1:6">
      <c r="A40" s="18">
        <v>45296</v>
      </c>
      <c r="B40" s="17" t="s">
        <v>652</v>
      </c>
      <c r="C40" s="17" t="s">
        <v>653</v>
      </c>
      <c r="D40" s="17"/>
      <c r="E40" s="17">
        <v>28790</v>
      </c>
      <c r="F40" s="17">
        <f t="shared" si="0"/>
        <v>514380</v>
      </c>
    </row>
    <row r="41" ht="15.75" spans="1:6">
      <c r="A41" s="18">
        <v>45387</v>
      </c>
      <c r="B41" s="17" t="s">
        <v>654</v>
      </c>
      <c r="C41" s="17" t="s">
        <v>94</v>
      </c>
      <c r="D41" s="17"/>
      <c r="E41" s="17">
        <v>38100</v>
      </c>
      <c r="F41" s="17">
        <f t="shared" si="0"/>
        <v>552480</v>
      </c>
    </row>
    <row r="42" ht="15.75" spans="1:6">
      <c r="A42" s="18">
        <v>45387</v>
      </c>
      <c r="B42" s="17" t="s">
        <v>253</v>
      </c>
      <c r="C42" s="17" t="s">
        <v>157</v>
      </c>
      <c r="D42" s="17">
        <v>28790</v>
      </c>
      <c r="E42" s="17"/>
      <c r="F42" s="17">
        <f t="shared" si="0"/>
        <v>523690</v>
      </c>
    </row>
    <row r="43" ht="15.75" spans="1:6">
      <c r="A43" s="18">
        <v>45509</v>
      </c>
      <c r="B43" s="17" t="s">
        <v>655</v>
      </c>
      <c r="C43" s="17" t="s">
        <v>94</v>
      </c>
      <c r="D43" s="17"/>
      <c r="E43" s="17">
        <v>14130</v>
      </c>
      <c r="F43" s="17">
        <f t="shared" si="0"/>
        <v>537820</v>
      </c>
    </row>
    <row r="44" ht="15.75" spans="1:6">
      <c r="A44" s="18" t="s">
        <v>656</v>
      </c>
      <c r="B44" s="17" t="s">
        <v>657</v>
      </c>
      <c r="C44" s="17" t="s">
        <v>94</v>
      </c>
      <c r="D44" s="17"/>
      <c r="E44" s="17">
        <v>30350</v>
      </c>
      <c r="F44" s="17">
        <f t="shared" si="0"/>
        <v>568170</v>
      </c>
    </row>
    <row r="45" ht="15.75" spans="1:6">
      <c r="A45" s="18" t="s">
        <v>658</v>
      </c>
      <c r="B45" s="17" t="s">
        <v>659</v>
      </c>
      <c r="C45" s="17" t="s">
        <v>94</v>
      </c>
      <c r="D45" s="17"/>
      <c r="E45" s="17">
        <v>13300</v>
      </c>
      <c r="F45" s="17">
        <f t="shared" si="0"/>
        <v>581470</v>
      </c>
    </row>
    <row r="46" ht="15.75" spans="1:6">
      <c r="A46" s="18" t="s">
        <v>660</v>
      </c>
      <c r="B46" s="17" t="s">
        <v>661</v>
      </c>
      <c r="C46" s="17" t="s">
        <v>662</v>
      </c>
      <c r="D46" s="17"/>
      <c r="E46" s="17">
        <v>12600</v>
      </c>
      <c r="F46" s="17">
        <f t="shared" si="0"/>
        <v>594070</v>
      </c>
    </row>
    <row r="47" ht="15.75" spans="1:6">
      <c r="A47" s="18" t="s">
        <v>663</v>
      </c>
      <c r="B47" s="17"/>
      <c r="C47" s="17" t="s">
        <v>157</v>
      </c>
      <c r="D47" s="17">
        <v>15000</v>
      </c>
      <c r="E47" s="17"/>
      <c r="F47" s="17">
        <f t="shared" si="0"/>
        <v>579070</v>
      </c>
    </row>
    <row r="48" ht="15.75" spans="1:6">
      <c r="A48" s="18"/>
      <c r="B48" s="17"/>
      <c r="C48" s="17" t="s">
        <v>664</v>
      </c>
      <c r="D48" s="17"/>
      <c r="E48" s="17">
        <v>2500</v>
      </c>
      <c r="F48" s="17">
        <f t="shared" si="0"/>
        <v>581570</v>
      </c>
    </row>
    <row r="49" ht="15.75" spans="1:6">
      <c r="A49" s="18"/>
      <c r="B49" s="17"/>
      <c r="C49" s="17"/>
      <c r="D49" s="17"/>
      <c r="E49" s="17"/>
      <c r="F49" s="17">
        <f t="shared" si="0"/>
        <v>581570</v>
      </c>
    </row>
    <row r="50" ht="15.75" spans="1:6">
      <c r="A50" s="18"/>
      <c r="B50" s="17"/>
      <c r="C50" s="17"/>
      <c r="D50" s="17"/>
      <c r="E50" s="17"/>
      <c r="F50" s="17">
        <f t="shared" si="0"/>
        <v>581570</v>
      </c>
    </row>
    <row r="51" ht="15.75" spans="1:6">
      <c r="A51" s="18"/>
      <c r="B51" s="17"/>
      <c r="C51" s="17"/>
      <c r="D51" s="17"/>
      <c r="E51" s="17"/>
      <c r="F51" s="17">
        <f t="shared" si="0"/>
        <v>581570</v>
      </c>
    </row>
    <row r="52" ht="18.75" spans="1:6">
      <c r="A52" s="7" t="s">
        <v>303</v>
      </c>
      <c r="B52" s="8"/>
      <c r="C52" s="8"/>
      <c r="D52" s="8"/>
      <c r="E52" s="9"/>
      <c r="F52" s="17">
        <f t="shared" si="0"/>
        <v>581570</v>
      </c>
    </row>
  </sheetData>
  <mergeCells count="6">
    <mergeCell ref="A3:C3"/>
    <mergeCell ref="D3:F3"/>
    <mergeCell ref="A4:B4"/>
    <mergeCell ref="C4:F4"/>
    <mergeCell ref="A52:E5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F20"/>
  <sheetViews>
    <sheetView topLeftCell="A4" workbookViewId="0">
      <selection activeCell="M17" sqref="M17"/>
    </sheetView>
  </sheetViews>
  <sheetFormatPr defaultColWidth="9" defaultRowHeight="15" outlineLevelCol="5"/>
  <cols>
    <col min="1" max="1" width="11.7142857142857" customWidth="1"/>
    <col min="2" max="2" width="11.1428571428571" customWidth="1"/>
    <col min="3" max="3" width="30.7142857142857" customWidth="1"/>
    <col min="4" max="4" width="15.7142857142857" customWidth="1"/>
    <col min="5" max="5" width="15.8571428571429" customWidth="1"/>
    <col min="6" max="6" width="1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665</v>
      </c>
      <c r="E3" s="11"/>
      <c r="F3" s="12"/>
    </row>
    <row r="4" ht="22.5" customHeight="1" spans="1:6">
      <c r="A4" s="13" t="s">
        <v>84</v>
      </c>
      <c r="B4" s="13"/>
      <c r="C4" s="14" t="s">
        <v>666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667</v>
      </c>
      <c r="B6" s="17" t="s">
        <v>668</v>
      </c>
      <c r="C6" s="17" t="s">
        <v>637</v>
      </c>
      <c r="D6" s="17"/>
      <c r="E6" s="17">
        <v>4350</v>
      </c>
      <c r="F6" s="17">
        <f>E6-D6</f>
        <v>4350</v>
      </c>
    </row>
    <row r="7" ht="15.75" spans="1:6">
      <c r="A7" s="17" t="s">
        <v>669</v>
      </c>
      <c r="B7" s="17" t="s">
        <v>670</v>
      </c>
      <c r="C7" s="17" t="s">
        <v>671</v>
      </c>
      <c r="D7" s="17"/>
      <c r="E7" s="17">
        <v>60500</v>
      </c>
      <c r="F7" s="17">
        <f>F6-D7+E7</f>
        <v>64850</v>
      </c>
    </row>
    <row r="8" ht="15.75" spans="1:6">
      <c r="A8" s="17"/>
      <c r="B8" s="17"/>
      <c r="C8" s="17" t="s">
        <v>624</v>
      </c>
      <c r="D8" s="17">
        <v>40000</v>
      </c>
      <c r="E8" s="17"/>
      <c r="F8" s="17">
        <f t="shared" ref="F8:F10" si="0">F7-D8+E8</f>
        <v>24850</v>
      </c>
    </row>
    <row r="9" ht="15.75" spans="1:6">
      <c r="A9" s="18">
        <v>45328</v>
      </c>
      <c r="B9" s="17" t="s">
        <v>672</v>
      </c>
      <c r="C9" s="17" t="s">
        <v>437</v>
      </c>
      <c r="D9" s="17"/>
      <c r="E9" s="17">
        <v>400</v>
      </c>
      <c r="F9" s="17">
        <f t="shared" si="0"/>
        <v>25250</v>
      </c>
    </row>
    <row r="10" ht="15.75" spans="1:6">
      <c r="A10" s="17" t="s">
        <v>673</v>
      </c>
      <c r="B10" s="17" t="s">
        <v>674</v>
      </c>
      <c r="C10" s="17"/>
      <c r="D10" s="17">
        <v>1900</v>
      </c>
      <c r="E10" s="17"/>
      <c r="F10" s="17">
        <f t="shared" si="0"/>
        <v>23350</v>
      </c>
    </row>
    <row r="11" ht="63" spans="1:6">
      <c r="A11" s="18" t="s">
        <v>269</v>
      </c>
      <c r="B11" s="72" t="s">
        <v>675</v>
      </c>
      <c r="C11" s="71" t="s">
        <v>676</v>
      </c>
      <c r="D11" s="72">
        <v>63200</v>
      </c>
      <c r="E11" s="17"/>
      <c r="F11" s="17">
        <f t="shared" ref="F11:F20" si="1">F10-D11+E11</f>
        <v>-39850</v>
      </c>
    </row>
    <row r="12" ht="15.75" spans="1:6">
      <c r="A12" s="18" t="s">
        <v>269</v>
      </c>
      <c r="B12" s="72" t="s">
        <v>675</v>
      </c>
      <c r="C12" s="17" t="s">
        <v>437</v>
      </c>
      <c r="D12" s="72"/>
      <c r="E12" s="17">
        <v>42000</v>
      </c>
      <c r="F12" s="17">
        <f t="shared" si="1"/>
        <v>2150</v>
      </c>
    </row>
    <row r="13" ht="15.75" spans="1:6">
      <c r="A13" s="18"/>
      <c r="B13" s="72"/>
      <c r="C13" s="17"/>
      <c r="D13" s="72"/>
      <c r="E13" s="17"/>
      <c r="F13" s="17">
        <f t="shared" si="1"/>
        <v>2150</v>
      </c>
    </row>
    <row r="14" ht="15.75" spans="1:6">
      <c r="A14" s="18"/>
      <c r="B14" s="72"/>
      <c r="C14" s="17"/>
      <c r="D14" s="72"/>
      <c r="E14" s="17"/>
      <c r="F14" s="17">
        <f t="shared" si="1"/>
        <v>2150</v>
      </c>
    </row>
    <row r="15" ht="15.75" spans="1:6">
      <c r="A15" s="18"/>
      <c r="B15" s="72"/>
      <c r="C15" s="17"/>
      <c r="D15" s="72"/>
      <c r="E15" s="17"/>
      <c r="F15" s="17">
        <f t="shared" si="1"/>
        <v>2150</v>
      </c>
    </row>
    <row r="16" ht="15.75" spans="1:6">
      <c r="A16" s="18"/>
      <c r="B16" s="72"/>
      <c r="C16" s="17"/>
      <c r="D16" s="72"/>
      <c r="E16" s="17"/>
      <c r="F16" s="17">
        <f t="shared" si="1"/>
        <v>2150</v>
      </c>
    </row>
    <row r="17" ht="15.75" spans="1:6">
      <c r="A17" s="18"/>
      <c r="B17" s="72"/>
      <c r="C17" s="17"/>
      <c r="D17" s="72"/>
      <c r="E17" s="17"/>
      <c r="F17" s="17">
        <f t="shared" si="1"/>
        <v>2150</v>
      </c>
    </row>
    <row r="18" ht="15.75" spans="1:6">
      <c r="A18" s="18"/>
      <c r="B18" s="72"/>
      <c r="C18" s="17"/>
      <c r="D18" s="72"/>
      <c r="E18" s="17"/>
      <c r="F18" s="17">
        <f t="shared" si="1"/>
        <v>2150</v>
      </c>
    </row>
    <row r="19" ht="15.75" spans="1:6">
      <c r="A19" s="18"/>
      <c r="B19" s="72"/>
      <c r="C19" s="17"/>
      <c r="D19" s="72"/>
      <c r="E19" s="17"/>
      <c r="F19" s="17">
        <f t="shared" si="1"/>
        <v>2150</v>
      </c>
    </row>
    <row r="20" ht="18.75" spans="1:6">
      <c r="A20" s="7" t="s">
        <v>303</v>
      </c>
      <c r="B20" s="8"/>
      <c r="C20" s="8"/>
      <c r="D20" s="8"/>
      <c r="E20" s="9"/>
      <c r="F20" s="17">
        <f t="shared" si="1"/>
        <v>2150</v>
      </c>
    </row>
  </sheetData>
  <mergeCells count="6">
    <mergeCell ref="A3:C3"/>
    <mergeCell ref="D3:F3"/>
    <mergeCell ref="A4:B4"/>
    <mergeCell ref="C4:F4"/>
    <mergeCell ref="A20:E2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F11"/>
  <sheetViews>
    <sheetView workbookViewId="0">
      <selection activeCell="F12" sqref="F12"/>
    </sheetView>
  </sheetViews>
  <sheetFormatPr defaultColWidth="9" defaultRowHeight="15" outlineLevelCol="5"/>
  <cols>
    <col min="1" max="1" width="11.7142857142857" customWidth="1"/>
    <col min="2" max="2" width="12.1428571428571" customWidth="1"/>
    <col min="3" max="3" width="24.2857142857143" customWidth="1"/>
    <col min="4" max="4" width="12.1428571428571" customWidth="1"/>
    <col min="5" max="5" width="10.5714285714286" customWidth="1"/>
    <col min="6" max="6" width="14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677</v>
      </c>
      <c r="E3" s="11"/>
      <c r="F3" s="12"/>
    </row>
    <row r="4" ht="22.5" customHeight="1" spans="1:6">
      <c r="A4" s="13" t="s">
        <v>84</v>
      </c>
      <c r="B4" s="13"/>
      <c r="C4" s="14" t="s">
        <v>678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679</v>
      </c>
      <c r="B6" s="17"/>
      <c r="C6" s="17" t="s">
        <v>305</v>
      </c>
      <c r="D6" s="17"/>
      <c r="E6" s="17">
        <v>71024</v>
      </c>
      <c r="F6" s="17">
        <f>E6-D6</f>
        <v>71024</v>
      </c>
    </row>
    <row r="7" ht="15.75" spans="1:6">
      <c r="A7" s="18" t="s">
        <v>680</v>
      </c>
      <c r="B7" s="17" t="s">
        <v>681</v>
      </c>
      <c r="C7" s="17" t="s">
        <v>682</v>
      </c>
      <c r="D7" s="19">
        <v>10000</v>
      </c>
      <c r="E7" s="17"/>
      <c r="F7" s="17">
        <f>F6-D7+E7</f>
        <v>61024</v>
      </c>
    </row>
    <row r="8" ht="15.75" spans="1:6">
      <c r="A8" s="75"/>
      <c r="B8" s="19"/>
      <c r="C8" s="19" t="s">
        <v>683</v>
      </c>
      <c r="D8" s="19"/>
      <c r="E8" s="19"/>
      <c r="F8" s="17"/>
    </row>
    <row r="9" ht="15.75" spans="1:6">
      <c r="A9" s="75">
        <v>45608</v>
      </c>
      <c r="B9" s="19" t="s">
        <v>681</v>
      </c>
      <c r="C9" s="19" t="s">
        <v>682</v>
      </c>
      <c r="D9" s="19">
        <v>10000</v>
      </c>
      <c r="E9" s="19"/>
      <c r="F9" s="17">
        <f>F7-D9+E9</f>
        <v>51024</v>
      </c>
    </row>
    <row r="10" ht="18.75" customHeight="1" spans="1:6">
      <c r="A10" s="7" t="s">
        <v>303</v>
      </c>
      <c r="B10" s="8"/>
      <c r="C10" s="8"/>
      <c r="D10" s="8"/>
      <c r="E10" s="9"/>
      <c r="F10" s="17">
        <f>F9-D10+E10</f>
        <v>51024</v>
      </c>
    </row>
    <row r="11" customHeight="1"/>
  </sheetData>
  <mergeCells count="6">
    <mergeCell ref="A3:C3"/>
    <mergeCell ref="D3:F3"/>
    <mergeCell ref="A4:B4"/>
    <mergeCell ref="C4:F4"/>
    <mergeCell ref="A10:E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K26"/>
  <sheetViews>
    <sheetView zoomScale="130" zoomScaleNormal="130" topLeftCell="A13" workbookViewId="0">
      <selection activeCell="E24" sqref="E24"/>
    </sheetView>
  </sheetViews>
  <sheetFormatPr defaultColWidth="9" defaultRowHeight="15"/>
  <cols>
    <col min="1" max="1" width="10.2857142857143" customWidth="1"/>
    <col min="2" max="2" width="9.57142857142857" customWidth="1"/>
    <col min="3" max="3" width="23.1809523809524" customWidth="1"/>
    <col min="4" max="4" width="8" customWidth="1"/>
    <col min="5" max="5" width="7.71428571428571" customWidth="1"/>
    <col min="6" max="6" width="1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684</v>
      </c>
      <c r="E3" s="11"/>
      <c r="F3" s="12"/>
    </row>
    <row r="4" ht="22.5" customHeight="1" spans="1:6">
      <c r="A4" s="13" t="s">
        <v>84</v>
      </c>
      <c r="B4" s="13"/>
      <c r="C4" s="14" t="s">
        <v>685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558</v>
      </c>
      <c r="D6" s="17"/>
      <c r="E6" s="17">
        <v>27105</v>
      </c>
      <c r="F6" s="17">
        <f>E6-D6</f>
        <v>27105</v>
      </c>
    </row>
    <row r="7" ht="15.75" spans="1:6">
      <c r="A7" s="18">
        <v>45415</v>
      </c>
      <c r="B7" s="17" t="s">
        <v>686</v>
      </c>
      <c r="C7" s="17" t="s">
        <v>687</v>
      </c>
      <c r="D7" s="17"/>
      <c r="E7" s="17">
        <v>1950</v>
      </c>
      <c r="F7" s="17">
        <f>F6+E7-D7</f>
        <v>29055</v>
      </c>
    </row>
    <row r="8" ht="15.75" spans="1:6">
      <c r="A8" s="18">
        <v>45326</v>
      </c>
      <c r="B8" s="17" t="s">
        <v>253</v>
      </c>
      <c r="C8" s="17" t="s">
        <v>688</v>
      </c>
      <c r="D8" s="17">
        <v>6750</v>
      </c>
      <c r="E8" s="17"/>
      <c r="F8" s="17">
        <f t="shared" ref="F8:F23" si="0">F7+E8-D8</f>
        <v>22305</v>
      </c>
    </row>
    <row r="9" ht="15.75" spans="1:6">
      <c r="A9" s="18">
        <v>45326</v>
      </c>
      <c r="B9" s="17" t="s">
        <v>253</v>
      </c>
      <c r="C9" s="17" t="s">
        <v>689</v>
      </c>
      <c r="D9" s="17">
        <v>11340</v>
      </c>
      <c r="E9" s="17"/>
      <c r="F9" s="17">
        <f t="shared" si="0"/>
        <v>10965</v>
      </c>
    </row>
    <row r="10" ht="15.75" spans="1:6">
      <c r="A10" s="18">
        <v>45387</v>
      </c>
      <c r="B10" s="17" t="s">
        <v>690</v>
      </c>
      <c r="C10" s="17" t="s">
        <v>94</v>
      </c>
      <c r="D10" s="17"/>
      <c r="E10" s="17">
        <v>2000</v>
      </c>
      <c r="F10" s="17">
        <f t="shared" si="0"/>
        <v>12965</v>
      </c>
    </row>
    <row r="11" ht="15.75" spans="1:6">
      <c r="A11" s="18" t="s">
        <v>691</v>
      </c>
      <c r="B11" s="17" t="s">
        <v>253</v>
      </c>
      <c r="C11" s="17" t="s">
        <v>688</v>
      </c>
      <c r="D11" s="17">
        <v>2000</v>
      </c>
      <c r="E11" s="17"/>
      <c r="F11" s="17">
        <f t="shared" si="0"/>
        <v>10965</v>
      </c>
    </row>
    <row r="12" ht="15.75" spans="1:6">
      <c r="A12" s="18">
        <v>45329</v>
      </c>
      <c r="B12" s="17" t="s">
        <v>692</v>
      </c>
      <c r="C12" s="17" t="s">
        <v>693</v>
      </c>
      <c r="D12" s="17"/>
      <c r="E12" s="17">
        <v>500</v>
      </c>
      <c r="F12" s="17">
        <f t="shared" si="0"/>
        <v>11465</v>
      </c>
    </row>
    <row r="13" ht="15.75" spans="1:6">
      <c r="A13" s="73"/>
      <c r="B13" s="17"/>
      <c r="C13" s="17" t="s">
        <v>694</v>
      </c>
      <c r="D13" s="17">
        <v>500</v>
      </c>
      <c r="E13" s="17"/>
      <c r="F13" s="17">
        <f t="shared" si="0"/>
        <v>10965</v>
      </c>
    </row>
    <row r="14" ht="15.75" spans="1:6">
      <c r="A14" s="73" t="s">
        <v>405</v>
      </c>
      <c r="B14" s="17" t="s">
        <v>253</v>
      </c>
      <c r="C14" s="17" t="s">
        <v>695</v>
      </c>
      <c r="D14" s="17"/>
      <c r="E14" s="17"/>
      <c r="F14" s="17">
        <f t="shared" si="0"/>
        <v>10965</v>
      </c>
    </row>
    <row r="15" ht="15.75" spans="1:6">
      <c r="A15" s="73" t="s">
        <v>531</v>
      </c>
      <c r="B15" s="17" t="s">
        <v>696</v>
      </c>
      <c r="C15" s="17" t="s">
        <v>697</v>
      </c>
      <c r="D15" s="17"/>
      <c r="E15" s="17">
        <v>500</v>
      </c>
      <c r="F15" s="17">
        <f t="shared" si="0"/>
        <v>11465</v>
      </c>
    </row>
    <row r="16" ht="15.75" spans="1:6">
      <c r="A16" s="75">
        <v>45694</v>
      </c>
      <c r="B16" s="17"/>
      <c r="C16" s="17"/>
      <c r="D16" s="17">
        <v>500</v>
      </c>
      <c r="E16" s="17"/>
      <c r="F16" s="17">
        <f t="shared" si="0"/>
        <v>10965</v>
      </c>
    </row>
    <row r="17" ht="15.75" spans="1:6">
      <c r="A17" s="75" t="s">
        <v>546</v>
      </c>
      <c r="B17" s="17" t="s">
        <v>698</v>
      </c>
      <c r="C17" s="17" t="s">
        <v>230</v>
      </c>
      <c r="D17" s="17"/>
      <c r="E17" s="17">
        <v>170</v>
      </c>
      <c r="F17" s="17">
        <f t="shared" si="0"/>
        <v>11135</v>
      </c>
    </row>
    <row r="18" ht="15.75" spans="1:6">
      <c r="A18" s="75" t="s">
        <v>699</v>
      </c>
      <c r="B18" s="17" t="s">
        <v>700</v>
      </c>
      <c r="C18" s="17" t="s">
        <v>701</v>
      </c>
      <c r="D18" s="17"/>
      <c r="E18" s="17">
        <v>31500</v>
      </c>
      <c r="F18" s="17">
        <f t="shared" si="0"/>
        <v>42635</v>
      </c>
    </row>
    <row r="19" ht="15.75" spans="1:6">
      <c r="A19" s="75" t="s">
        <v>702</v>
      </c>
      <c r="B19" s="17" t="s">
        <v>253</v>
      </c>
      <c r="C19" s="17" t="s">
        <v>313</v>
      </c>
      <c r="D19" s="17">
        <v>500</v>
      </c>
      <c r="E19" s="17"/>
      <c r="F19" s="17">
        <f t="shared" si="0"/>
        <v>42135</v>
      </c>
    </row>
    <row r="20" ht="15.75" spans="1:6">
      <c r="A20" s="75">
        <v>45878</v>
      </c>
      <c r="B20" s="17" t="s">
        <v>703</v>
      </c>
      <c r="C20" s="17" t="s">
        <v>704</v>
      </c>
      <c r="D20" s="17"/>
      <c r="E20" s="17">
        <v>31800</v>
      </c>
      <c r="F20" s="17">
        <f t="shared" si="0"/>
        <v>73935</v>
      </c>
    </row>
    <row r="21" ht="15.75" spans="1:6">
      <c r="A21" s="75" t="s">
        <v>705</v>
      </c>
      <c r="B21" s="17" t="s">
        <v>706</v>
      </c>
      <c r="C21" s="17"/>
      <c r="D21" s="17"/>
      <c r="E21" s="17">
        <v>2950</v>
      </c>
      <c r="F21" s="17">
        <f t="shared" si="0"/>
        <v>76885</v>
      </c>
    </row>
    <row r="22" ht="15.75" spans="1:6">
      <c r="A22" s="75">
        <v>45911</v>
      </c>
      <c r="B22" s="17" t="s">
        <v>707</v>
      </c>
      <c r="C22" s="17" t="s">
        <v>708</v>
      </c>
      <c r="D22" s="17"/>
      <c r="E22" s="17">
        <v>3060</v>
      </c>
      <c r="F22" s="17">
        <f t="shared" si="0"/>
        <v>79945</v>
      </c>
    </row>
    <row r="23" ht="18.75" spans="1:6">
      <c r="A23" s="7" t="s">
        <v>303</v>
      </c>
      <c r="B23" s="9"/>
      <c r="C23" s="358"/>
      <c r="D23" s="358"/>
      <c r="E23" s="358"/>
      <c r="F23" s="17">
        <f t="shared" si="0"/>
        <v>79945</v>
      </c>
    </row>
    <row r="26" spans="11:11">
      <c r="K26" t="s">
        <v>5</v>
      </c>
    </row>
  </sheetData>
  <mergeCells count="6">
    <mergeCell ref="A3:C3"/>
    <mergeCell ref="D3:F3"/>
    <mergeCell ref="A4:B4"/>
    <mergeCell ref="C4:F4"/>
    <mergeCell ref="A23:B23"/>
    <mergeCell ref="A1:F2"/>
  </mergeCells>
  <printOptions horizontalCentered="1" verticalCentered="1"/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F12"/>
  <sheetViews>
    <sheetView topLeftCell="A2" workbookViewId="0">
      <selection activeCell="P10" sqref="P10"/>
    </sheetView>
  </sheetViews>
  <sheetFormatPr defaultColWidth="9" defaultRowHeight="15" outlineLevelCol="5"/>
  <cols>
    <col min="1" max="1" width="11.7142857142857" customWidth="1"/>
    <col min="2" max="2" width="10" customWidth="1"/>
    <col min="3" max="3" width="18.1428571428571" customWidth="1"/>
    <col min="4" max="4" width="18" customWidth="1"/>
    <col min="5" max="5" width="16" customWidth="1"/>
    <col min="6" max="6" width="9.71428571428571" customWidth="1"/>
  </cols>
  <sheetData>
    <row r="1" ht="20.25" hidden="1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15</v>
      </c>
      <c r="E3" s="11"/>
      <c r="F3" s="12"/>
    </row>
    <row r="4" ht="22.5" customHeight="1" spans="1:6">
      <c r="A4" s="13" t="s">
        <v>84</v>
      </c>
      <c r="B4" s="13"/>
      <c r="C4" s="14" t="s">
        <v>709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45116</v>
      </c>
      <c r="B6" s="17" t="s">
        <v>710</v>
      </c>
      <c r="C6" t="s">
        <v>711</v>
      </c>
      <c r="D6" s="17"/>
      <c r="E6" s="17">
        <v>5450</v>
      </c>
      <c r="F6" s="17">
        <f>E6-D6</f>
        <v>5450</v>
      </c>
    </row>
    <row r="7" ht="15.75" spans="1:6">
      <c r="A7" s="17"/>
      <c r="B7" s="17"/>
      <c r="C7" s="17" t="s">
        <v>712</v>
      </c>
      <c r="D7" s="17"/>
      <c r="E7" s="17">
        <v>10000</v>
      </c>
      <c r="F7" s="17">
        <f>F6-D7+E7</f>
        <v>15450</v>
      </c>
    </row>
    <row r="8" ht="15.75" spans="1:6">
      <c r="A8" s="17"/>
      <c r="B8" s="17"/>
      <c r="C8" s="17"/>
      <c r="D8" s="17"/>
      <c r="E8" s="17"/>
      <c r="F8" s="17">
        <f t="shared" ref="F8:F12" si="0">F7-D8+E8</f>
        <v>15450</v>
      </c>
    </row>
    <row r="9" ht="15.75" spans="1:6">
      <c r="A9" s="17"/>
      <c r="B9" s="17"/>
      <c r="C9" s="17"/>
      <c r="D9" s="17"/>
      <c r="E9" s="17"/>
      <c r="F9" s="17">
        <f t="shared" si="0"/>
        <v>15450</v>
      </c>
    </row>
    <row r="10" ht="15.75" spans="1:6">
      <c r="A10" s="17"/>
      <c r="B10" s="17"/>
      <c r="C10" s="17"/>
      <c r="D10" s="17"/>
      <c r="E10" s="17"/>
      <c r="F10" s="17">
        <f t="shared" si="0"/>
        <v>15450</v>
      </c>
    </row>
    <row r="11" ht="15.75" spans="1:6">
      <c r="A11" s="17"/>
      <c r="B11" s="17"/>
      <c r="C11" s="17"/>
      <c r="D11" s="17"/>
      <c r="E11" s="17"/>
      <c r="F11" s="17">
        <f t="shared" si="0"/>
        <v>15450</v>
      </c>
    </row>
    <row r="12" ht="18.75" spans="1:6">
      <c r="A12" s="7" t="s">
        <v>303</v>
      </c>
      <c r="B12" s="8"/>
      <c r="C12" s="8"/>
      <c r="D12" s="8"/>
      <c r="E12" s="9"/>
      <c r="F12" s="378">
        <f t="shared" si="0"/>
        <v>15450</v>
      </c>
    </row>
  </sheetData>
  <mergeCells count="6">
    <mergeCell ref="A3:C3"/>
    <mergeCell ref="D3:F3"/>
    <mergeCell ref="A4:B4"/>
    <mergeCell ref="C4:F4"/>
    <mergeCell ref="A12:E1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H10"/>
  <sheetViews>
    <sheetView workbookViewId="0">
      <selection activeCell="D17" sqref="D17"/>
    </sheetView>
  </sheetViews>
  <sheetFormatPr defaultColWidth="9" defaultRowHeight="15" outlineLevelCol="7"/>
  <cols>
    <col min="1" max="1" width="11.7142857142857" customWidth="1"/>
    <col min="2" max="2" width="15.8571428571429" customWidth="1"/>
    <col min="3" max="3" width="18.1428571428571" customWidth="1"/>
    <col min="4" max="4" width="13" customWidth="1"/>
    <col min="5" max="5" width="15.4285714285714" customWidth="1"/>
    <col min="6" max="6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16</v>
      </c>
      <c r="E3" s="11"/>
      <c r="F3" s="12"/>
    </row>
    <row r="4" ht="22.5" customHeight="1" spans="1:6">
      <c r="A4" s="13" t="s">
        <v>84</v>
      </c>
      <c r="B4" s="13"/>
      <c r="C4" s="14" t="s">
        <v>713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8">
      <c r="A6" s="18">
        <v>45268</v>
      </c>
      <c r="B6" s="17"/>
      <c r="C6" s="17" t="s">
        <v>714</v>
      </c>
      <c r="D6" s="17"/>
      <c r="E6" s="17">
        <v>73127</v>
      </c>
      <c r="F6" s="17">
        <f>E6-D6</f>
        <v>73127</v>
      </c>
      <c r="H6" t="s">
        <v>715</v>
      </c>
    </row>
    <row r="7" ht="15.75" spans="1:6">
      <c r="A7" s="18">
        <v>45414</v>
      </c>
      <c r="B7" s="17" t="s">
        <v>716</v>
      </c>
      <c r="C7" s="17" t="s">
        <v>717</v>
      </c>
      <c r="D7" s="17"/>
      <c r="E7" s="17">
        <v>6500</v>
      </c>
      <c r="F7" s="17">
        <f>F6-D7+E7</f>
        <v>79627</v>
      </c>
    </row>
    <row r="8" ht="15.75" spans="1:6">
      <c r="A8" s="18">
        <v>45538</v>
      </c>
      <c r="B8" s="17" t="s">
        <v>718</v>
      </c>
      <c r="C8" s="17" t="s">
        <v>719</v>
      </c>
      <c r="D8" s="17">
        <v>6500</v>
      </c>
      <c r="E8" s="17"/>
      <c r="F8" s="17">
        <f t="shared" ref="F8:F10" si="0">F7-D8+E8</f>
        <v>73127</v>
      </c>
    </row>
    <row r="9" ht="15.75" spans="1:6">
      <c r="A9" s="17"/>
      <c r="B9" s="17"/>
      <c r="C9" s="17"/>
      <c r="D9" s="17"/>
      <c r="E9" s="17"/>
      <c r="F9" s="17">
        <f t="shared" si="0"/>
        <v>73127</v>
      </c>
    </row>
    <row r="10" ht="18.75" spans="1:6">
      <c r="A10" s="7" t="s">
        <v>303</v>
      </c>
      <c r="B10" s="8"/>
      <c r="C10" s="8"/>
      <c r="D10" s="8"/>
      <c r="E10" s="9"/>
      <c r="F10" s="17">
        <f t="shared" si="0"/>
        <v>73127</v>
      </c>
    </row>
  </sheetData>
  <mergeCells count="6">
    <mergeCell ref="A3:C3"/>
    <mergeCell ref="D3:F3"/>
    <mergeCell ref="A4:B4"/>
    <mergeCell ref="C4:F4"/>
    <mergeCell ref="A10:E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I17"/>
  <sheetViews>
    <sheetView workbookViewId="0">
      <selection activeCell="E13" sqref="E13"/>
    </sheetView>
  </sheetViews>
  <sheetFormatPr defaultColWidth="9" defaultRowHeight="15"/>
  <cols>
    <col min="1" max="2" width="11.7142857142857" customWidth="1"/>
    <col min="3" max="3" width="17.1428571428571" customWidth="1"/>
    <col min="4" max="4" width="15.5714285714286" customWidth="1"/>
    <col min="5" max="5" width="12.7142857142857" customWidth="1"/>
    <col min="6" max="6" width="12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17</v>
      </c>
      <c r="E3" s="11"/>
      <c r="F3" s="12"/>
    </row>
    <row r="4" ht="22.5" customHeight="1" spans="1:6">
      <c r="A4" s="13" t="s">
        <v>84</v>
      </c>
      <c r="B4" s="13"/>
      <c r="C4" s="14" t="s">
        <v>720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305</v>
      </c>
      <c r="D6" s="17"/>
      <c r="E6" s="17">
        <v>15763</v>
      </c>
      <c r="F6" s="17">
        <f>E6-D6</f>
        <v>15763</v>
      </c>
    </row>
    <row r="7" ht="15.75" spans="1:6">
      <c r="A7" s="17" t="s">
        <v>721</v>
      </c>
      <c r="B7" s="17"/>
      <c r="C7" s="17" t="s">
        <v>722</v>
      </c>
      <c r="D7" s="17">
        <v>23500</v>
      </c>
      <c r="E7" s="17"/>
      <c r="F7" s="17">
        <f>F6-D7+E7</f>
        <v>-7737</v>
      </c>
    </row>
    <row r="8" ht="15.75" spans="1:6">
      <c r="A8" s="17"/>
      <c r="B8" s="17"/>
      <c r="C8" s="17" t="s">
        <v>723</v>
      </c>
      <c r="D8" s="17">
        <v>1000</v>
      </c>
      <c r="E8" s="17"/>
      <c r="F8" s="17">
        <f t="shared" ref="F8:F16" si="0">F7-D8+E8</f>
        <v>-8737</v>
      </c>
    </row>
    <row r="9" ht="15.75" spans="1:6">
      <c r="A9" s="17"/>
      <c r="B9" s="17"/>
      <c r="C9" s="17" t="s">
        <v>724</v>
      </c>
      <c r="D9" s="17">
        <v>710</v>
      </c>
      <c r="E9" s="17"/>
      <c r="F9" s="17">
        <f t="shared" si="0"/>
        <v>-9447</v>
      </c>
    </row>
    <row r="10" ht="15.75" spans="1:6">
      <c r="A10" s="17"/>
      <c r="B10" s="17"/>
      <c r="C10" s="17" t="s">
        <v>725</v>
      </c>
      <c r="D10" s="17">
        <v>300</v>
      </c>
      <c r="E10" s="17"/>
      <c r="F10" s="17">
        <f t="shared" si="0"/>
        <v>-9747</v>
      </c>
    </row>
    <row r="11" ht="15.75" spans="1:6">
      <c r="A11" s="17" t="s">
        <v>645</v>
      </c>
      <c r="B11" s="19" t="s">
        <v>726</v>
      </c>
      <c r="C11" s="17" t="s">
        <v>648</v>
      </c>
      <c r="D11" s="17"/>
      <c r="E11" s="17">
        <v>10000</v>
      </c>
      <c r="F11" s="17">
        <f t="shared" si="0"/>
        <v>253</v>
      </c>
    </row>
    <row r="12" ht="15.75" spans="1:6">
      <c r="A12" s="18"/>
      <c r="B12" s="19"/>
      <c r="C12" s="17"/>
      <c r="D12" s="17"/>
      <c r="E12" s="17"/>
      <c r="F12" s="17">
        <f t="shared" si="0"/>
        <v>253</v>
      </c>
    </row>
    <row r="13" ht="15.75" spans="1:6">
      <c r="A13" s="17"/>
      <c r="B13" s="19"/>
      <c r="C13" s="17"/>
      <c r="D13" s="17"/>
      <c r="E13" s="17"/>
      <c r="F13" s="17">
        <f t="shared" si="0"/>
        <v>253</v>
      </c>
    </row>
    <row r="14" ht="15.75" spans="1:6">
      <c r="A14" s="17"/>
      <c r="B14" s="19"/>
      <c r="C14" s="17"/>
      <c r="D14" s="17"/>
      <c r="E14" s="17"/>
      <c r="F14" s="17">
        <f t="shared" si="0"/>
        <v>253</v>
      </c>
    </row>
    <row r="15" ht="15.75" spans="1:6">
      <c r="A15" s="17"/>
      <c r="B15" s="19"/>
      <c r="C15" s="17"/>
      <c r="D15" s="17"/>
      <c r="E15" s="17"/>
      <c r="F15" s="17">
        <f t="shared" si="0"/>
        <v>253</v>
      </c>
    </row>
    <row r="16" ht="18.75" spans="1:6">
      <c r="A16" s="7" t="s">
        <v>303</v>
      </c>
      <c r="B16" s="9"/>
      <c r="C16" s="358"/>
      <c r="D16" s="358"/>
      <c r="E16" s="358"/>
      <c r="F16" s="17">
        <f t="shared" si="0"/>
        <v>253</v>
      </c>
    </row>
    <row r="17" spans="9:9">
      <c r="I17" t="s">
        <v>5</v>
      </c>
    </row>
  </sheetData>
  <mergeCells count="6">
    <mergeCell ref="A3:C3"/>
    <mergeCell ref="D3:F3"/>
    <mergeCell ref="A4:B4"/>
    <mergeCell ref="C4:F4"/>
    <mergeCell ref="A16:B16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F9"/>
  <sheetViews>
    <sheetView workbookViewId="0">
      <selection activeCell="F7" sqref="F7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23.4285714285714" customWidth="1"/>
    <col min="4" max="4" width="13.4285714285714" customWidth="1"/>
    <col min="5" max="5" width="13.7142857142857" customWidth="1"/>
    <col min="6" max="6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727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63" spans="1:6">
      <c r="A6" s="17" t="s">
        <v>453</v>
      </c>
      <c r="B6" s="17">
        <v>1565</v>
      </c>
      <c r="C6" s="71" t="s">
        <v>728</v>
      </c>
      <c r="D6" s="17"/>
      <c r="E6" s="17">
        <v>12400</v>
      </c>
      <c r="F6" s="17">
        <f>E6-D6</f>
        <v>12400</v>
      </c>
    </row>
    <row r="7" ht="15.75" spans="1:6">
      <c r="A7" s="17" t="s">
        <v>729</v>
      </c>
      <c r="B7" s="17" t="s">
        <v>730</v>
      </c>
      <c r="C7" s="17" t="s">
        <v>464</v>
      </c>
      <c r="D7" s="17"/>
      <c r="E7" s="17">
        <v>2400</v>
      </c>
      <c r="F7" s="17">
        <f>F6-D7+E7</f>
        <v>14800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14800</v>
      </c>
    </row>
    <row r="9" ht="18.75" spans="1:6">
      <c r="A9" s="7" t="s">
        <v>303</v>
      </c>
      <c r="B9" s="9"/>
      <c r="C9" s="358"/>
      <c r="D9" s="358"/>
      <c r="E9" s="358"/>
      <c r="F9" s="17">
        <f t="shared" si="0"/>
        <v>14800</v>
      </c>
    </row>
  </sheetData>
  <mergeCells count="6">
    <mergeCell ref="A3:C3"/>
    <mergeCell ref="D3:F3"/>
    <mergeCell ref="A4:B4"/>
    <mergeCell ref="C4:F4"/>
    <mergeCell ref="A9:B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F9"/>
  <sheetViews>
    <sheetView topLeftCell="A2" workbookViewId="0">
      <selection activeCell="K13" sqref="K13"/>
    </sheetView>
  </sheetViews>
  <sheetFormatPr defaultColWidth="9" defaultRowHeight="15" outlineLevelCol="5"/>
  <cols>
    <col min="1" max="1" width="11.7142857142857" customWidth="1"/>
    <col min="2" max="2" width="12" customWidth="1"/>
    <col min="3" max="3" width="18.1428571428571" customWidth="1"/>
    <col min="4" max="4" width="14.5714285714286" customWidth="1"/>
    <col min="5" max="5" width="18.1428571428571" customWidth="1"/>
    <col min="6" max="6" width="9.8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731</v>
      </c>
      <c r="E3" s="11"/>
      <c r="F3" s="12"/>
    </row>
    <row r="4" ht="22.5" customHeight="1" spans="1:6">
      <c r="A4" s="13" t="s">
        <v>84</v>
      </c>
      <c r="B4" s="13"/>
      <c r="C4" s="14" t="s">
        <v>732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733</v>
      </c>
      <c r="B6" s="17"/>
      <c r="C6" s="17" t="s">
        <v>734</v>
      </c>
      <c r="D6" s="17"/>
      <c r="E6" s="17">
        <v>41181</v>
      </c>
      <c r="F6" s="17">
        <f>E6-D6</f>
        <v>41181</v>
      </c>
    </row>
    <row r="7" ht="15.75" spans="1:6">
      <c r="A7" s="17"/>
      <c r="B7" s="17"/>
      <c r="C7" s="17" t="s">
        <v>735</v>
      </c>
      <c r="D7" s="17"/>
      <c r="E7" s="17">
        <v>10000</v>
      </c>
      <c r="F7" s="17">
        <f>F6-D7+E7</f>
        <v>51181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51181</v>
      </c>
    </row>
    <row r="9" ht="18.75" spans="1:6">
      <c r="A9" s="7" t="s">
        <v>303</v>
      </c>
      <c r="B9" s="8"/>
      <c r="C9" s="8"/>
      <c r="D9" s="8"/>
      <c r="E9" s="9"/>
      <c r="F9" s="17">
        <f t="shared" si="0"/>
        <v>51181</v>
      </c>
    </row>
  </sheetData>
  <mergeCells count="6">
    <mergeCell ref="A3:C3"/>
    <mergeCell ref="D3:F3"/>
    <mergeCell ref="A4:B4"/>
    <mergeCell ref="C4:F4"/>
    <mergeCell ref="A9:E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F30"/>
  <sheetViews>
    <sheetView topLeftCell="A7" workbookViewId="0">
      <selection activeCell="E23" sqref="E23"/>
    </sheetView>
  </sheetViews>
  <sheetFormatPr defaultColWidth="9" defaultRowHeight="15" outlineLevelCol="5"/>
  <cols>
    <col min="1" max="1" width="11.7142857142857" customWidth="1"/>
    <col min="2" max="2" width="10.2857142857143" customWidth="1"/>
    <col min="3" max="3" width="34.5714285714286" customWidth="1"/>
    <col min="4" max="4" width="7.85714285714286" customWidth="1"/>
    <col min="5" max="5" width="8.71428571428571" customWidth="1"/>
    <col min="6" max="6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19</v>
      </c>
      <c r="E3" s="11"/>
      <c r="F3" s="12"/>
    </row>
    <row r="4" ht="22.5" customHeight="1" spans="1:6">
      <c r="A4" s="13" t="s">
        <v>84</v>
      </c>
      <c r="B4" s="13"/>
      <c r="C4" s="14" t="s">
        <v>736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737</v>
      </c>
      <c r="B6" s="17"/>
      <c r="C6" s="17" t="s">
        <v>305</v>
      </c>
      <c r="D6" s="17"/>
      <c r="E6" s="17">
        <v>42100</v>
      </c>
      <c r="F6" s="17">
        <f>E6-D6</f>
        <v>42100</v>
      </c>
    </row>
    <row r="7" ht="15.75" spans="1:6">
      <c r="A7" s="17" t="s">
        <v>738</v>
      </c>
      <c r="B7" s="17" t="s">
        <v>739</v>
      </c>
      <c r="C7" s="17" t="s">
        <v>740</v>
      </c>
      <c r="D7" s="17"/>
      <c r="E7" s="17">
        <v>1100</v>
      </c>
      <c r="F7" s="17">
        <f>F6-D7+E7</f>
        <v>43200</v>
      </c>
    </row>
    <row r="8" ht="15.75" spans="1:6">
      <c r="A8" s="17" t="s">
        <v>741</v>
      </c>
      <c r="B8" s="17" t="s">
        <v>742</v>
      </c>
      <c r="C8" s="17" t="s">
        <v>743</v>
      </c>
      <c r="D8" s="17"/>
      <c r="E8" s="17">
        <v>2200</v>
      </c>
      <c r="F8" s="17">
        <f t="shared" ref="F8:F30" si="0">F7-D8+E8</f>
        <v>45400</v>
      </c>
    </row>
    <row r="9" ht="15.75" spans="1:6">
      <c r="A9" s="17" t="s">
        <v>564</v>
      </c>
      <c r="B9" s="17"/>
      <c r="C9" s="17" t="s">
        <v>744</v>
      </c>
      <c r="D9" s="17"/>
      <c r="E9" s="17">
        <v>117600</v>
      </c>
      <c r="F9" s="17">
        <f t="shared" si="0"/>
        <v>163000</v>
      </c>
    </row>
    <row r="10" ht="15.75" spans="1:6">
      <c r="A10" s="17" t="s">
        <v>564</v>
      </c>
      <c r="B10" s="17"/>
      <c r="C10" s="17" t="s">
        <v>745</v>
      </c>
      <c r="D10" s="17"/>
      <c r="E10" s="17">
        <v>54400</v>
      </c>
      <c r="F10" s="17">
        <f t="shared" si="0"/>
        <v>217400</v>
      </c>
    </row>
    <row r="11" ht="15.75" spans="1:6">
      <c r="A11" s="17" t="s">
        <v>564</v>
      </c>
      <c r="B11" s="17"/>
      <c r="C11" s="17" t="s">
        <v>101</v>
      </c>
      <c r="D11" s="17">
        <v>135000</v>
      </c>
      <c r="E11" s="17"/>
      <c r="F11" s="17">
        <f t="shared" si="0"/>
        <v>82400</v>
      </c>
    </row>
    <row r="12" ht="15.75" spans="1:6">
      <c r="A12" s="17" t="s">
        <v>746</v>
      </c>
      <c r="B12" s="17"/>
      <c r="C12" s="17" t="s">
        <v>101</v>
      </c>
      <c r="D12" s="17">
        <v>40000</v>
      </c>
      <c r="E12" s="17"/>
      <c r="F12" s="17">
        <f t="shared" si="0"/>
        <v>42400</v>
      </c>
    </row>
    <row r="13" ht="15.75" spans="1:6">
      <c r="A13" s="18">
        <v>45568</v>
      </c>
      <c r="B13" s="17" t="s">
        <v>747</v>
      </c>
      <c r="C13" s="17" t="s">
        <v>104</v>
      </c>
      <c r="D13" s="17"/>
      <c r="E13" s="17">
        <v>28040</v>
      </c>
      <c r="F13" s="17">
        <f t="shared" si="0"/>
        <v>70440</v>
      </c>
    </row>
    <row r="14" ht="31.5" spans="1:6">
      <c r="A14" s="18" t="s">
        <v>748</v>
      </c>
      <c r="B14" s="17" t="s">
        <v>749</v>
      </c>
      <c r="C14" s="71" t="s">
        <v>750</v>
      </c>
      <c r="D14" s="17"/>
      <c r="E14" s="17">
        <v>510</v>
      </c>
      <c r="F14" s="17">
        <f t="shared" si="0"/>
        <v>70950</v>
      </c>
    </row>
    <row r="15" ht="15.75" spans="1:6">
      <c r="A15" s="18" t="s">
        <v>751</v>
      </c>
      <c r="B15" s="17"/>
      <c r="C15" s="71" t="s">
        <v>752</v>
      </c>
      <c r="D15" s="17">
        <v>2450</v>
      </c>
      <c r="E15" s="17"/>
      <c r="F15" s="17">
        <f t="shared" si="0"/>
        <v>68500</v>
      </c>
    </row>
    <row r="16" ht="15.75" spans="1:6">
      <c r="A16" s="18" t="s">
        <v>751</v>
      </c>
      <c r="B16" s="17"/>
      <c r="C16" s="71" t="s">
        <v>753</v>
      </c>
      <c r="D16" s="17">
        <v>50000</v>
      </c>
      <c r="E16" s="17"/>
      <c r="F16" s="17">
        <f t="shared" si="0"/>
        <v>18500</v>
      </c>
    </row>
    <row r="17" ht="20.25" spans="1:6">
      <c r="A17" s="18" t="s">
        <v>751</v>
      </c>
      <c r="B17" s="77"/>
      <c r="C17" s="71" t="s">
        <v>754</v>
      </c>
      <c r="D17" s="17"/>
      <c r="E17" s="17">
        <v>42160</v>
      </c>
      <c r="F17" s="17">
        <f t="shared" si="0"/>
        <v>60660</v>
      </c>
    </row>
    <row r="18" ht="15.75" spans="1:6">
      <c r="A18" s="18"/>
      <c r="B18" s="17"/>
      <c r="C18" s="71" t="s">
        <v>755</v>
      </c>
      <c r="D18" s="17">
        <v>35000</v>
      </c>
      <c r="E18" s="17"/>
      <c r="F18" s="17">
        <f t="shared" si="0"/>
        <v>25660</v>
      </c>
    </row>
    <row r="19" ht="15.75" spans="1:6">
      <c r="A19" s="17" t="s">
        <v>756</v>
      </c>
      <c r="B19" s="17"/>
      <c r="C19" s="17" t="s">
        <v>157</v>
      </c>
      <c r="D19" s="17">
        <v>20000</v>
      </c>
      <c r="E19" s="17"/>
      <c r="F19" s="17">
        <f t="shared" si="0"/>
        <v>5660</v>
      </c>
    </row>
    <row r="20" ht="31.5" spans="1:6">
      <c r="A20" s="73" t="s">
        <v>757</v>
      </c>
      <c r="B20" s="17" t="s">
        <v>758</v>
      </c>
      <c r="C20" s="74" t="s">
        <v>759</v>
      </c>
      <c r="D20" s="17"/>
      <c r="E20" s="19">
        <v>40125</v>
      </c>
      <c r="F20" s="17">
        <f t="shared" si="0"/>
        <v>45785</v>
      </c>
    </row>
    <row r="21" ht="31.5" spans="1:6">
      <c r="A21" s="75">
        <v>45839</v>
      </c>
      <c r="B21" s="17" t="s">
        <v>760</v>
      </c>
      <c r="C21" s="74" t="s">
        <v>761</v>
      </c>
      <c r="D21" s="17"/>
      <c r="E21" s="19">
        <v>375</v>
      </c>
      <c r="F21" s="17">
        <f t="shared" si="0"/>
        <v>46160</v>
      </c>
    </row>
    <row r="22" ht="15.75" spans="1:6">
      <c r="A22" s="73"/>
      <c r="B22" s="17"/>
      <c r="C22" s="72" t="s">
        <v>762</v>
      </c>
      <c r="D22" s="17"/>
      <c r="E22" s="19">
        <v>70000</v>
      </c>
      <c r="F22" s="17">
        <f t="shared" si="0"/>
        <v>116160</v>
      </c>
    </row>
    <row r="23" ht="15.75" spans="1:6">
      <c r="A23" s="73" t="s">
        <v>300</v>
      </c>
      <c r="B23" s="17" t="s">
        <v>763</v>
      </c>
      <c r="C23" s="72" t="s">
        <v>764</v>
      </c>
      <c r="D23" s="17"/>
      <c r="E23" s="19">
        <v>1500</v>
      </c>
      <c r="F23" s="17">
        <f t="shared" si="0"/>
        <v>117660</v>
      </c>
    </row>
    <row r="24" ht="15.75" spans="1:6">
      <c r="A24" s="73"/>
      <c r="B24" s="17"/>
      <c r="C24" s="72" t="s">
        <v>157</v>
      </c>
      <c r="D24" s="17">
        <v>70000</v>
      </c>
      <c r="E24" s="19"/>
      <c r="F24" s="17">
        <f t="shared" si="0"/>
        <v>47660</v>
      </c>
    </row>
    <row r="25" ht="31.5" spans="1:6">
      <c r="A25" s="75">
        <v>45845</v>
      </c>
      <c r="B25" s="17" t="s">
        <v>765</v>
      </c>
      <c r="C25" s="74" t="s">
        <v>766</v>
      </c>
      <c r="D25" s="17"/>
      <c r="E25" s="19">
        <v>51030</v>
      </c>
      <c r="F25" s="17">
        <f t="shared" si="0"/>
        <v>98690</v>
      </c>
    </row>
    <row r="26" ht="15.75" spans="1:6">
      <c r="A26" s="75">
        <v>45816</v>
      </c>
      <c r="B26" s="17" t="s">
        <v>767</v>
      </c>
      <c r="C26" s="72" t="s">
        <v>768</v>
      </c>
      <c r="D26" s="17">
        <v>2750</v>
      </c>
      <c r="E26" s="19"/>
      <c r="F26" s="17">
        <f t="shared" si="0"/>
        <v>95940</v>
      </c>
    </row>
    <row r="27" ht="15.75" spans="1:6">
      <c r="A27" s="73"/>
      <c r="B27" s="17"/>
      <c r="C27" s="72"/>
      <c r="D27" s="17"/>
      <c r="E27" s="19"/>
      <c r="F27" s="17">
        <f t="shared" si="0"/>
        <v>95940</v>
      </c>
    </row>
    <row r="28" ht="15.75" spans="1:6">
      <c r="A28" s="73"/>
      <c r="B28" s="17"/>
      <c r="C28" s="72"/>
      <c r="D28" s="17"/>
      <c r="E28" s="19"/>
      <c r="F28" s="17">
        <f t="shared" si="0"/>
        <v>95940</v>
      </c>
    </row>
    <row r="29" ht="15.75" spans="1:6">
      <c r="A29" s="73"/>
      <c r="B29" s="17"/>
      <c r="C29" s="72"/>
      <c r="D29" s="17"/>
      <c r="E29" s="19"/>
      <c r="F29" s="17">
        <f t="shared" si="0"/>
        <v>95940</v>
      </c>
    </row>
    <row r="30" ht="18.75" spans="1:6">
      <c r="A30" s="7" t="s">
        <v>303</v>
      </c>
      <c r="B30" s="8"/>
      <c r="C30" s="8"/>
      <c r="D30" s="8"/>
      <c r="E30" s="9"/>
      <c r="F30" s="17">
        <f t="shared" si="0"/>
        <v>95940</v>
      </c>
    </row>
  </sheetData>
  <mergeCells count="6">
    <mergeCell ref="A3:C3"/>
    <mergeCell ref="D3:F3"/>
    <mergeCell ref="A4:B4"/>
    <mergeCell ref="C4:F4"/>
    <mergeCell ref="A30:E3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F8"/>
  <sheetViews>
    <sheetView workbookViewId="0">
      <selection activeCell="G6" sqref="G6"/>
    </sheetView>
  </sheetViews>
  <sheetFormatPr defaultColWidth="9" defaultRowHeight="15" outlineLevelRow="7" outlineLevelCol="5"/>
  <cols>
    <col min="1" max="1" width="11.7142857142857" customWidth="1"/>
    <col min="2" max="2" width="13.2857142857143" customWidth="1"/>
    <col min="3" max="3" width="18.1428571428571" customWidth="1"/>
    <col min="4" max="4" width="14.7142857142857" customWidth="1"/>
    <col min="5" max="5" width="18.1428571428571" customWidth="1"/>
    <col min="6" max="6" width="10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769</v>
      </c>
      <c r="E3" s="11"/>
      <c r="F3" s="12"/>
    </row>
    <row r="4" ht="22.5" customHeight="1" spans="1:6">
      <c r="A4" s="13" t="s">
        <v>84</v>
      </c>
      <c r="B4" s="13"/>
      <c r="C4" s="14" t="s">
        <v>770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771</v>
      </c>
      <c r="B6" s="17"/>
      <c r="C6" s="17" t="s">
        <v>772</v>
      </c>
      <c r="D6" s="17"/>
      <c r="E6" s="17">
        <v>9684</v>
      </c>
      <c r="F6" s="17">
        <f>E6-D6</f>
        <v>9684</v>
      </c>
    </row>
    <row r="7" ht="15.75" spans="1:6">
      <c r="A7" s="17"/>
      <c r="B7" s="17"/>
      <c r="C7" s="17"/>
      <c r="D7" s="17"/>
      <c r="E7" s="17"/>
      <c r="F7" s="17">
        <f>F6-D7+E7</f>
        <v>9684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9684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F27"/>
  <sheetViews>
    <sheetView workbookViewId="0">
      <selection activeCell="N6" sqref="N6"/>
    </sheetView>
  </sheetViews>
  <sheetFormatPr defaultColWidth="9" defaultRowHeight="15" outlineLevelCol="5"/>
  <cols>
    <col min="1" max="1" width="11.7142857142857" customWidth="1"/>
    <col min="2" max="2" width="15.5714285714286" customWidth="1"/>
    <col min="3" max="3" width="18.1428571428571" customWidth="1"/>
    <col min="4" max="4" width="12.7142857142857" customWidth="1"/>
    <col min="5" max="5" width="13.2857142857143" customWidth="1"/>
    <col min="6" max="6" width="11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773</v>
      </c>
      <c r="E3" s="11"/>
      <c r="F3" s="12"/>
    </row>
    <row r="4" ht="22.5" customHeight="1" spans="1:6">
      <c r="A4" s="13" t="s">
        <v>84</v>
      </c>
      <c r="B4" s="13"/>
      <c r="C4" s="14" t="s">
        <v>774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775</v>
      </c>
      <c r="B6" s="17"/>
      <c r="C6" s="17" t="s">
        <v>772</v>
      </c>
      <c r="D6" s="17"/>
      <c r="E6" s="17">
        <v>274413</v>
      </c>
      <c r="F6" s="17">
        <f>E6-D6</f>
        <v>274413</v>
      </c>
    </row>
    <row r="7" ht="15.75" spans="1:6">
      <c r="A7" s="17" t="s">
        <v>776</v>
      </c>
      <c r="B7" s="17" t="s">
        <v>777</v>
      </c>
      <c r="C7" s="17" t="s">
        <v>101</v>
      </c>
      <c r="D7" s="17">
        <v>50000</v>
      </c>
      <c r="E7" s="17"/>
      <c r="F7" s="17">
        <f>F6-D7+E7</f>
        <v>224413</v>
      </c>
    </row>
    <row r="8" ht="15.75" spans="1:6">
      <c r="A8" s="17" t="s">
        <v>778</v>
      </c>
      <c r="B8" s="17" t="s">
        <v>253</v>
      </c>
      <c r="C8" s="17" t="s">
        <v>157</v>
      </c>
      <c r="D8" s="17">
        <v>50000</v>
      </c>
      <c r="E8" s="17"/>
      <c r="F8" s="17">
        <f t="shared" ref="F8:F13" si="0">F7-D8+E8</f>
        <v>174413</v>
      </c>
    </row>
    <row r="9" ht="47.25" spans="1:6">
      <c r="A9" s="18">
        <v>45602</v>
      </c>
      <c r="B9" s="17" t="s">
        <v>779</v>
      </c>
      <c r="C9" s="71" t="s">
        <v>780</v>
      </c>
      <c r="D9" s="17">
        <v>50000</v>
      </c>
      <c r="E9" s="17"/>
      <c r="F9" s="17">
        <f t="shared" si="0"/>
        <v>124413</v>
      </c>
    </row>
    <row r="10" ht="15.75" spans="1:6">
      <c r="A10" s="17" t="s">
        <v>781</v>
      </c>
      <c r="B10" s="17" t="s">
        <v>782</v>
      </c>
      <c r="C10" s="17"/>
      <c r="D10" s="17"/>
      <c r="E10" s="17">
        <v>5000</v>
      </c>
      <c r="F10" s="17">
        <f t="shared" si="0"/>
        <v>129413</v>
      </c>
    </row>
    <row r="11" ht="15.75" spans="1:6">
      <c r="A11" s="17" t="s">
        <v>781</v>
      </c>
      <c r="B11" s="17" t="s">
        <v>101</v>
      </c>
      <c r="C11" s="17"/>
      <c r="D11" s="17">
        <v>64500</v>
      </c>
      <c r="E11" s="17"/>
      <c r="F11" s="17">
        <f t="shared" si="0"/>
        <v>64913</v>
      </c>
    </row>
    <row r="12" ht="15.75" spans="1:6">
      <c r="A12" s="18">
        <v>45330</v>
      </c>
      <c r="B12" s="17" t="s">
        <v>101</v>
      </c>
      <c r="C12" s="17"/>
      <c r="D12" s="17">
        <v>40000</v>
      </c>
      <c r="E12" s="19"/>
      <c r="F12" s="17">
        <f t="shared" si="0"/>
        <v>24913</v>
      </c>
    </row>
    <row r="13" ht="15.75" spans="1:6">
      <c r="A13" s="18"/>
      <c r="B13" s="17" t="s">
        <v>157</v>
      </c>
      <c r="C13" s="17"/>
      <c r="D13" s="17">
        <v>24913</v>
      </c>
      <c r="E13" s="19"/>
      <c r="F13" s="17">
        <f t="shared" si="0"/>
        <v>0</v>
      </c>
    </row>
    <row r="14" ht="47.25" spans="1:6">
      <c r="A14" s="18">
        <v>45482</v>
      </c>
      <c r="B14" s="71"/>
      <c r="C14" s="71" t="s">
        <v>783</v>
      </c>
      <c r="D14" s="17"/>
      <c r="E14" s="19">
        <v>160204</v>
      </c>
      <c r="F14" s="17">
        <f t="shared" ref="F14:F27" si="1">F13-D14+E14</f>
        <v>160204</v>
      </c>
    </row>
    <row r="15" ht="15.75" spans="1:6">
      <c r="A15" s="18">
        <v>45512</v>
      </c>
      <c r="B15" s="17"/>
      <c r="C15" s="17" t="s">
        <v>157</v>
      </c>
      <c r="D15" s="17">
        <v>8000</v>
      </c>
      <c r="E15" s="19"/>
      <c r="F15" s="17">
        <f t="shared" si="1"/>
        <v>152204</v>
      </c>
    </row>
    <row r="16" ht="15.75" spans="1:6">
      <c r="A16" s="18">
        <v>45512</v>
      </c>
      <c r="B16" s="17"/>
      <c r="C16" s="17" t="s">
        <v>157</v>
      </c>
      <c r="D16" s="17">
        <v>50000</v>
      </c>
      <c r="E16" s="19"/>
      <c r="F16" s="17">
        <f t="shared" si="1"/>
        <v>102204</v>
      </c>
    </row>
    <row r="17" ht="15.75" spans="1:6">
      <c r="A17" s="18">
        <v>45512</v>
      </c>
      <c r="B17" s="17"/>
      <c r="C17" s="17" t="s">
        <v>784</v>
      </c>
      <c r="D17" s="17"/>
      <c r="E17" s="17">
        <v>4000</v>
      </c>
      <c r="F17" s="17">
        <f t="shared" si="1"/>
        <v>106204</v>
      </c>
    </row>
    <row r="18" ht="15.75" spans="1:6">
      <c r="A18" s="17" t="s">
        <v>405</v>
      </c>
      <c r="B18" s="17" t="s">
        <v>785</v>
      </c>
      <c r="C18" s="17" t="s">
        <v>786</v>
      </c>
      <c r="D18" s="17">
        <v>1500</v>
      </c>
      <c r="E18" s="17"/>
      <c r="F18" s="17">
        <f t="shared" si="1"/>
        <v>104704</v>
      </c>
    </row>
    <row r="19" ht="31.5" spans="1:6">
      <c r="A19" s="17" t="s">
        <v>405</v>
      </c>
      <c r="B19" s="17" t="s">
        <v>787</v>
      </c>
      <c r="C19" s="71" t="s">
        <v>788</v>
      </c>
      <c r="D19" s="17"/>
      <c r="E19" s="17">
        <v>5460</v>
      </c>
      <c r="F19" s="17">
        <f t="shared" si="1"/>
        <v>110164</v>
      </c>
    </row>
    <row r="20" ht="15.75" spans="1:6">
      <c r="A20" s="17" t="s">
        <v>432</v>
      </c>
      <c r="B20" s="17"/>
      <c r="C20" s="17" t="s">
        <v>101</v>
      </c>
      <c r="D20" s="17">
        <v>10000</v>
      </c>
      <c r="E20" s="17"/>
      <c r="F20" s="17">
        <f t="shared" si="1"/>
        <v>100164</v>
      </c>
    </row>
    <row r="21" ht="47.25" spans="1:6">
      <c r="A21" s="17" t="s">
        <v>432</v>
      </c>
      <c r="B21" s="17" t="s">
        <v>789</v>
      </c>
      <c r="C21" s="71" t="s">
        <v>790</v>
      </c>
      <c r="D21" s="17"/>
      <c r="E21" s="17">
        <v>6350</v>
      </c>
      <c r="F21" s="17">
        <f t="shared" si="1"/>
        <v>106514</v>
      </c>
    </row>
    <row r="22" ht="15.75" spans="1:6">
      <c r="A22" s="17"/>
      <c r="B22" s="17"/>
      <c r="C22" s="17"/>
      <c r="D22" s="17"/>
      <c r="E22" s="17"/>
      <c r="F22" s="17">
        <f t="shared" si="1"/>
        <v>106514</v>
      </c>
    </row>
    <row r="23" ht="15.75" spans="1:6">
      <c r="A23" s="17"/>
      <c r="B23" s="17"/>
      <c r="C23" s="17"/>
      <c r="D23" s="17"/>
      <c r="E23" s="17"/>
      <c r="F23" s="17">
        <f t="shared" si="1"/>
        <v>106514</v>
      </c>
    </row>
    <row r="24" ht="15.75" spans="1:6">
      <c r="A24" s="17"/>
      <c r="B24" s="17"/>
      <c r="C24" s="17"/>
      <c r="D24" s="17"/>
      <c r="E24" s="17"/>
      <c r="F24" s="17">
        <f t="shared" si="1"/>
        <v>106514</v>
      </c>
    </row>
    <row r="25" ht="15.75" spans="1:6">
      <c r="A25" s="17"/>
      <c r="B25" s="17"/>
      <c r="C25" s="17"/>
      <c r="D25" s="17"/>
      <c r="E25" s="17"/>
      <c r="F25" s="17">
        <f t="shared" si="1"/>
        <v>106514</v>
      </c>
    </row>
    <row r="26" ht="15.75" spans="1:6">
      <c r="A26" s="17"/>
      <c r="B26" s="17"/>
      <c r="C26" s="17"/>
      <c r="D26" s="17"/>
      <c r="E26" s="17"/>
      <c r="F26" s="17">
        <f t="shared" si="1"/>
        <v>106514</v>
      </c>
    </row>
    <row r="27" ht="18.75" spans="1:6">
      <c r="A27" s="7" t="s">
        <v>303</v>
      </c>
      <c r="B27" s="8"/>
      <c r="C27" s="8"/>
      <c r="D27" s="8"/>
      <c r="E27" s="9"/>
      <c r="F27" s="17">
        <f t="shared" si="1"/>
        <v>106514</v>
      </c>
    </row>
  </sheetData>
  <mergeCells count="6">
    <mergeCell ref="A3:C3"/>
    <mergeCell ref="D3:F3"/>
    <mergeCell ref="A4:B4"/>
    <mergeCell ref="C4:F4"/>
    <mergeCell ref="A27:E27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F8"/>
  <sheetViews>
    <sheetView workbookViewId="0">
      <selection activeCell="H5" sqref="H5"/>
    </sheetView>
  </sheetViews>
  <sheetFormatPr defaultColWidth="9" defaultRowHeight="15" outlineLevelRow="7" outlineLevelCol="5"/>
  <cols>
    <col min="1" max="1" width="11.7142857142857" customWidth="1"/>
    <col min="2" max="2" width="11.2857142857143" customWidth="1"/>
    <col min="3" max="3" width="21.1428571428571" customWidth="1"/>
    <col min="4" max="4" width="15.4285714285714" customWidth="1"/>
    <col min="5" max="5" width="14.2857142857143" customWidth="1"/>
    <col min="6" max="6" width="11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791</v>
      </c>
      <c r="E3" s="11"/>
      <c r="F3" s="12"/>
    </row>
    <row r="4" ht="22.5" customHeight="1" spans="1:6">
      <c r="A4" s="13" t="s">
        <v>84</v>
      </c>
      <c r="B4" s="13"/>
      <c r="C4" s="14" t="s">
        <v>792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793</v>
      </c>
      <c r="B6" s="17"/>
      <c r="C6" s="17" t="s">
        <v>305</v>
      </c>
      <c r="D6" s="17"/>
      <c r="E6" s="17">
        <v>54965</v>
      </c>
      <c r="F6" s="17">
        <f>E6-D6</f>
        <v>54965</v>
      </c>
    </row>
    <row r="7" ht="15.75" spans="1:6">
      <c r="A7" s="17"/>
      <c r="B7" s="17"/>
      <c r="C7" s="17"/>
      <c r="D7" s="17"/>
      <c r="E7" s="17"/>
      <c r="F7" s="17">
        <f>F6-D7+E7</f>
        <v>54965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54965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F10"/>
  <sheetViews>
    <sheetView workbookViewId="0">
      <selection activeCell="F13" sqref="F13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794</v>
      </c>
      <c r="E3" s="11"/>
      <c r="F3" s="12"/>
    </row>
    <row r="4" ht="22.5" customHeight="1" spans="1:6">
      <c r="A4" s="13" t="s">
        <v>84</v>
      </c>
      <c r="B4" s="13"/>
      <c r="C4" s="14" t="s">
        <v>795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714</v>
      </c>
      <c r="D6" s="17"/>
      <c r="E6" s="17"/>
      <c r="F6" s="17">
        <f>E6-D6</f>
        <v>0</v>
      </c>
    </row>
    <row r="7" ht="15.75" spans="1:6">
      <c r="A7" s="17"/>
      <c r="B7" s="17"/>
      <c r="C7" s="17"/>
      <c r="D7" s="17"/>
      <c r="E7" s="17"/>
      <c r="F7" s="17">
        <f>F6-D7+E7</f>
        <v>0</v>
      </c>
    </row>
    <row r="8" ht="15.75" spans="1:6">
      <c r="A8" s="17"/>
      <c r="B8" s="17"/>
      <c r="C8" s="17"/>
      <c r="D8" s="17"/>
      <c r="E8" s="17"/>
      <c r="F8" s="17">
        <f t="shared" ref="F8:F10" si="0">F7-D8+E8</f>
        <v>0</v>
      </c>
    </row>
    <row r="9" ht="15.75" spans="1:6">
      <c r="A9" s="17"/>
      <c r="B9" s="17"/>
      <c r="C9" s="17"/>
      <c r="D9" s="17"/>
      <c r="E9" s="17"/>
      <c r="F9" s="17">
        <f t="shared" si="0"/>
        <v>0</v>
      </c>
    </row>
    <row r="10" ht="18.75" spans="1:6">
      <c r="A10" s="7" t="s">
        <v>303</v>
      </c>
      <c r="B10" s="9"/>
      <c r="C10" s="358"/>
      <c r="D10" s="358"/>
      <c r="E10" s="358"/>
      <c r="F10" s="17">
        <f t="shared" si="0"/>
        <v>0</v>
      </c>
    </row>
  </sheetData>
  <mergeCells count="6">
    <mergeCell ref="A3:C3"/>
    <mergeCell ref="D3:F3"/>
    <mergeCell ref="A4:B4"/>
    <mergeCell ref="C4:F4"/>
    <mergeCell ref="A10:B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F101"/>
  <sheetViews>
    <sheetView workbookViewId="0">
      <selection activeCell="C6" sqref="C6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796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714</v>
      </c>
      <c r="D6" s="17"/>
      <c r="E6" s="17"/>
      <c r="F6" s="17">
        <f>E6-D6</f>
        <v>0</v>
      </c>
    </row>
    <row r="7" ht="15.75" spans="1:6">
      <c r="A7" s="17"/>
      <c r="B7" s="17"/>
      <c r="C7" s="17"/>
      <c r="D7" s="17"/>
      <c r="E7" s="17"/>
      <c r="F7" s="17">
        <f>F6-D7+E7</f>
        <v>0</v>
      </c>
    </row>
    <row r="8" ht="15.75" spans="1:6">
      <c r="A8" s="17"/>
      <c r="B8" s="17"/>
      <c r="C8" s="17"/>
      <c r="D8" s="17"/>
      <c r="E8" s="17"/>
      <c r="F8" s="17">
        <f t="shared" ref="F8:F71" si="0">F7-D8+E8</f>
        <v>0</v>
      </c>
    </row>
    <row r="9" ht="15.75" spans="1:6">
      <c r="A9" s="17"/>
      <c r="B9" s="17"/>
      <c r="C9" s="17"/>
      <c r="D9" s="17"/>
      <c r="E9" s="17"/>
      <c r="F9" s="17">
        <f t="shared" si="0"/>
        <v>0</v>
      </c>
    </row>
    <row r="10" ht="15.75" spans="1:6">
      <c r="A10" s="17"/>
      <c r="B10" s="17"/>
      <c r="C10" s="17"/>
      <c r="D10" s="17"/>
      <c r="E10" s="17"/>
      <c r="F10" s="17">
        <f t="shared" si="0"/>
        <v>0</v>
      </c>
    </row>
    <row r="11" ht="15.75" spans="1:6">
      <c r="A11" s="17"/>
      <c r="B11" s="17"/>
      <c r="C11" s="17"/>
      <c r="D11" s="17"/>
      <c r="E11" s="17"/>
      <c r="F11" s="17">
        <f t="shared" si="0"/>
        <v>0</v>
      </c>
    </row>
    <row r="12" ht="15.75" spans="1:6">
      <c r="A12" s="17"/>
      <c r="B12" s="17"/>
      <c r="C12" s="17"/>
      <c r="D12" s="17"/>
      <c r="E12" s="17"/>
      <c r="F12" s="17">
        <f t="shared" si="0"/>
        <v>0</v>
      </c>
    </row>
    <row r="13" ht="15.75" spans="1:6">
      <c r="A13" s="17"/>
      <c r="B13" s="17"/>
      <c r="C13" s="17"/>
      <c r="D13" s="17"/>
      <c r="E13" s="17"/>
      <c r="F13" s="17">
        <f t="shared" si="0"/>
        <v>0</v>
      </c>
    </row>
    <row r="14" ht="15.75" spans="1:6">
      <c r="A14" s="17"/>
      <c r="B14" s="17"/>
      <c r="C14" s="17"/>
      <c r="D14" s="17"/>
      <c r="E14" s="17"/>
      <c r="F14" s="17">
        <f t="shared" si="0"/>
        <v>0</v>
      </c>
    </row>
    <row r="15" ht="15.75" spans="1:6">
      <c r="A15" s="17"/>
      <c r="B15" s="17"/>
      <c r="C15" s="17"/>
      <c r="D15" s="17"/>
      <c r="E15" s="17"/>
      <c r="F15" s="17">
        <f t="shared" si="0"/>
        <v>0</v>
      </c>
    </row>
    <row r="16" ht="15.75" spans="1:6">
      <c r="A16" s="17"/>
      <c r="B16" s="17"/>
      <c r="C16" s="17"/>
      <c r="D16" s="17"/>
      <c r="E16" s="17"/>
      <c r="F16" s="17">
        <f t="shared" si="0"/>
        <v>0</v>
      </c>
    </row>
    <row r="17" ht="15.75" spans="1:6">
      <c r="A17" s="17"/>
      <c r="B17" s="17"/>
      <c r="C17" s="17"/>
      <c r="D17" s="17"/>
      <c r="E17" s="17"/>
      <c r="F17" s="17">
        <f t="shared" si="0"/>
        <v>0</v>
      </c>
    </row>
    <row r="18" ht="15.75" spans="1:6">
      <c r="A18" s="17"/>
      <c r="B18" s="17"/>
      <c r="C18" s="17"/>
      <c r="D18" s="17"/>
      <c r="E18" s="17"/>
      <c r="F18" s="17">
        <f t="shared" si="0"/>
        <v>0</v>
      </c>
    </row>
    <row r="19" ht="15.75" spans="1:6">
      <c r="A19" s="17"/>
      <c r="B19" s="17"/>
      <c r="C19" s="17"/>
      <c r="D19" s="17"/>
      <c r="E19" s="17"/>
      <c r="F19" s="17">
        <f t="shared" si="0"/>
        <v>0</v>
      </c>
    </row>
    <row r="20" ht="15.75" spans="1:6">
      <c r="A20" s="17"/>
      <c r="B20" s="17"/>
      <c r="C20" s="17"/>
      <c r="D20" s="17"/>
      <c r="E20" s="17"/>
      <c r="F20" s="17">
        <f t="shared" si="0"/>
        <v>0</v>
      </c>
    </row>
    <row r="21" ht="15.75" spans="1:6">
      <c r="A21" s="17"/>
      <c r="B21" s="17"/>
      <c r="C21" s="17"/>
      <c r="D21" s="17"/>
      <c r="E21" s="17"/>
      <c r="F21" s="17">
        <f t="shared" si="0"/>
        <v>0</v>
      </c>
    </row>
    <row r="22" ht="15.75" spans="1:6">
      <c r="A22" s="17"/>
      <c r="B22" s="17"/>
      <c r="C22" s="17"/>
      <c r="D22" s="17"/>
      <c r="E22" s="17"/>
      <c r="F22" s="17">
        <f t="shared" si="0"/>
        <v>0</v>
      </c>
    </row>
    <row r="23" ht="15.75" spans="1:6">
      <c r="A23" s="17"/>
      <c r="B23" s="17"/>
      <c r="C23" s="17"/>
      <c r="D23" s="17"/>
      <c r="E23" s="17"/>
      <c r="F23" s="17">
        <f t="shared" si="0"/>
        <v>0</v>
      </c>
    </row>
    <row r="24" ht="15.75" spans="1:6">
      <c r="A24" s="17"/>
      <c r="B24" s="17"/>
      <c r="C24" s="17"/>
      <c r="D24" s="17"/>
      <c r="E24" s="17"/>
      <c r="F24" s="17">
        <f t="shared" si="0"/>
        <v>0</v>
      </c>
    </row>
    <row r="25" ht="15.75" spans="1:6">
      <c r="A25" s="17"/>
      <c r="B25" s="17"/>
      <c r="C25" s="17"/>
      <c r="D25" s="17"/>
      <c r="E25" s="17"/>
      <c r="F25" s="17">
        <f t="shared" si="0"/>
        <v>0</v>
      </c>
    </row>
    <row r="26" ht="15.75" spans="1:6">
      <c r="A26" s="17"/>
      <c r="B26" s="17"/>
      <c r="C26" s="17"/>
      <c r="D26" s="17"/>
      <c r="E26" s="17"/>
      <c r="F26" s="17">
        <f t="shared" si="0"/>
        <v>0</v>
      </c>
    </row>
    <row r="27" ht="15.75" spans="1:6">
      <c r="A27" s="17"/>
      <c r="B27" s="17"/>
      <c r="C27" s="17"/>
      <c r="D27" s="17"/>
      <c r="E27" s="17"/>
      <c r="F27" s="17">
        <f t="shared" si="0"/>
        <v>0</v>
      </c>
    </row>
    <row r="28" ht="15.75" spans="1:6">
      <c r="A28" s="17"/>
      <c r="B28" s="17"/>
      <c r="C28" s="17"/>
      <c r="D28" s="17"/>
      <c r="E28" s="17"/>
      <c r="F28" s="17">
        <f t="shared" si="0"/>
        <v>0</v>
      </c>
    </row>
    <row r="29" ht="15.75" spans="1:6">
      <c r="A29" s="17"/>
      <c r="B29" s="17"/>
      <c r="C29" s="17"/>
      <c r="D29" s="17"/>
      <c r="E29" s="17"/>
      <c r="F29" s="17">
        <f t="shared" si="0"/>
        <v>0</v>
      </c>
    </row>
    <row r="30" ht="15.75" spans="1:6">
      <c r="A30" s="17"/>
      <c r="B30" s="17"/>
      <c r="C30" s="17"/>
      <c r="D30" s="17"/>
      <c r="E30" s="17"/>
      <c r="F30" s="17">
        <f t="shared" si="0"/>
        <v>0</v>
      </c>
    </row>
    <row r="31" ht="15.75" spans="1:6">
      <c r="A31" s="17"/>
      <c r="B31" s="17"/>
      <c r="C31" s="17"/>
      <c r="D31" s="17"/>
      <c r="E31" s="17"/>
      <c r="F31" s="17">
        <f t="shared" si="0"/>
        <v>0</v>
      </c>
    </row>
    <row r="32" ht="15.75" spans="1:6">
      <c r="A32" s="17"/>
      <c r="B32" s="17"/>
      <c r="C32" s="17"/>
      <c r="D32" s="17"/>
      <c r="E32" s="17"/>
      <c r="F32" s="17">
        <f t="shared" si="0"/>
        <v>0</v>
      </c>
    </row>
    <row r="33" ht="15.75" spans="1:6">
      <c r="A33" s="17"/>
      <c r="B33" s="17"/>
      <c r="C33" s="17"/>
      <c r="D33" s="17"/>
      <c r="E33" s="17"/>
      <c r="F33" s="17">
        <f t="shared" si="0"/>
        <v>0</v>
      </c>
    </row>
    <row r="34" ht="15.75" spans="1:6">
      <c r="A34" s="17"/>
      <c r="B34" s="17"/>
      <c r="C34" s="17"/>
      <c r="D34" s="17"/>
      <c r="E34" s="17"/>
      <c r="F34" s="17">
        <f t="shared" si="0"/>
        <v>0</v>
      </c>
    </row>
    <row r="35" ht="15.75" spans="1:6">
      <c r="A35" s="17"/>
      <c r="B35" s="17"/>
      <c r="C35" s="17"/>
      <c r="D35" s="17"/>
      <c r="E35" s="17"/>
      <c r="F35" s="17">
        <f t="shared" si="0"/>
        <v>0</v>
      </c>
    </row>
    <row r="36" ht="15.75" spans="1:6">
      <c r="A36" s="17"/>
      <c r="B36" s="17"/>
      <c r="C36" s="17"/>
      <c r="D36" s="17"/>
      <c r="E36" s="17"/>
      <c r="F36" s="17">
        <f t="shared" si="0"/>
        <v>0</v>
      </c>
    </row>
    <row r="37" ht="15.75" spans="1:6">
      <c r="A37" s="17"/>
      <c r="B37" s="17"/>
      <c r="C37" s="17"/>
      <c r="D37" s="17"/>
      <c r="E37" s="17"/>
      <c r="F37" s="17">
        <f t="shared" si="0"/>
        <v>0</v>
      </c>
    </row>
    <row r="38" ht="15.75" spans="1:6">
      <c r="A38" s="17"/>
      <c r="B38" s="17"/>
      <c r="C38" s="17"/>
      <c r="D38" s="17"/>
      <c r="E38" s="17"/>
      <c r="F38" s="17">
        <f t="shared" si="0"/>
        <v>0</v>
      </c>
    </row>
    <row r="39" ht="15.75" spans="1:6">
      <c r="A39" s="17"/>
      <c r="B39" s="17"/>
      <c r="C39" s="17"/>
      <c r="D39" s="17"/>
      <c r="E39" s="17"/>
      <c r="F39" s="17">
        <f t="shared" si="0"/>
        <v>0</v>
      </c>
    </row>
    <row r="40" ht="15.75" spans="1:6">
      <c r="A40" s="17"/>
      <c r="B40" s="17"/>
      <c r="C40" s="17"/>
      <c r="D40" s="17"/>
      <c r="E40" s="17"/>
      <c r="F40" s="17">
        <f t="shared" si="0"/>
        <v>0</v>
      </c>
    </row>
    <row r="41" ht="15.75" spans="1:6">
      <c r="A41" s="17"/>
      <c r="B41" s="17"/>
      <c r="C41" s="17"/>
      <c r="D41" s="17"/>
      <c r="E41" s="17"/>
      <c r="F41" s="17">
        <f t="shared" si="0"/>
        <v>0</v>
      </c>
    </row>
    <row r="42" ht="15.75" spans="1:6">
      <c r="A42" s="17"/>
      <c r="B42" s="17"/>
      <c r="C42" s="17"/>
      <c r="D42" s="17"/>
      <c r="E42" s="17"/>
      <c r="F42" s="17">
        <f t="shared" si="0"/>
        <v>0</v>
      </c>
    </row>
    <row r="43" ht="15.75" spans="1:6">
      <c r="A43" s="17"/>
      <c r="B43" s="17"/>
      <c r="C43" s="17"/>
      <c r="D43" s="17"/>
      <c r="E43" s="17"/>
      <c r="F43" s="17">
        <f t="shared" si="0"/>
        <v>0</v>
      </c>
    </row>
    <row r="44" ht="15.75" spans="1:6">
      <c r="A44" s="17"/>
      <c r="B44" s="17"/>
      <c r="C44" s="17"/>
      <c r="D44" s="17"/>
      <c r="E44" s="17"/>
      <c r="F44" s="17">
        <f t="shared" si="0"/>
        <v>0</v>
      </c>
    </row>
    <row r="45" ht="15.75" spans="1:6">
      <c r="A45" s="17"/>
      <c r="B45" s="17"/>
      <c r="C45" s="17"/>
      <c r="D45" s="17"/>
      <c r="E45" s="17"/>
      <c r="F45" s="17">
        <f t="shared" si="0"/>
        <v>0</v>
      </c>
    </row>
    <row r="46" ht="15.75" spans="1:6">
      <c r="A46" s="17"/>
      <c r="B46" s="17"/>
      <c r="C46" s="17"/>
      <c r="D46" s="17"/>
      <c r="E46" s="17"/>
      <c r="F46" s="17">
        <f t="shared" si="0"/>
        <v>0</v>
      </c>
    </row>
    <row r="47" ht="15.75" spans="1:6">
      <c r="A47" s="17"/>
      <c r="B47" s="17"/>
      <c r="C47" s="17"/>
      <c r="D47" s="17"/>
      <c r="E47" s="17"/>
      <c r="F47" s="17">
        <f t="shared" si="0"/>
        <v>0</v>
      </c>
    </row>
    <row r="48" ht="15.75" spans="1:6">
      <c r="A48" s="17"/>
      <c r="B48" s="17"/>
      <c r="C48" s="17"/>
      <c r="D48" s="17"/>
      <c r="E48" s="17"/>
      <c r="F48" s="17">
        <f t="shared" si="0"/>
        <v>0</v>
      </c>
    </row>
    <row r="49" ht="15.75" spans="1:6">
      <c r="A49" s="17"/>
      <c r="B49" s="17"/>
      <c r="C49" s="17"/>
      <c r="D49" s="17"/>
      <c r="E49" s="17"/>
      <c r="F49" s="17">
        <f t="shared" si="0"/>
        <v>0</v>
      </c>
    </row>
    <row r="50" ht="15.75" spans="1:6">
      <c r="A50" s="17"/>
      <c r="B50" s="17"/>
      <c r="C50" s="17"/>
      <c r="D50" s="17"/>
      <c r="E50" s="17"/>
      <c r="F50" s="17">
        <f t="shared" si="0"/>
        <v>0</v>
      </c>
    </row>
    <row r="51" ht="15.75" spans="1:6">
      <c r="A51" s="17"/>
      <c r="B51" s="17"/>
      <c r="C51" s="17"/>
      <c r="D51" s="17"/>
      <c r="E51" s="17"/>
      <c r="F51" s="17">
        <f t="shared" si="0"/>
        <v>0</v>
      </c>
    </row>
    <row r="52" ht="15.75" spans="1:6">
      <c r="A52" s="17"/>
      <c r="B52" s="17"/>
      <c r="C52" s="17"/>
      <c r="D52" s="17"/>
      <c r="E52" s="17"/>
      <c r="F52" s="17">
        <f t="shared" si="0"/>
        <v>0</v>
      </c>
    </row>
    <row r="53" ht="15.75" spans="1:6">
      <c r="A53" s="17"/>
      <c r="B53" s="17"/>
      <c r="C53" s="17"/>
      <c r="D53" s="17"/>
      <c r="E53" s="17"/>
      <c r="F53" s="17">
        <f t="shared" si="0"/>
        <v>0</v>
      </c>
    </row>
    <row r="54" ht="15.75" spans="1:6">
      <c r="A54" s="17"/>
      <c r="B54" s="17"/>
      <c r="C54" s="17"/>
      <c r="D54" s="17"/>
      <c r="E54" s="17"/>
      <c r="F54" s="17">
        <f t="shared" si="0"/>
        <v>0</v>
      </c>
    </row>
    <row r="55" ht="15.75" spans="1:6">
      <c r="A55" s="17"/>
      <c r="B55" s="17"/>
      <c r="C55" s="17"/>
      <c r="D55" s="17"/>
      <c r="E55" s="17"/>
      <c r="F55" s="17">
        <f t="shared" si="0"/>
        <v>0</v>
      </c>
    </row>
    <row r="56" ht="15.75" spans="1:6">
      <c r="A56" s="17"/>
      <c r="B56" s="17"/>
      <c r="C56" s="17"/>
      <c r="D56" s="17"/>
      <c r="E56" s="17"/>
      <c r="F56" s="17">
        <f t="shared" si="0"/>
        <v>0</v>
      </c>
    </row>
    <row r="57" ht="15.75" spans="1:6">
      <c r="A57" s="17"/>
      <c r="B57" s="17"/>
      <c r="C57" s="17"/>
      <c r="D57" s="17"/>
      <c r="E57" s="17"/>
      <c r="F57" s="17">
        <f t="shared" si="0"/>
        <v>0</v>
      </c>
    </row>
    <row r="58" ht="15.75" spans="1:6">
      <c r="A58" s="17"/>
      <c r="B58" s="17"/>
      <c r="C58" s="17"/>
      <c r="D58" s="17"/>
      <c r="E58" s="17"/>
      <c r="F58" s="17">
        <f t="shared" si="0"/>
        <v>0</v>
      </c>
    </row>
    <row r="59" ht="15.75" spans="1:6">
      <c r="A59" s="17"/>
      <c r="B59" s="17"/>
      <c r="C59" s="17"/>
      <c r="D59" s="17"/>
      <c r="E59" s="17"/>
      <c r="F59" s="17">
        <f t="shared" si="0"/>
        <v>0</v>
      </c>
    </row>
    <row r="60" ht="15.75" spans="1:6">
      <c r="A60" s="17"/>
      <c r="B60" s="17"/>
      <c r="C60" s="17"/>
      <c r="D60" s="17"/>
      <c r="E60" s="17"/>
      <c r="F60" s="17">
        <f t="shared" si="0"/>
        <v>0</v>
      </c>
    </row>
    <row r="61" ht="15.75" spans="1:6">
      <c r="A61" s="17"/>
      <c r="B61" s="17"/>
      <c r="C61" s="17"/>
      <c r="D61" s="17"/>
      <c r="E61" s="17"/>
      <c r="F61" s="17">
        <f t="shared" si="0"/>
        <v>0</v>
      </c>
    </row>
    <row r="62" ht="15.75" spans="1:6">
      <c r="A62" s="17"/>
      <c r="B62" s="17"/>
      <c r="C62" s="17"/>
      <c r="D62" s="17"/>
      <c r="E62" s="17"/>
      <c r="F62" s="17">
        <f t="shared" si="0"/>
        <v>0</v>
      </c>
    </row>
    <row r="63" ht="15.75" spans="1:6">
      <c r="A63" s="17"/>
      <c r="B63" s="17"/>
      <c r="C63" s="17"/>
      <c r="D63" s="17"/>
      <c r="E63" s="17"/>
      <c r="F63" s="17">
        <f t="shared" si="0"/>
        <v>0</v>
      </c>
    </row>
    <row r="64" ht="15.75" spans="1:6">
      <c r="A64" s="17"/>
      <c r="B64" s="17"/>
      <c r="C64" s="17"/>
      <c r="D64" s="17"/>
      <c r="E64" s="17"/>
      <c r="F64" s="17">
        <f t="shared" si="0"/>
        <v>0</v>
      </c>
    </row>
    <row r="65" ht="15.75" spans="1:6">
      <c r="A65" s="17"/>
      <c r="B65" s="17"/>
      <c r="C65" s="17"/>
      <c r="D65" s="17"/>
      <c r="E65" s="17"/>
      <c r="F65" s="17">
        <f t="shared" si="0"/>
        <v>0</v>
      </c>
    </row>
    <row r="66" ht="15.75" spans="1:6">
      <c r="A66" s="17"/>
      <c r="B66" s="17"/>
      <c r="C66" s="17"/>
      <c r="D66" s="17"/>
      <c r="E66" s="17"/>
      <c r="F66" s="17">
        <f t="shared" si="0"/>
        <v>0</v>
      </c>
    </row>
    <row r="67" ht="15.75" spans="1:6">
      <c r="A67" s="17"/>
      <c r="B67" s="17"/>
      <c r="C67" s="17"/>
      <c r="D67" s="17"/>
      <c r="E67" s="17"/>
      <c r="F67" s="17">
        <f t="shared" si="0"/>
        <v>0</v>
      </c>
    </row>
    <row r="68" ht="15.75" spans="1:6">
      <c r="A68" s="17"/>
      <c r="B68" s="17"/>
      <c r="C68" s="17"/>
      <c r="D68" s="17"/>
      <c r="E68" s="17"/>
      <c r="F68" s="17">
        <f t="shared" si="0"/>
        <v>0</v>
      </c>
    </row>
    <row r="69" ht="15.75" spans="1:6">
      <c r="A69" s="17"/>
      <c r="B69" s="17"/>
      <c r="C69" s="17"/>
      <c r="D69" s="17"/>
      <c r="E69" s="17"/>
      <c r="F69" s="17">
        <f t="shared" si="0"/>
        <v>0</v>
      </c>
    </row>
    <row r="70" ht="15.75" spans="1:6">
      <c r="A70" s="17"/>
      <c r="B70" s="17"/>
      <c r="C70" s="17"/>
      <c r="D70" s="17"/>
      <c r="E70" s="17"/>
      <c r="F70" s="17">
        <f t="shared" si="0"/>
        <v>0</v>
      </c>
    </row>
    <row r="71" ht="15.75" spans="1:6">
      <c r="A71" s="17"/>
      <c r="B71" s="17"/>
      <c r="C71" s="17"/>
      <c r="D71" s="17"/>
      <c r="E71" s="17"/>
      <c r="F71" s="17">
        <f t="shared" si="0"/>
        <v>0</v>
      </c>
    </row>
    <row r="72" ht="15.75" spans="1:6">
      <c r="A72" s="17"/>
      <c r="B72" s="17"/>
      <c r="C72" s="17"/>
      <c r="D72" s="17"/>
      <c r="E72" s="17"/>
      <c r="F72" s="17">
        <f t="shared" ref="F72:F101" si="1">F71-D72+E72</f>
        <v>0</v>
      </c>
    </row>
    <row r="73" ht="15.75" spans="1:6">
      <c r="A73" s="17"/>
      <c r="B73" s="17"/>
      <c r="C73" s="17"/>
      <c r="D73" s="17"/>
      <c r="E73" s="17"/>
      <c r="F73" s="17">
        <f t="shared" si="1"/>
        <v>0</v>
      </c>
    </row>
    <row r="74" ht="15.75" spans="1:6">
      <c r="A74" s="17"/>
      <c r="B74" s="17"/>
      <c r="C74" s="17"/>
      <c r="D74" s="17"/>
      <c r="E74" s="17"/>
      <c r="F74" s="17">
        <f t="shared" si="1"/>
        <v>0</v>
      </c>
    </row>
    <row r="75" ht="15.75" spans="1:6">
      <c r="A75" s="17"/>
      <c r="B75" s="17"/>
      <c r="C75" s="17"/>
      <c r="D75" s="17"/>
      <c r="E75" s="17"/>
      <c r="F75" s="17">
        <f t="shared" si="1"/>
        <v>0</v>
      </c>
    </row>
    <row r="76" ht="15.75" spans="1:6">
      <c r="A76" s="17"/>
      <c r="B76" s="17"/>
      <c r="C76" s="17"/>
      <c r="D76" s="17"/>
      <c r="E76" s="17"/>
      <c r="F76" s="17">
        <f t="shared" si="1"/>
        <v>0</v>
      </c>
    </row>
    <row r="77" ht="15.75" spans="1:6">
      <c r="A77" s="17"/>
      <c r="B77" s="17"/>
      <c r="C77" s="17"/>
      <c r="D77" s="17"/>
      <c r="E77" s="17"/>
      <c r="F77" s="17">
        <f t="shared" si="1"/>
        <v>0</v>
      </c>
    </row>
    <row r="78" ht="15.75" spans="1:6">
      <c r="A78" s="17"/>
      <c r="B78" s="17"/>
      <c r="C78" s="17"/>
      <c r="D78" s="17"/>
      <c r="E78" s="17"/>
      <c r="F78" s="17">
        <f t="shared" si="1"/>
        <v>0</v>
      </c>
    </row>
    <row r="79" ht="15.75" spans="1:6">
      <c r="A79" s="17"/>
      <c r="B79" s="17"/>
      <c r="C79" s="17"/>
      <c r="D79" s="17"/>
      <c r="E79" s="17"/>
      <c r="F79" s="17">
        <f t="shared" si="1"/>
        <v>0</v>
      </c>
    </row>
    <row r="80" ht="15.75" spans="1:6">
      <c r="A80" s="17"/>
      <c r="B80" s="17"/>
      <c r="C80" s="17"/>
      <c r="D80" s="17"/>
      <c r="E80" s="17"/>
      <c r="F80" s="17">
        <f t="shared" si="1"/>
        <v>0</v>
      </c>
    </row>
    <row r="81" ht="15.75" spans="1:6">
      <c r="A81" s="17"/>
      <c r="B81" s="17"/>
      <c r="C81" s="17"/>
      <c r="D81" s="17"/>
      <c r="E81" s="17"/>
      <c r="F81" s="17">
        <f t="shared" si="1"/>
        <v>0</v>
      </c>
    </row>
    <row r="82" ht="15.75" spans="1:6">
      <c r="A82" s="17"/>
      <c r="B82" s="17"/>
      <c r="C82" s="17"/>
      <c r="D82" s="17"/>
      <c r="E82" s="17"/>
      <c r="F82" s="17">
        <f t="shared" si="1"/>
        <v>0</v>
      </c>
    </row>
    <row r="83" ht="15.75" spans="1:6">
      <c r="A83" s="17"/>
      <c r="B83" s="17"/>
      <c r="C83" s="17"/>
      <c r="D83" s="17"/>
      <c r="E83" s="17"/>
      <c r="F83" s="17">
        <f t="shared" si="1"/>
        <v>0</v>
      </c>
    </row>
    <row r="84" ht="15.75" spans="1:6">
      <c r="A84" s="17"/>
      <c r="B84" s="17"/>
      <c r="C84" s="17"/>
      <c r="D84" s="17"/>
      <c r="E84" s="17"/>
      <c r="F84" s="17">
        <f t="shared" si="1"/>
        <v>0</v>
      </c>
    </row>
    <row r="85" ht="15.75" spans="1:6">
      <c r="A85" s="17"/>
      <c r="B85" s="17"/>
      <c r="C85" s="17"/>
      <c r="D85" s="17"/>
      <c r="E85" s="17"/>
      <c r="F85" s="17">
        <f t="shared" si="1"/>
        <v>0</v>
      </c>
    </row>
    <row r="86" ht="15.75" spans="1:6">
      <c r="A86" s="17"/>
      <c r="B86" s="17"/>
      <c r="C86" s="17"/>
      <c r="D86" s="17"/>
      <c r="E86" s="17"/>
      <c r="F86" s="17">
        <f t="shared" si="1"/>
        <v>0</v>
      </c>
    </row>
    <row r="87" ht="15.75" spans="1:6">
      <c r="A87" s="17"/>
      <c r="B87" s="17"/>
      <c r="C87" s="17"/>
      <c r="D87" s="17"/>
      <c r="E87" s="17"/>
      <c r="F87" s="17">
        <f t="shared" si="1"/>
        <v>0</v>
      </c>
    </row>
    <row r="88" ht="15.75" spans="1:6">
      <c r="A88" s="17"/>
      <c r="B88" s="17"/>
      <c r="C88" s="17"/>
      <c r="D88" s="17"/>
      <c r="E88" s="17"/>
      <c r="F88" s="17">
        <f t="shared" si="1"/>
        <v>0</v>
      </c>
    </row>
    <row r="89" ht="15.75" spans="1:6">
      <c r="A89" s="17"/>
      <c r="B89" s="17"/>
      <c r="C89" s="17"/>
      <c r="D89" s="17"/>
      <c r="E89" s="17"/>
      <c r="F89" s="17">
        <f t="shared" si="1"/>
        <v>0</v>
      </c>
    </row>
    <row r="90" ht="15.75" spans="1:6">
      <c r="A90" s="17"/>
      <c r="B90" s="17"/>
      <c r="C90" s="17"/>
      <c r="D90" s="17"/>
      <c r="E90" s="17"/>
      <c r="F90" s="17">
        <f t="shared" si="1"/>
        <v>0</v>
      </c>
    </row>
    <row r="91" ht="15.75" spans="1:6">
      <c r="A91" s="17"/>
      <c r="B91" s="17"/>
      <c r="C91" s="17"/>
      <c r="D91" s="17"/>
      <c r="E91" s="17"/>
      <c r="F91" s="17">
        <f t="shared" si="1"/>
        <v>0</v>
      </c>
    </row>
    <row r="92" ht="15.75" spans="1:6">
      <c r="A92" s="17"/>
      <c r="B92" s="17"/>
      <c r="C92" s="17"/>
      <c r="D92" s="17"/>
      <c r="E92" s="17"/>
      <c r="F92" s="17">
        <f t="shared" si="1"/>
        <v>0</v>
      </c>
    </row>
    <row r="93" ht="15.75" spans="1:6">
      <c r="A93" s="17"/>
      <c r="B93" s="17"/>
      <c r="C93" s="17"/>
      <c r="D93" s="17"/>
      <c r="E93" s="17"/>
      <c r="F93" s="17">
        <f t="shared" si="1"/>
        <v>0</v>
      </c>
    </row>
    <row r="94" ht="15.75" spans="1:6">
      <c r="A94" s="17"/>
      <c r="B94" s="17"/>
      <c r="C94" s="17"/>
      <c r="D94" s="17"/>
      <c r="E94" s="17"/>
      <c r="F94" s="17">
        <f t="shared" si="1"/>
        <v>0</v>
      </c>
    </row>
    <row r="95" ht="15.75" spans="1:6">
      <c r="A95" s="17"/>
      <c r="B95" s="17"/>
      <c r="C95" s="17"/>
      <c r="D95" s="17"/>
      <c r="E95" s="17"/>
      <c r="F95" s="17">
        <f t="shared" si="1"/>
        <v>0</v>
      </c>
    </row>
    <row r="96" ht="15.75" spans="1:6">
      <c r="A96" s="17"/>
      <c r="B96" s="17"/>
      <c r="C96" s="17"/>
      <c r="D96" s="17"/>
      <c r="E96" s="17"/>
      <c r="F96" s="17">
        <f t="shared" si="1"/>
        <v>0</v>
      </c>
    </row>
    <row r="97" ht="15.75" spans="1:6">
      <c r="A97" s="17"/>
      <c r="B97" s="17"/>
      <c r="C97" s="17"/>
      <c r="D97" s="17"/>
      <c r="E97" s="17"/>
      <c r="F97" s="17">
        <f t="shared" si="1"/>
        <v>0</v>
      </c>
    </row>
    <row r="98" ht="15.75" spans="1:6">
      <c r="A98" s="17"/>
      <c r="B98" s="17"/>
      <c r="C98" s="17"/>
      <c r="D98" s="17"/>
      <c r="E98" s="17"/>
      <c r="F98" s="17">
        <f t="shared" si="1"/>
        <v>0</v>
      </c>
    </row>
    <row r="99" ht="15.75" spans="1:6">
      <c r="A99" s="17"/>
      <c r="B99" s="17"/>
      <c r="C99" s="17"/>
      <c r="D99" s="17"/>
      <c r="E99" s="17"/>
      <c r="F99" s="17">
        <f t="shared" si="1"/>
        <v>0</v>
      </c>
    </row>
    <row r="100" ht="15.75" spans="1:6">
      <c r="A100" s="17"/>
      <c r="B100" s="17"/>
      <c r="C100" s="17"/>
      <c r="D100" s="17"/>
      <c r="E100" s="17"/>
      <c r="F100" s="17">
        <f t="shared" si="1"/>
        <v>0</v>
      </c>
    </row>
    <row r="101" ht="18.75" spans="1:6">
      <c r="A101" s="7" t="s">
        <v>303</v>
      </c>
      <c r="B101" s="9"/>
      <c r="C101" s="358"/>
      <c r="D101" s="358"/>
      <c r="E101" s="358"/>
      <c r="F101" s="17">
        <f t="shared" si="1"/>
        <v>0</v>
      </c>
    </row>
  </sheetData>
  <mergeCells count="6">
    <mergeCell ref="A3:C3"/>
    <mergeCell ref="D3:F3"/>
    <mergeCell ref="A4:B4"/>
    <mergeCell ref="C4:F4"/>
    <mergeCell ref="A101:B101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4"/>
  <sheetViews>
    <sheetView workbookViewId="0">
      <selection activeCell="K10" sqref="K10"/>
    </sheetView>
  </sheetViews>
  <sheetFormatPr defaultColWidth="9" defaultRowHeight="15" outlineLevelCol="5"/>
  <cols>
    <col min="1" max="1" width="11.7142857142857" customWidth="1"/>
    <col min="2" max="2" width="9.28571428571429" customWidth="1"/>
    <col min="3" max="3" width="18.1428571428571" customWidth="1"/>
    <col min="4" max="4" width="18.5714285714286" customWidth="1"/>
    <col min="5" max="5" width="18.1428571428571" customWidth="1"/>
    <col min="6" max="6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797</v>
      </c>
      <c r="E3" s="11"/>
      <c r="F3" s="12"/>
    </row>
    <row r="4" ht="22.5" customHeight="1" spans="1:6">
      <c r="A4" s="13" t="s">
        <v>84</v>
      </c>
      <c r="B4" s="13"/>
      <c r="C4" s="14" t="s">
        <v>798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649</v>
      </c>
      <c r="B6" s="17" t="s">
        <v>799</v>
      </c>
      <c r="C6" s="17" t="s">
        <v>800</v>
      </c>
      <c r="D6" s="17"/>
      <c r="E6" s="17">
        <v>52100</v>
      </c>
      <c r="F6" s="17">
        <f>E6-D6</f>
        <v>52100</v>
      </c>
    </row>
    <row r="7" ht="15.75" spans="1:6">
      <c r="A7" s="18">
        <v>45540</v>
      </c>
      <c r="B7" s="17"/>
      <c r="C7" s="17" t="s">
        <v>801</v>
      </c>
      <c r="D7" s="17">
        <v>10000</v>
      </c>
      <c r="E7" s="17"/>
      <c r="F7" s="17">
        <f>F6-D7+E7</f>
        <v>42100</v>
      </c>
    </row>
    <row r="8" ht="15.75" spans="1:6">
      <c r="A8" s="17" t="s">
        <v>802</v>
      </c>
      <c r="B8" s="17"/>
      <c r="C8" s="17" t="s">
        <v>694</v>
      </c>
      <c r="D8" s="17">
        <v>10000</v>
      </c>
      <c r="E8" s="19"/>
      <c r="F8" s="17">
        <f t="shared" ref="F8:F14" si="0">F7-D8+E8</f>
        <v>32100</v>
      </c>
    </row>
    <row r="9" ht="15.75" spans="1:6">
      <c r="A9" s="17" t="s">
        <v>803</v>
      </c>
      <c r="B9" s="17"/>
      <c r="C9" s="17" t="s">
        <v>694</v>
      </c>
      <c r="D9" s="17">
        <v>10000</v>
      </c>
      <c r="E9" s="19"/>
      <c r="F9" s="17">
        <f t="shared" si="0"/>
        <v>22100</v>
      </c>
    </row>
    <row r="10" ht="15.75" spans="1:6">
      <c r="A10" s="17" t="s">
        <v>398</v>
      </c>
      <c r="B10" s="17" t="s">
        <v>804</v>
      </c>
      <c r="C10" s="17" t="s">
        <v>805</v>
      </c>
      <c r="D10" s="17"/>
      <c r="E10" s="19">
        <v>9700</v>
      </c>
      <c r="F10" s="17">
        <f t="shared" si="0"/>
        <v>31800</v>
      </c>
    </row>
    <row r="11" ht="15.75" spans="1:6">
      <c r="A11" s="17" t="s">
        <v>398</v>
      </c>
      <c r="B11" s="17"/>
      <c r="C11" s="17" t="s">
        <v>101</v>
      </c>
      <c r="D11" s="17">
        <v>20000</v>
      </c>
      <c r="E11" s="19"/>
      <c r="F11" s="17">
        <f t="shared" si="0"/>
        <v>11800</v>
      </c>
    </row>
    <row r="12" ht="15.75" spans="1:6">
      <c r="A12" s="17"/>
      <c r="B12" s="17"/>
      <c r="C12" s="17"/>
      <c r="D12" s="17"/>
      <c r="E12" s="19"/>
      <c r="F12" s="17">
        <f t="shared" si="0"/>
        <v>11800</v>
      </c>
    </row>
    <row r="13" ht="15.75" spans="1:6">
      <c r="A13" s="17"/>
      <c r="B13" s="17"/>
      <c r="C13" s="17"/>
      <c r="D13" s="17"/>
      <c r="E13" s="19"/>
      <c r="F13" s="17">
        <f t="shared" si="0"/>
        <v>11800</v>
      </c>
    </row>
    <row r="14" ht="18.75" spans="1:6">
      <c r="A14" s="7" t="s">
        <v>303</v>
      </c>
      <c r="B14" s="8"/>
      <c r="C14" s="8"/>
      <c r="D14" s="8"/>
      <c r="E14" s="9"/>
      <c r="F14" s="17">
        <f t="shared" si="0"/>
        <v>11800</v>
      </c>
    </row>
  </sheetData>
  <mergeCells count="6">
    <mergeCell ref="A3:C3"/>
    <mergeCell ref="D3:F3"/>
    <mergeCell ref="A4:B4"/>
    <mergeCell ref="C4:F4"/>
    <mergeCell ref="A14:E14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F11"/>
  <sheetViews>
    <sheetView workbookViewId="0">
      <selection activeCell="H11" sqref="H11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806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714</v>
      </c>
      <c r="D6" s="17"/>
      <c r="E6" s="17"/>
      <c r="F6" s="17">
        <f>E6-D6</f>
        <v>0</v>
      </c>
    </row>
    <row r="7" ht="15.75" spans="1:6">
      <c r="A7" s="17"/>
      <c r="B7" s="17"/>
      <c r="C7" s="17"/>
      <c r="D7" s="17"/>
      <c r="E7" s="17"/>
      <c r="F7" s="17">
        <f>F6-D7+E7</f>
        <v>0</v>
      </c>
    </row>
    <row r="8" ht="15.75" spans="1:6">
      <c r="A8" s="17"/>
      <c r="B8" s="17"/>
      <c r="C8" s="17"/>
      <c r="D8" s="17"/>
      <c r="E8" s="17"/>
      <c r="F8" s="17">
        <f t="shared" ref="F8:F11" si="0">F7-D8+E8</f>
        <v>0</v>
      </c>
    </row>
    <row r="9" ht="15.75" spans="1:6">
      <c r="A9" s="17"/>
      <c r="B9" s="17"/>
      <c r="C9" s="17"/>
      <c r="D9" s="17"/>
      <c r="E9" s="17"/>
      <c r="F9" s="17">
        <f t="shared" si="0"/>
        <v>0</v>
      </c>
    </row>
    <row r="10" ht="15.75" spans="1:6">
      <c r="A10" s="17"/>
      <c r="B10" s="17"/>
      <c r="C10" s="17"/>
      <c r="D10" s="17"/>
      <c r="E10" s="17"/>
      <c r="F10" s="17">
        <f t="shared" si="0"/>
        <v>0</v>
      </c>
    </row>
    <row r="11" ht="18.75" spans="1:6">
      <c r="A11" s="7" t="s">
        <v>303</v>
      </c>
      <c r="B11" s="9"/>
      <c r="C11" s="358"/>
      <c r="D11" s="358"/>
      <c r="E11" s="358"/>
      <c r="F11" s="17">
        <f t="shared" si="0"/>
        <v>0</v>
      </c>
    </row>
  </sheetData>
  <mergeCells count="6">
    <mergeCell ref="A3:C3"/>
    <mergeCell ref="D3:F3"/>
    <mergeCell ref="A4:B4"/>
    <mergeCell ref="C4:F4"/>
    <mergeCell ref="A11:B11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F10"/>
  <sheetViews>
    <sheetView workbookViewId="0">
      <selection activeCell="E7" sqref="E7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25</v>
      </c>
      <c r="E3" s="11"/>
      <c r="F3" s="12"/>
    </row>
    <row r="4" ht="22.5" customHeight="1" spans="1:6">
      <c r="A4" s="13" t="s">
        <v>84</v>
      </c>
      <c r="B4" s="13"/>
      <c r="C4" s="14" t="s">
        <v>807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808</v>
      </c>
      <c r="B6" s="17"/>
      <c r="C6" s="17" t="s">
        <v>772</v>
      </c>
      <c r="D6" s="17"/>
      <c r="E6" s="17">
        <v>10351</v>
      </c>
      <c r="F6" s="17">
        <f>E6-D6</f>
        <v>10351</v>
      </c>
    </row>
    <row r="7" ht="15.75" spans="1:6">
      <c r="A7" s="17"/>
      <c r="B7" s="17"/>
      <c r="C7" s="17"/>
      <c r="D7" s="17"/>
      <c r="E7" s="17"/>
      <c r="F7" s="17">
        <f>F6-D7+E7</f>
        <v>10351</v>
      </c>
    </row>
    <row r="8" ht="15.75" spans="1:6">
      <c r="A8" s="17"/>
      <c r="B8" s="17"/>
      <c r="C8" s="17"/>
      <c r="D8" s="17"/>
      <c r="E8" s="17"/>
      <c r="F8" s="17">
        <f t="shared" ref="F8:F10" si="0">F7-D8+E8</f>
        <v>10351</v>
      </c>
    </row>
    <row r="9" ht="15.75" spans="1:6">
      <c r="A9" s="17"/>
      <c r="B9" s="17"/>
      <c r="C9" s="17"/>
      <c r="D9" s="17"/>
      <c r="E9" s="17"/>
      <c r="F9" s="17">
        <f t="shared" si="0"/>
        <v>10351</v>
      </c>
    </row>
    <row r="10" ht="18.75" spans="1:6">
      <c r="A10" s="7" t="s">
        <v>303</v>
      </c>
      <c r="B10" s="9"/>
      <c r="C10" s="358"/>
      <c r="D10" s="358"/>
      <c r="E10" s="358"/>
      <c r="F10" s="17">
        <f t="shared" si="0"/>
        <v>10351</v>
      </c>
    </row>
  </sheetData>
  <mergeCells count="6">
    <mergeCell ref="A3:C3"/>
    <mergeCell ref="D3:F3"/>
    <mergeCell ref="A4:B4"/>
    <mergeCell ref="C4:F4"/>
    <mergeCell ref="A10:B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F34"/>
  <sheetViews>
    <sheetView workbookViewId="0">
      <selection activeCell="D37" sqref="D37"/>
    </sheetView>
  </sheetViews>
  <sheetFormatPr defaultColWidth="9" defaultRowHeight="15" outlineLevelCol="5"/>
  <cols>
    <col min="1" max="1" width="11.7142857142857" customWidth="1"/>
    <col min="2" max="2" width="11.1428571428571" customWidth="1"/>
    <col min="3" max="3" width="28.1428571428571" customWidth="1"/>
    <col min="4" max="4" width="14.1428571428571" customWidth="1"/>
    <col min="5" max="5" width="8.71428571428571" customWidth="1"/>
    <col min="6" max="6" width="12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26</v>
      </c>
      <c r="E3" s="11"/>
      <c r="F3" s="12"/>
    </row>
    <row r="4" ht="22.5" customHeight="1" spans="1:6">
      <c r="A4" s="13" t="s">
        <v>84</v>
      </c>
      <c r="B4" s="13"/>
      <c r="C4" s="14" t="s">
        <v>809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8.75" customHeight="1" spans="1:6">
      <c r="A6" s="102">
        <v>44571</v>
      </c>
      <c r="B6" s="93"/>
      <c r="C6" s="93" t="s">
        <v>810</v>
      </c>
      <c r="D6" s="93"/>
      <c r="E6" s="93">
        <v>270</v>
      </c>
      <c r="F6" s="93">
        <f>E6-D6</f>
        <v>270</v>
      </c>
    </row>
    <row r="7" ht="18.75" customHeight="1" spans="1:6">
      <c r="A7" s="102" t="s">
        <v>811</v>
      </c>
      <c r="B7" s="93">
        <v>306</v>
      </c>
      <c r="C7" s="93" t="s">
        <v>812</v>
      </c>
      <c r="D7" s="93"/>
      <c r="E7" s="93">
        <v>450</v>
      </c>
      <c r="F7" s="93">
        <f>E7-D7+F6</f>
        <v>720</v>
      </c>
    </row>
    <row r="8" ht="18.75" customHeight="1" spans="1:6">
      <c r="A8" s="102">
        <v>44960</v>
      </c>
      <c r="B8" s="93">
        <v>911</v>
      </c>
      <c r="C8" s="93" t="s">
        <v>813</v>
      </c>
      <c r="D8" s="93"/>
      <c r="E8" s="93">
        <v>1000</v>
      </c>
      <c r="F8" s="93">
        <f t="shared" ref="F8:F34" si="0">E8-D8+F7</f>
        <v>1720</v>
      </c>
    </row>
    <row r="9" ht="18.75" customHeight="1" spans="1:6">
      <c r="A9" s="93" t="s">
        <v>814</v>
      </c>
      <c r="B9" s="93">
        <v>1300</v>
      </c>
      <c r="C9" s="93" t="s">
        <v>815</v>
      </c>
      <c r="D9" s="93"/>
      <c r="E9" s="93">
        <v>10550</v>
      </c>
      <c r="F9" s="93">
        <f t="shared" si="0"/>
        <v>12270</v>
      </c>
    </row>
    <row r="10" ht="18.75" customHeight="1" spans="1:6">
      <c r="A10" s="102">
        <v>45020</v>
      </c>
      <c r="B10" s="93" t="s">
        <v>253</v>
      </c>
      <c r="C10" s="93" t="s">
        <v>157</v>
      </c>
      <c r="D10" s="93">
        <v>2000</v>
      </c>
      <c r="E10" s="93"/>
      <c r="F10" s="93">
        <f t="shared" si="0"/>
        <v>10270</v>
      </c>
    </row>
    <row r="11" ht="18.75" customHeight="1" spans="1:6">
      <c r="A11" s="102">
        <v>44931</v>
      </c>
      <c r="B11" s="93" t="s">
        <v>253</v>
      </c>
      <c r="C11" s="93" t="s">
        <v>157</v>
      </c>
      <c r="D11" s="93">
        <v>2000</v>
      </c>
      <c r="E11" s="93"/>
      <c r="F11" s="93">
        <f t="shared" si="0"/>
        <v>8270</v>
      </c>
    </row>
    <row r="12" ht="18.75" customHeight="1" spans="1:6">
      <c r="A12" s="102">
        <v>44931</v>
      </c>
      <c r="B12" s="93">
        <v>1740</v>
      </c>
      <c r="C12" s="93" t="s">
        <v>816</v>
      </c>
      <c r="D12" s="93"/>
      <c r="E12" s="93">
        <v>300</v>
      </c>
      <c r="F12" s="93">
        <f t="shared" si="0"/>
        <v>8570</v>
      </c>
    </row>
    <row r="13" ht="15.75" spans="1:6">
      <c r="A13" s="18">
        <v>45177</v>
      </c>
      <c r="B13" s="17" t="s">
        <v>817</v>
      </c>
      <c r="C13" s="17" t="s">
        <v>157</v>
      </c>
      <c r="D13" s="17">
        <v>100</v>
      </c>
      <c r="E13" s="17"/>
      <c r="F13" s="93">
        <f t="shared" si="0"/>
        <v>8470</v>
      </c>
    </row>
    <row r="14" ht="15.75" spans="1:6">
      <c r="A14" s="18">
        <v>45086</v>
      </c>
      <c r="B14" s="17" t="s">
        <v>818</v>
      </c>
      <c r="C14" s="17" t="s">
        <v>157</v>
      </c>
      <c r="D14" s="17">
        <v>1500</v>
      </c>
      <c r="E14" s="17"/>
      <c r="F14" s="93">
        <f t="shared" si="0"/>
        <v>6970</v>
      </c>
    </row>
    <row r="15" ht="15.75" spans="1:6">
      <c r="A15" s="18">
        <v>45148</v>
      </c>
      <c r="B15" s="17" t="s">
        <v>253</v>
      </c>
      <c r="C15" s="17" t="s">
        <v>157</v>
      </c>
      <c r="D15" s="17">
        <v>1500</v>
      </c>
      <c r="E15" s="17"/>
      <c r="F15" s="93">
        <f t="shared" si="0"/>
        <v>5470</v>
      </c>
    </row>
    <row r="16" ht="15.75" spans="1:6">
      <c r="A16" s="18">
        <v>44968</v>
      </c>
      <c r="B16" s="17" t="s">
        <v>819</v>
      </c>
      <c r="C16" s="17" t="s">
        <v>157</v>
      </c>
      <c r="D16" s="17">
        <v>1700</v>
      </c>
      <c r="E16" s="17"/>
      <c r="F16" s="93">
        <f t="shared" si="0"/>
        <v>3770</v>
      </c>
    </row>
    <row r="17" ht="15.75" spans="1:6">
      <c r="A17" s="17" t="s">
        <v>564</v>
      </c>
      <c r="B17" s="17" t="s">
        <v>820</v>
      </c>
      <c r="C17" s="17" t="s">
        <v>821</v>
      </c>
      <c r="D17" s="17"/>
      <c r="E17" s="17">
        <v>400</v>
      </c>
      <c r="F17" s="93">
        <f t="shared" si="0"/>
        <v>4170</v>
      </c>
    </row>
    <row r="18" ht="15.75" spans="1:6">
      <c r="A18" s="18">
        <v>45385</v>
      </c>
      <c r="B18" s="17" t="s">
        <v>253</v>
      </c>
      <c r="C18" s="17" t="s">
        <v>157</v>
      </c>
      <c r="D18" s="17">
        <v>400</v>
      </c>
      <c r="E18" s="17"/>
      <c r="F18" s="93">
        <f t="shared" si="0"/>
        <v>3770</v>
      </c>
    </row>
    <row r="19" ht="15.75" spans="1:6">
      <c r="A19" s="18">
        <v>45388</v>
      </c>
      <c r="B19" s="17" t="s">
        <v>822</v>
      </c>
      <c r="C19" s="17" t="s">
        <v>157</v>
      </c>
      <c r="D19" s="17">
        <v>1500</v>
      </c>
      <c r="E19" s="17"/>
      <c r="F19" s="93">
        <f t="shared" si="0"/>
        <v>2270</v>
      </c>
    </row>
    <row r="20" ht="15.75" spans="1:6">
      <c r="A20" s="18" t="s">
        <v>823</v>
      </c>
      <c r="B20" s="17" t="s">
        <v>824</v>
      </c>
      <c r="C20" s="17" t="s">
        <v>825</v>
      </c>
      <c r="D20" s="17"/>
      <c r="E20" s="17">
        <v>9500</v>
      </c>
      <c r="F20" s="93">
        <f t="shared" si="0"/>
        <v>11770</v>
      </c>
    </row>
    <row r="21" ht="15.75" spans="1:6">
      <c r="A21" s="18">
        <v>45300</v>
      </c>
      <c r="B21" s="17" t="s">
        <v>253</v>
      </c>
      <c r="C21" s="17" t="s">
        <v>157</v>
      </c>
      <c r="D21" s="17">
        <v>5000</v>
      </c>
      <c r="E21" s="17"/>
      <c r="F21" s="93">
        <f t="shared" si="0"/>
        <v>6770</v>
      </c>
    </row>
    <row r="22" ht="15.75" spans="1:6">
      <c r="A22" s="18">
        <v>45361</v>
      </c>
      <c r="B22" s="17" t="s">
        <v>253</v>
      </c>
      <c r="C22" s="17" t="s">
        <v>157</v>
      </c>
      <c r="D22" s="17">
        <v>3500</v>
      </c>
      <c r="E22" s="17"/>
      <c r="F22" s="93">
        <f t="shared" si="0"/>
        <v>3270</v>
      </c>
    </row>
    <row r="23" ht="15.75" spans="1:6">
      <c r="A23" s="18" t="s">
        <v>826</v>
      </c>
      <c r="B23" s="17" t="s">
        <v>827</v>
      </c>
      <c r="C23" s="17" t="s">
        <v>828</v>
      </c>
      <c r="D23" s="17"/>
      <c r="E23" s="17">
        <v>600</v>
      </c>
      <c r="F23" s="93">
        <f t="shared" si="0"/>
        <v>3870</v>
      </c>
    </row>
    <row r="24" ht="15.75" spans="1:6">
      <c r="A24" s="18" t="s">
        <v>829</v>
      </c>
      <c r="B24" s="17" t="s">
        <v>830</v>
      </c>
      <c r="C24" s="17" t="s">
        <v>831</v>
      </c>
      <c r="D24" s="17"/>
      <c r="E24" s="17">
        <v>1700</v>
      </c>
      <c r="F24" s="93">
        <f t="shared" si="0"/>
        <v>5570</v>
      </c>
    </row>
    <row r="25" ht="15.75" spans="1:6">
      <c r="A25" s="18" t="s">
        <v>832</v>
      </c>
      <c r="B25" s="17"/>
      <c r="C25" s="17" t="s">
        <v>752</v>
      </c>
      <c r="D25" s="17">
        <v>1000</v>
      </c>
      <c r="E25" s="17"/>
      <c r="F25" s="93">
        <f t="shared" si="0"/>
        <v>4570</v>
      </c>
    </row>
    <row r="26" ht="15.75" spans="1:6">
      <c r="A26" s="17"/>
      <c r="B26" s="17"/>
      <c r="C26" s="17"/>
      <c r="D26" s="17"/>
      <c r="E26" s="17">
        <v>500</v>
      </c>
      <c r="F26" s="93">
        <f t="shared" si="0"/>
        <v>5070</v>
      </c>
    </row>
    <row r="27" ht="15.75" spans="1:6">
      <c r="A27" s="17"/>
      <c r="B27" s="19"/>
      <c r="C27" s="17" t="s">
        <v>157</v>
      </c>
      <c r="D27" s="17">
        <v>2000</v>
      </c>
      <c r="E27" s="17"/>
      <c r="F27" s="93">
        <f t="shared" si="0"/>
        <v>3070</v>
      </c>
    </row>
    <row r="28" ht="15.75" spans="1:6">
      <c r="A28" s="17"/>
      <c r="B28" s="19"/>
      <c r="C28" s="17" t="s">
        <v>752</v>
      </c>
      <c r="D28" s="17">
        <v>70</v>
      </c>
      <c r="E28" s="17"/>
      <c r="F28" s="93">
        <f t="shared" si="0"/>
        <v>3000</v>
      </c>
    </row>
    <row r="29" ht="15.75" spans="1:6">
      <c r="A29" s="18">
        <v>45781</v>
      </c>
      <c r="B29" s="19" t="s">
        <v>253</v>
      </c>
      <c r="C29" s="17" t="s">
        <v>157</v>
      </c>
      <c r="D29" s="17">
        <v>1500</v>
      </c>
      <c r="E29" s="17"/>
      <c r="F29" s="93">
        <f t="shared" si="0"/>
        <v>1500</v>
      </c>
    </row>
    <row r="30" ht="15.75" spans="1:6">
      <c r="A30" s="18">
        <v>45842</v>
      </c>
      <c r="B30" s="19" t="s">
        <v>833</v>
      </c>
      <c r="C30" s="17" t="s">
        <v>834</v>
      </c>
      <c r="D30" s="17"/>
      <c r="E30" s="17">
        <v>2075</v>
      </c>
      <c r="F30" s="93">
        <f t="shared" si="0"/>
        <v>3575</v>
      </c>
    </row>
    <row r="31" ht="15.75" spans="1:6">
      <c r="A31" s="18">
        <v>45753</v>
      </c>
      <c r="B31" s="19" t="s">
        <v>835</v>
      </c>
      <c r="C31" s="17" t="s">
        <v>821</v>
      </c>
      <c r="D31" s="17"/>
      <c r="E31" s="17">
        <v>200</v>
      </c>
      <c r="F31" s="93">
        <f t="shared" si="0"/>
        <v>3775</v>
      </c>
    </row>
    <row r="32" ht="15.75" spans="1:6">
      <c r="A32" s="18">
        <v>45753</v>
      </c>
      <c r="B32" s="19" t="s">
        <v>253</v>
      </c>
      <c r="C32" s="17" t="s">
        <v>157</v>
      </c>
      <c r="D32" s="17">
        <v>1000</v>
      </c>
      <c r="E32" s="17"/>
      <c r="F32" s="93">
        <f t="shared" si="0"/>
        <v>2775</v>
      </c>
    </row>
    <row r="33" ht="15.75" spans="1:6">
      <c r="A33" s="18">
        <v>45696</v>
      </c>
      <c r="B33" s="19" t="s">
        <v>253</v>
      </c>
      <c r="C33" s="17" t="s">
        <v>157</v>
      </c>
      <c r="D33" s="17">
        <v>1000</v>
      </c>
      <c r="E33" s="17"/>
      <c r="F33" s="93">
        <f t="shared" si="0"/>
        <v>1775</v>
      </c>
    </row>
    <row r="34" ht="18.75" spans="1:6">
      <c r="A34" s="7" t="s">
        <v>303</v>
      </c>
      <c r="B34" s="9"/>
      <c r="C34" s="358"/>
      <c r="D34" s="358"/>
      <c r="E34" s="358"/>
      <c r="F34" s="93">
        <f t="shared" si="0"/>
        <v>1775</v>
      </c>
    </row>
  </sheetData>
  <mergeCells count="6">
    <mergeCell ref="A3:C3"/>
    <mergeCell ref="D3:F3"/>
    <mergeCell ref="A4:B4"/>
    <mergeCell ref="C4:F4"/>
    <mergeCell ref="A34:B34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8"/>
  <sheetViews>
    <sheetView workbookViewId="0">
      <selection activeCell="G9" sqref="G9"/>
    </sheetView>
  </sheetViews>
  <sheetFormatPr defaultColWidth="9" defaultRowHeight="15" outlineLevelRow="7" outlineLevelCol="5"/>
  <cols>
    <col min="1" max="1" width="11.7142857142857" customWidth="1"/>
    <col min="2" max="2" width="11.2857142857143" customWidth="1"/>
    <col min="3" max="3" width="22" customWidth="1"/>
    <col min="4" max="4" width="13.1428571428571" customWidth="1"/>
    <col min="5" max="5" width="11" customWidth="1"/>
    <col min="6" max="6" width="15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28</v>
      </c>
      <c r="E3" s="11"/>
      <c r="F3" s="12"/>
    </row>
    <row r="4" ht="22.5" customHeight="1" spans="1:6">
      <c r="A4" s="13" t="s">
        <v>84</v>
      </c>
      <c r="B4" s="13"/>
      <c r="C4" s="14" t="s">
        <v>836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45203</v>
      </c>
      <c r="B6" s="17"/>
      <c r="C6" s="17" t="s">
        <v>772</v>
      </c>
      <c r="D6" s="17"/>
      <c r="E6" s="17">
        <v>100371</v>
      </c>
      <c r="F6" s="17">
        <f>E6-D6</f>
        <v>100371</v>
      </c>
    </row>
    <row r="7" ht="15.75" spans="1:6">
      <c r="A7" s="17"/>
      <c r="B7" s="17"/>
      <c r="C7" s="17"/>
      <c r="D7" s="17"/>
      <c r="E7" s="17"/>
      <c r="F7" s="17">
        <f t="shared" ref="F7:F8" si="0">E7-D7</f>
        <v>0</v>
      </c>
    </row>
    <row r="8" ht="18.75" spans="1:6">
      <c r="A8" s="7" t="s">
        <v>303</v>
      </c>
      <c r="B8" s="9"/>
      <c r="C8" s="358"/>
      <c r="D8" s="358"/>
      <c r="E8" s="358"/>
      <c r="F8" s="17">
        <f t="shared" si="0"/>
        <v>0</v>
      </c>
    </row>
  </sheetData>
  <mergeCells count="6">
    <mergeCell ref="A3:C3"/>
    <mergeCell ref="D3:F3"/>
    <mergeCell ref="A4:B4"/>
    <mergeCell ref="C4:F4"/>
    <mergeCell ref="A8:B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F10"/>
  <sheetViews>
    <sheetView workbookViewId="0">
      <selection activeCell="F11" sqref="F11"/>
    </sheetView>
  </sheetViews>
  <sheetFormatPr defaultColWidth="9" defaultRowHeight="15" outlineLevelCol="5"/>
  <cols>
    <col min="1" max="1" width="11.7142857142857" customWidth="1"/>
    <col min="2" max="2" width="11.2857142857143" customWidth="1"/>
    <col min="3" max="3" width="22" customWidth="1"/>
    <col min="4" max="4" width="13.1428571428571" customWidth="1"/>
    <col min="5" max="5" width="11" customWidth="1"/>
    <col min="6" max="6" width="15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27</v>
      </c>
      <c r="E3" s="11"/>
      <c r="F3" s="12"/>
    </row>
    <row r="4" ht="22.5" customHeight="1" spans="1:6">
      <c r="A4" s="13" t="s">
        <v>84</v>
      </c>
      <c r="B4" s="13"/>
      <c r="C4" s="14" t="s">
        <v>837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838</v>
      </c>
      <c r="B6" s="17"/>
      <c r="C6" s="17" t="s">
        <v>305</v>
      </c>
      <c r="D6" s="17"/>
      <c r="E6" s="17">
        <v>11250</v>
      </c>
      <c r="F6" s="17">
        <f>E6-D6</f>
        <v>11250</v>
      </c>
    </row>
    <row r="7" ht="15.75" spans="1:6">
      <c r="A7" s="17"/>
      <c r="B7" s="17"/>
      <c r="C7" s="17"/>
      <c r="D7" s="17"/>
      <c r="E7" s="17"/>
      <c r="F7" s="17">
        <f>F6-D7+E7</f>
        <v>11250</v>
      </c>
    </row>
    <row r="8" ht="15.75" spans="1:6">
      <c r="A8" s="17"/>
      <c r="B8" s="17"/>
      <c r="C8" s="17"/>
      <c r="D8" s="17"/>
      <c r="E8" s="17"/>
      <c r="F8" s="17">
        <f t="shared" ref="F8:F10" si="0">F7-D8+E8</f>
        <v>11250</v>
      </c>
    </row>
    <row r="9" ht="15.75" spans="1:6">
      <c r="A9" s="17"/>
      <c r="B9" s="17"/>
      <c r="C9" s="17"/>
      <c r="D9" s="17"/>
      <c r="E9" s="17"/>
      <c r="F9" s="17">
        <f t="shared" si="0"/>
        <v>11250</v>
      </c>
    </row>
    <row r="10" ht="18.75" spans="1:6">
      <c r="A10" s="7" t="s">
        <v>303</v>
      </c>
      <c r="B10" s="9"/>
      <c r="C10" s="358"/>
      <c r="D10" s="358"/>
      <c r="E10" s="358"/>
      <c r="F10" s="17">
        <f t="shared" si="0"/>
        <v>11250</v>
      </c>
    </row>
  </sheetData>
  <mergeCells count="6">
    <mergeCell ref="A3:C3"/>
    <mergeCell ref="D3:F3"/>
    <mergeCell ref="A4:B4"/>
    <mergeCell ref="C4:F4"/>
    <mergeCell ref="A10:B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F12"/>
  <sheetViews>
    <sheetView topLeftCell="A2" workbookViewId="0">
      <selection activeCell="D10" sqref="D10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29</v>
      </c>
      <c r="E3" s="11"/>
      <c r="F3" s="12"/>
    </row>
    <row r="4" ht="22.5" customHeight="1" spans="1:6">
      <c r="A4" s="13" t="s">
        <v>84</v>
      </c>
      <c r="B4" s="13"/>
      <c r="C4" s="14" t="s">
        <v>839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840</v>
      </c>
      <c r="B6" s="17" t="s">
        <v>841</v>
      </c>
      <c r="C6" s="17" t="s">
        <v>562</v>
      </c>
      <c r="D6" s="17"/>
      <c r="E6" s="17">
        <v>10120</v>
      </c>
      <c r="F6" s="17">
        <f>E6-D6</f>
        <v>10120</v>
      </c>
    </row>
    <row r="7" ht="15.75" spans="1:6">
      <c r="A7" s="17"/>
      <c r="B7" s="17" t="s">
        <v>842</v>
      </c>
      <c r="C7" s="17" t="s">
        <v>437</v>
      </c>
      <c r="D7" s="17">
        <v>13000</v>
      </c>
      <c r="E7" s="17"/>
      <c r="F7" s="17">
        <f>F6-D7+E7</f>
        <v>-2880</v>
      </c>
    </row>
    <row r="8" ht="15.75" spans="1:6">
      <c r="A8" s="17" t="s">
        <v>843</v>
      </c>
      <c r="B8" s="17" t="s">
        <v>844</v>
      </c>
      <c r="C8" s="17" t="s">
        <v>717</v>
      </c>
      <c r="D8" s="17"/>
      <c r="E8" s="17">
        <v>1100</v>
      </c>
      <c r="F8" s="17">
        <f t="shared" ref="F8:F12" si="0">F7-D8+E8</f>
        <v>-1780</v>
      </c>
    </row>
    <row r="9" ht="15.75" spans="1:6">
      <c r="A9" s="17"/>
      <c r="B9" s="17"/>
      <c r="C9" s="17" t="s">
        <v>845</v>
      </c>
      <c r="D9" s="17"/>
      <c r="E9" s="17">
        <v>1780</v>
      </c>
      <c r="F9" s="17">
        <f t="shared" si="0"/>
        <v>0</v>
      </c>
    </row>
    <row r="10" ht="15.75" spans="1:6">
      <c r="A10" s="17"/>
      <c r="B10" s="17"/>
      <c r="C10" s="17"/>
      <c r="D10" s="17"/>
      <c r="E10" s="17"/>
      <c r="F10" s="17">
        <f t="shared" si="0"/>
        <v>0</v>
      </c>
    </row>
    <row r="11" ht="15.75" spans="1:6">
      <c r="A11" s="17"/>
      <c r="B11" s="17"/>
      <c r="C11" s="17"/>
      <c r="D11" s="17"/>
      <c r="E11" s="17"/>
      <c r="F11" s="17">
        <f t="shared" si="0"/>
        <v>0</v>
      </c>
    </row>
    <row r="12" ht="18.75" spans="1:6">
      <c r="A12" s="7" t="s">
        <v>303</v>
      </c>
      <c r="B12" s="9"/>
      <c r="C12" s="358"/>
      <c r="D12" s="358"/>
      <c r="E12" s="358"/>
      <c r="F12" s="17">
        <f t="shared" si="0"/>
        <v>0</v>
      </c>
    </row>
  </sheetData>
  <mergeCells count="6">
    <mergeCell ref="A3:C3"/>
    <mergeCell ref="D3:F3"/>
    <mergeCell ref="A4:B4"/>
    <mergeCell ref="C4:F4"/>
    <mergeCell ref="A12:B1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I83"/>
  <sheetViews>
    <sheetView topLeftCell="A61" workbookViewId="0">
      <selection activeCell="I68" sqref="I68"/>
    </sheetView>
  </sheetViews>
  <sheetFormatPr defaultColWidth="9" defaultRowHeight="15"/>
  <cols>
    <col min="1" max="1" width="9.85714285714286" customWidth="1"/>
    <col min="2" max="2" width="7.71428571428571" customWidth="1"/>
    <col min="3" max="3" width="34.2857142857143" customWidth="1"/>
    <col min="4" max="4" width="10.1428571428571" customWidth="1"/>
    <col min="5" max="5" width="9.71428571428571" customWidth="1"/>
    <col min="6" max="6" width="10.4285714285714" customWidth="1"/>
  </cols>
  <sheetData>
    <row r="1" customHeight="1" spans="1:6">
      <c r="A1" s="1" t="s">
        <v>81</v>
      </c>
      <c r="B1" s="2"/>
      <c r="C1" s="2"/>
      <c r="D1" s="2"/>
      <c r="E1" s="2"/>
      <c r="F1" s="3"/>
    </row>
    <row r="2" customHeight="1" spans="1:6">
      <c r="A2" s="4"/>
      <c r="B2" s="5"/>
      <c r="C2" s="5"/>
      <c r="D2" s="5"/>
      <c r="E2" s="5"/>
      <c r="F2" s="6"/>
    </row>
    <row r="3" ht="28.5" customHeight="1" spans="1:6">
      <c r="A3" s="7" t="s">
        <v>82</v>
      </c>
      <c r="B3" s="8"/>
      <c r="C3" s="9"/>
      <c r="D3" s="7" t="s">
        <v>846</v>
      </c>
      <c r="E3" s="8"/>
      <c r="F3" s="9"/>
    </row>
    <row r="4" ht="27.75" customHeight="1" spans="1:6">
      <c r="A4" s="13" t="s">
        <v>84</v>
      </c>
      <c r="B4" s="13"/>
      <c r="C4" s="14" t="s">
        <v>847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772</v>
      </c>
      <c r="D6" s="17"/>
      <c r="E6" s="17">
        <v>217850</v>
      </c>
      <c r="F6" s="17">
        <v>217850</v>
      </c>
    </row>
    <row r="7" ht="15.75" spans="1:6">
      <c r="A7" s="17" t="s">
        <v>600</v>
      </c>
      <c r="B7" s="17" t="s">
        <v>848</v>
      </c>
      <c r="C7" s="17" t="s">
        <v>94</v>
      </c>
      <c r="D7" s="17"/>
      <c r="E7" s="17">
        <v>25450</v>
      </c>
      <c r="F7" s="17">
        <f>F6-D7+E7</f>
        <v>243300</v>
      </c>
    </row>
    <row r="8" ht="15.75" spans="1:6">
      <c r="A8" s="17" t="s">
        <v>559</v>
      </c>
      <c r="B8" s="17" t="s">
        <v>849</v>
      </c>
      <c r="C8" s="17" t="s">
        <v>850</v>
      </c>
      <c r="D8" s="17">
        <v>14250</v>
      </c>
      <c r="E8" s="17"/>
      <c r="F8" s="17">
        <f t="shared" ref="F8:F20" si="0">F7-D8+E8</f>
        <v>229050</v>
      </c>
    </row>
    <row r="9" ht="15.75" spans="1:6">
      <c r="A9" s="17" t="s">
        <v>741</v>
      </c>
      <c r="B9" s="17" t="s">
        <v>851</v>
      </c>
      <c r="C9" s="17" t="s">
        <v>852</v>
      </c>
      <c r="D9" s="17"/>
      <c r="E9" s="17">
        <v>11080</v>
      </c>
      <c r="F9" s="17">
        <f t="shared" si="0"/>
        <v>240130</v>
      </c>
    </row>
    <row r="10" ht="15.75" spans="1:6">
      <c r="A10" s="18">
        <v>45353</v>
      </c>
      <c r="B10" s="17" t="s">
        <v>853</v>
      </c>
      <c r="C10" s="17" t="s">
        <v>94</v>
      </c>
      <c r="D10" s="17"/>
      <c r="E10" s="17">
        <v>10450</v>
      </c>
      <c r="F10" s="17">
        <f t="shared" si="0"/>
        <v>250580</v>
      </c>
    </row>
    <row r="11" ht="15.75" spans="1:6">
      <c r="A11" s="18">
        <v>45445</v>
      </c>
      <c r="B11" s="17" t="s">
        <v>854</v>
      </c>
      <c r="C11" s="17" t="s">
        <v>855</v>
      </c>
      <c r="D11" s="17"/>
      <c r="E11" s="17">
        <v>12600</v>
      </c>
      <c r="F11" s="17">
        <f t="shared" si="0"/>
        <v>263180</v>
      </c>
    </row>
    <row r="12" ht="15.75" spans="1:6">
      <c r="A12" s="18">
        <v>45475</v>
      </c>
      <c r="B12" s="17" t="s">
        <v>856</v>
      </c>
      <c r="C12" s="17" t="s">
        <v>852</v>
      </c>
      <c r="D12" s="17"/>
      <c r="E12" s="17">
        <v>42400</v>
      </c>
      <c r="F12" s="17">
        <f t="shared" si="0"/>
        <v>305580</v>
      </c>
    </row>
    <row r="13" ht="15.75" spans="1:6">
      <c r="A13" s="18"/>
      <c r="B13" s="17"/>
      <c r="C13" s="17" t="s">
        <v>857</v>
      </c>
      <c r="D13" s="17">
        <v>20000</v>
      </c>
      <c r="E13" s="17"/>
      <c r="F13" s="17">
        <f t="shared" si="0"/>
        <v>285580</v>
      </c>
    </row>
    <row r="14" ht="15.75" spans="1:6">
      <c r="A14" s="18"/>
      <c r="B14" s="17"/>
      <c r="C14" s="17" t="s">
        <v>858</v>
      </c>
      <c r="D14" s="17">
        <v>125000</v>
      </c>
      <c r="E14" s="17"/>
      <c r="F14" s="17">
        <f t="shared" si="0"/>
        <v>160580</v>
      </c>
    </row>
    <row r="15" ht="33.75" customHeight="1" spans="1:6">
      <c r="A15" s="18"/>
      <c r="B15" s="17"/>
      <c r="C15" s="71" t="s">
        <v>859</v>
      </c>
      <c r="D15" s="17">
        <v>50000</v>
      </c>
      <c r="E15" s="17"/>
      <c r="F15" s="17">
        <f t="shared" si="0"/>
        <v>110580</v>
      </c>
    </row>
    <row r="16" ht="15.75" spans="1:6">
      <c r="A16" s="18">
        <v>45567</v>
      </c>
      <c r="B16" s="17"/>
      <c r="C16" s="17" t="s">
        <v>860</v>
      </c>
      <c r="D16" s="17">
        <v>15000</v>
      </c>
      <c r="E16" s="17"/>
      <c r="F16" s="17">
        <f t="shared" si="0"/>
        <v>95580</v>
      </c>
    </row>
    <row r="17" ht="15.75" spans="1:6">
      <c r="A17" s="18"/>
      <c r="B17" s="17"/>
      <c r="C17" s="17" t="s">
        <v>861</v>
      </c>
      <c r="D17" s="17">
        <v>50000</v>
      </c>
      <c r="E17" s="17"/>
      <c r="F17" s="17">
        <f t="shared" si="0"/>
        <v>45580</v>
      </c>
    </row>
    <row r="18" ht="15.75" spans="1:6">
      <c r="A18" s="18"/>
      <c r="B18" s="17"/>
      <c r="C18" s="17" t="s">
        <v>752</v>
      </c>
      <c r="D18" s="17">
        <v>6580</v>
      </c>
      <c r="E18" s="17"/>
      <c r="F18" s="17">
        <f t="shared" si="0"/>
        <v>39000</v>
      </c>
    </row>
    <row r="19" ht="15.75" spans="1:6">
      <c r="A19" s="18"/>
      <c r="B19" s="17"/>
      <c r="C19" s="17" t="s">
        <v>862</v>
      </c>
      <c r="D19" s="17">
        <v>3000</v>
      </c>
      <c r="E19" s="17"/>
      <c r="F19" s="17">
        <f t="shared" si="0"/>
        <v>36000</v>
      </c>
    </row>
    <row r="20" ht="15.75" spans="1:6">
      <c r="A20" s="18">
        <v>45567</v>
      </c>
      <c r="B20" s="17" t="s">
        <v>863</v>
      </c>
      <c r="C20" s="17" t="s">
        <v>864</v>
      </c>
      <c r="D20" s="17"/>
      <c r="E20" s="17">
        <v>13500</v>
      </c>
      <c r="F20" s="17">
        <f t="shared" si="0"/>
        <v>49500</v>
      </c>
    </row>
    <row r="21" ht="15.75" spans="1:6">
      <c r="A21" s="18">
        <v>45598</v>
      </c>
      <c r="B21" s="17" t="s">
        <v>865</v>
      </c>
      <c r="C21" s="17" t="s">
        <v>94</v>
      </c>
      <c r="D21" s="17"/>
      <c r="E21" s="17">
        <v>26740</v>
      </c>
      <c r="F21" s="17">
        <f t="shared" ref="F21:F50" si="1">F20-D21+E21</f>
        <v>76240</v>
      </c>
    </row>
    <row r="22" ht="15.75" spans="1:6">
      <c r="A22" s="18" t="s">
        <v>564</v>
      </c>
      <c r="B22" s="17" t="s">
        <v>866</v>
      </c>
      <c r="C22" s="17" t="s">
        <v>867</v>
      </c>
      <c r="D22" s="17"/>
      <c r="E22" s="17">
        <v>27170</v>
      </c>
      <c r="F22" s="17">
        <f t="shared" si="1"/>
        <v>103410</v>
      </c>
    </row>
    <row r="23" ht="28.5" customHeight="1" spans="1:6">
      <c r="A23" s="18" t="s">
        <v>586</v>
      </c>
      <c r="B23" s="17" t="s">
        <v>868</v>
      </c>
      <c r="C23" s="71" t="s">
        <v>869</v>
      </c>
      <c r="D23" s="17"/>
      <c r="E23" s="17">
        <v>5500</v>
      </c>
      <c r="F23" s="17">
        <f t="shared" si="1"/>
        <v>108910</v>
      </c>
    </row>
    <row r="24" ht="15.75" spans="1:6">
      <c r="A24" s="18" t="s">
        <v>617</v>
      </c>
      <c r="B24" s="17" t="s">
        <v>779</v>
      </c>
      <c r="C24" s="17" t="s">
        <v>870</v>
      </c>
      <c r="D24" s="17">
        <v>14500</v>
      </c>
      <c r="E24" s="17"/>
      <c r="F24" s="17">
        <f t="shared" si="1"/>
        <v>94410</v>
      </c>
    </row>
    <row r="25" ht="15.75" spans="1:6">
      <c r="A25" s="18" t="s">
        <v>871</v>
      </c>
      <c r="B25" s="17" t="s">
        <v>872</v>
      </c>
      <c r="C25" s="17" t="s">
        <v>873</v>
      </c>
      <c r="D25" s="17"/>
      <c r="E25" s="17">
        <v>7262</v>
      </c>
      <c r="F25" s="17">
        <f t="shared" si="1"/>
        <v>101672</v>
      </c>
    </row>
    <row r="26" ht="15.75" spans="1:6">
      <c r="A26" s="18"/>
      <c r="B26" s="17"/>
      <c r="C26" s="17" t="s">
        <v>874</v>
      </c>
      <c r="D26" s="17"/>
      <c r="E26" s="17">
        <v>8000</v>
      </c>
      <c r="F26" s="17">
        <f t="shared" si="1"/>
        <v>109672</v>
      </c>
    </row>
    <row r="27" ht="15.75" spans="1:6">
      <c r="A27" s="18" t="s">
        <v>875</v>
      </c>
      <c r="B27" s="17"/>
      <c r="C27" s="17" t="s">
        <v>876</v>
      </c>
      <c r="D27" s="17">
        <v>80000</v>
      </c>
      <c r="E27" s="17"/>
      <c r="F27" s="17">
        <f t="shared" si="1"/>
        <v>29672</v>
      </c>
    </row>
    <row r="28" ht="15.75" spans="1:6">
      <c r="A28" s="18" t="s">
        <v>875</v>
      </c>
      <c r="B28" s="17" t="s">
        <v>877</v>
      </c>
      <c r="C28" s="17" t="s">
        <v>94</v>
      </c>
      <c r="D28" s="17"/>
      <c r="E28" s="17">
        <v>6450</v>
      </c>
      <c r="F28" s="17">
        <f t="shared" si="1"/>
        <v>36122</v>
      </c>
    </row>
    <row r="29" ht="15.75" spans="1:6">
      <c r="A29" s="18">
        <v>45354</v>
      </c>
      <c r="B29" s="17" t="s">
        <v>878</v>
      </c>
      <c r="C29" s="17" t="s">
        <v>94</v>
      </c>
      <c r="D29" s="17"/>
      <c r="E29" s="17">
        <v>56620</v>
      </c>
      <c r="F29" s="17">
        <f t="shared" si="1"/>
        <v>92742</v>
      </c>
    </row>
    <row r="30" ht="15.75" spans="1:6">
      <c r="A30" s="18">
        <v>45385</v>
      </c>
      <c r="B30" s="17" t="s">
        <v>879</v>
      </c>
      <c r="C30" s="17" t="s">
        <v>94</v>
      </c>
      <c r="D30" s="17"/>
      <c r="E30" s="17">
        <v>17620</v>
      </c>
      <c r="F30" s="17">
        <f t="shared" si="1"/>
        <v>110362</v>
      </c>
    </row>
    <row r="31" ht="15.75" spans="1:6">
      <c r="A31" s="18">
        <v>45446</v>
      </c>
      <c r="B31" s="17" t="s">
        <v>880</v>
      </c>
      <c r="C31" s="17" t="s">
        <v>881</v>
      </c>
      <c r="D31" s="17"/>
      <c r="E31" s="17">
        <v>3950</v>
      </c>
      <c r="F31" s="17">
        <f t="shared" si="1"/>
        <v>114312</v>
      </c>
    </row>
    <row r="32" ht="15.75" spans="1:6">
      <c r="A32" s="18">
        <v>45446</v>
      </c>
      <c r="B32" s="17" t="s">
        <v>882</v>
      </c>
      <c r="C32" s="17" t="s">
        <v>883</v>
      </c>
      <c r="D32" s="17">
        <v>7000</v>
      </c>
      <c r="E32" s="17"/>
      <c r="F32" s="17">
        <f t="shared" si="1"/>
        <v>107312</v>
      </c>
    </row>
    <row r="33" ht="15.75" spans="1:6">
      <c r="A33" s="18">
        <v>45446</v>
      </c>
      <c r="B33" s="17" t="s">
        <v>882</v>
      </c>
      <c r="C33" s="17" t="s">
        <v>884</v>
      </c>
      <c r="D33" s="17">
        <v>3698</v>
      </c>
      <c r="E33" s="17"/>
      <c r="F33" s="17">
        <f t="shared" si="1"/>
        <v>103614</v>
      </c>
    </row>
    <row r="34" ht="15.75" spans="1:6">
      <c r="A34" s="18">
        <v>45446</v>
      </c>
      <c r="B34" s="17" t="s">
        <v>882</v>
      </c>
      <c r="C34" s="17" t="s">
        <v>885</v>
      </c>
      <c r="D34" s="17"/>
      <c r="E34" s="17">
        <v>600</v>
      </c>
      <c r="F34" s="17">
        <f t="shared" si="1"/>
        <v>104214</v>
      </c>
    </row>
    <row r="35" ht="15.75" spans="1:6">
      <c r="A35" s="18">
        <v>45476</v>
      </c>
      <c r="B35" s="17" t="s">
        <v>886</v>
      </c>
      <c r="C35" s="17" t="s">
        <v>562</v>
      </c>
      <c r="D35" s="17"/>
      <c r="E35" s="17">
        <v>11810</v>
      </c>
      <c r="F35" s="17">
        <f t="shared" si="1"/>
        <v>116024</v>
      </c>
    </row>
    <row r="36" ht="15.75" spans="1:6">
      <c r="A36" s="18">
        <v>45538</v>
      </c>
      <c r="B36" s="17" t="s">
        <v>887</v>
      </c>
      <c r="C36" s="17" t="s">
        <v>888</v>
      </c>
      <c r="D36" s="17"/>
      <c r="E36" s="17">
        <v>5500</v>
      </c>
      <c r="F36" s="17">
        <f t="shared" si="1"/>
        <v>121524</v>
      </c>
    </row>
    <row r="37" ht="15.75" spans="1:6">
      <c r="A37" s="18" t="s">
        <v>889</v>
      </c>
      <c r="B37" s="17"/>
      <c r="C37" s="17" t="s">
        <v>890</v>
      </c>
      <c r="D37" s="17">
        <v>7250</v>
      </c>
      <c r="E37" s="17"/>
      <c r="F37" s="17">
        <f t="shared" si="1"/>
        <v>114274</v>
      </c>
    </row>
    <row r="38" ht="15.75" spans="1:6">
      <c r="A38" s="18" t="s">
        <v>891</v>
      </c>
      <c r="B38" s="17" t="s">
        <v>892</v>
      </c>
      <c r="C38" s="17" t="s">
        <v>893</v>
      </c>
      <c r="D38" s="17"/>
      <c r="E38" s="17">
        <v>6000</v>
      </c>
      <c r="F38" s="17">
        <f t="shared" si="1"/>
        <v>120274</v>
      </c>
    </row>
    <row r="39" ht="15.75" spans="1:6">
      <c r="A39" s="18"/>
      <c r="B39" s="17"/>
      <c r="C39" s="17" t="s">
        <v>894</v>
      </c>
      <c r="D39" s="17"/>
      <c r="E39" s="17">
        <v>5600</v>
      </c>
      <c r="F39" s="17">
        <f t="shared" si="1"/>
        <v>125874</v>
      </c>
    </row>
    <row r="40" ht="15.75" spans="1:6">
      <c r="A40" s="18">
        <v>45599</v>
      </c>
      <c r="B40" s="17" t="s">
        <v>895</v>
      </c>
      <c r="C40" s="17" t="s">
        <v>104</v>
      </c>
      <c r="D40" s="17"/>
      <c r="E40" s="17">
        <v>3400</v>
      </c>
      <c r="F40" s="17">
        <f t="shared" si="1"/>
        <v>129274</v>
      </c>
    </row>
    <row r="41" ht="15.75" spans="1:6">
      <c r="A41" s="18">
        <v>45568</v>
      </c>
      <c r="B41" s="17" t="s">
        <v>896</v>
      </c>
      <c r="C41" s="17" t="s">
        <v>94</v>
      </c>
      <c r="D41" s="17"/>
      <c r="E41" s="17">
        <v>10000</v>
      </c>
      <c r="F41" s="17">
        <f t="shared" si="1"/>
        <v>139274</v>
      </c>
    </row>
    <row r="42" ht="15.75" spans="1:6">
      <c r="A42" s="18">
        <v>45568</v>
      </c>
      <c r="B42" s="17"/>
      <c r="C42" s="17" t="s">
        <v>897</v>
      </c>
      <c r="D42" s="17">
        <v>8628</v>
      </c>
      <c r="E42" s="17"/>
      <c r="F42" s="17">
        <f t="shared" si="1"/>
        <v>130646</v>
      </c>
    </row>
    <row r="43" ht="15.75" spans="1:6">
      <c r="A43" s="18" t="s">
        <v>898</v>
      </c>
      <c r="B43" s="17" t="s">
        <v>899</v>
      </c>
      <c r="C43" s="17" t="s">
        <v>900</v>
      </c>
      <c r="D43" s="17"/>
      <c r="E43" s="17">
        <v>1800</v>
      </c>
      <c r="F43" s="17">
        <f t="shared" si="1"/>
        <v>132446</v>
      </c>
    </row>
    <row r="44" ht="15.75" spans="1:6">
      <c r="A44" s="18" t="s">
        <v>901</v>
      </c>
      <c r="B44" s="17" t="s">
        <v>902</v>
      </c>
      <c r="C44" s="17" t="s">
        <v>903</v>
      </c>
      <c r="D44" s="17"/>
      <c r="E44" s="17">
        <v>6550</v>
      </c>
      <c r="F44" s="17">
        <f t="shared" si="1"/>
        <v>138996</v>
      </c>
    </row>
    <row r="45" ht="15.75" spans="1:6">
      <c r="A45" s="18">
        <v>45477</v>
      </c>
      <c r="B45" s="17"/>
      <c r="C45" s="17" t="s">
        <v>904</v>
      </c>
      <c r="D45" s="17"/>
      <c r="E45" s="17">
        <v>25000</v>
      </c>
      <c r="F45" s="17">
        <f t="shared" si="1"/>
        <v>163996</v>
      </c>
    </row>
    <row r="46" ht="15.75" spans="1:6">
      <c r="A46" s="18">
        <v>45539</v>
      </c>
      <c r="B46" s="17" t="s">
        <v>905</v>
      </c>
      <c r="C46" s="17" t="s">
        <v>906</v>
      </c>
      <c r="D46" s="17"/>
      <c r="E46" s="17">
        <v>400</v>
      </c>
      <c r="F46" s="17">
        <f t="shared" si="1"/>
        <v>164396</v>
      </c>
    </row>
    <row r="47" ht="15.75" spans="1:6">
      <c r="A47" s="18" t="s">
        <v>907</v>
      </c>
      <c r="B47" s="17" t="s">
        <v>908</v>
      </c>
      <c r="C47" s="17" t="s">
        <v>909</v>
      </c>
      <c r="D47" s="17"/>
      <c r="E47" s="17">
        <v>1800</v>
      </c>
      <c r="F47" s="17">
        <f t="shared" si="1"/>
        <v>166196</v>
      </c>
    </row>
    <row r="48" ht="47.25" spans="1:9">
      <c r="A48" s="18" t="s">
        <v>907</v>
      </c>
      <c r="B48" s="17" t="s">
        <v>908</v>
      </c>
      <c r="C48" s="71" t="s">
        <v>910</v>
      </c>
      <c r="D48" s="17">
        <v>1800</v>
      </c>
      <c r="E48" s="17"/>
      <c r="F48" s="17">
        <f t="shared" si="1"/>
        <v>164396</v>
      </c>
      <c r="I48" t="s">
        <v>911</v>
      </c>
    </row>
    <row r="49" ht="15.75" spans="1:6">
      <c r="A49" s="18"/>
      <c r="B49" s="17"/>
      <c r="C49" s="17" t="s">
        <v>912</v>
      </c>
      <c r="D49" s="17">
        <v>25000</v>
      </c>
      <c r="E49" s="17"/>
      <c r="F49" s="17">
        <f t="shared" si="1"/>
        <v>139396</v>
      </c>
    </row>
    <row r="50" ht="15.75" spans="1:6">
      <c r="A50" s="18" t="s">
        <v>913</v>
      </c>
      <c r="B50" s="17" t="s">
        <v>914</v>
      </c>
      <c r="C50" s="17" t="s">
        <v>915</v>
      </c>
      <c r="D50" s="17"/>
      <c r="E50" s="17">
        <v>1200</v>
      </c>
      <c r="F50" s="17">
        <f t="shared" si="1"/>
        <v>140596</v>
      </c>
    </row>
    <row r="51" ht="15.75" spans="1:6">
      <c r="A51" s="18" t="s">
        <v>916</v>
      </c>
      <c r="B51" s="17" t="s">
        <v>917</v>
      </c>
      <c r="C51" s="17" t="s">
        <v>918</v>
      </c>
      <c r="D51" s="17"/>
      <c r="E51" s="17">
        <v>2850</v>
      </c>
      <c r="F51" s="17">
        <f t="shared" ref="F51:F77" si="2">F50-D51+E51</f>
        <v>143446</v>
      </c>
    </row>
    <row r="52" ht="15.75" spans="1:6">
      <c r="A52" s="18" t="s">
        <v>919</v>
      </c>
      <c r="B52" s="17" t="s">
        <v>920</v>
      </c>
      <c r="C52" s="17" t="s">
        <v>94</v>
      </c>
      <c r="D52" s="17"/>
      <c r="E52" s="17">
        <v>1670</v>
      </c>
      <c r="F52" s="17">
        <f t="shared" si="2"/>
        <v>145116</v>
      </c>
    </row>
    <row r="53" ht="15.75" spans="1:6">
      <c r="A53" s="18" t="s">
        <v>916</v>
      </c>
      <c r="B53" s="17" t="s">
        <v>921</v>
      </c>
      <c r="C53" s="17" t="s">
        <v>922</v>
      </c>
      <c r="D53" s="17"/>
      <c r="E53" s="17">
        <v>350</v>
      </c>
      <c r="F53" s="17">
        <f t="shared" si="2"/>
        <v>145466</v>
      </c>
    </row>
    <row r="54" ht="15.75" spans="1:6">
      <c r="A54" s="18" t="s">
        <v>923</v>
      </c>
      <c r="B54" s="17" t="s">
        <v>253</v>
      </c>
      <c r="C54" s="17" t="s">
        <v>924</v>
      </c>
      <c r="D54" s="17">
        <v>350</v>
      </c>
      <c r="E54" s="17"/>
      <c r="F54" s="17">
        <f t="shared" si="2"/>
        <v>145116</v>
      </c>
    </row>
    <row r="55" ht="15.75" spans="1:6">
      <c r="A55" s="18">
        <v>45417</v>
      </c>
      <c r="B55" s="17" t="s">
        <v>925</v>
      </c>
      <c r="C55" s="17" t="s">
        <v>900</v>
      </c>
      <c r="D55" s="17"/>
      <c r="E55" s="17">
        <v>1800</v>
      </c>
      <c r="F55" s="17">
        <f t="shared" si="2"/>
        <v>146916</v>
      </c>
    </row>
    <row r="56" ht="15.75" spans="1:6">
      <c r="A56" s="18">
        <v>45509</v>
      </c>
      <c r="B56" s="17" t="s">
        <v>926</v>
      </c>
      <c r="C56" s="17" t="s">
        <v>927</v>
      </c>
      <c r="D56" s="17"/>
      <c r="E56" s="17">
        <v>3000</v>
      </c>
      <c r="F56" s="17">
        <f t="shared" si="2"/>
        <v>149916</v>
      </c>
    </row>
    <row r="57" ht="15.75" spans="1:6">
      <c r="A57" s="18"/>
      <c r="B57" s="17"/>
      <c r="C57" s="17" t="s">
        <v>928</v>
      </c>
      <c r="D57" s="17">
        <v>149916</v>
      </c>
      <c r="E57" s="17"/>
      <c r="F57" s="17">
        <f t="shared" si="2"/>
        <v>0</v>
      </c>
    </row>
    <row r="58" ht="15.75" spans="1:8">
      <c r="A58" s="18" t="s">
        <v>656</v>
      </c>
      <c r="B58" s="17" t="s">
        <v>929</v>
      </c>
      <c r="C58" s="17" t="s">
        <v>930</v>
      </c>
      <c r="D58" s="17"/>
      <c r="E58" s="17">
        <v>600</v>
      </c>
      <c r="F58" s="17">
        <f t="shared" si="2"/>
        <v>600</v>
      </c>
      <c r="H58" t="s">
        <v>5</v>
      </c>
    </row>
    <row r="59" ht="15.75" spans="1:6">
      <c r="A59" s="18" t="s">
        <v>92</v>
      </c>
      <c r="B59" s="17" t="s">
        <v>931</v>
      </c>
      <c r="C59" s="17" t="s">
        <v>697</v>
      </c>
      <c r="D59" s="17"/>
      <c r="E59" s="17">
        <v>500</v>
      </c>
      <c r="F59" s="17">
        <f t="shared" si="2"/>
        <v>1100</v>
      </c>
    </row>
    <row r="60" ht="15.75" spans="1:6">
      <c r="A60" s="18" t="s">
        <v>92</v>
      </c>
      <c r="B60" s="17" t="s">
        <v>932</v>
      </c>
      <c r="C60" s="17" t="s">
        <v>933</v>
      </c>
      <c r="D60" s="17"/>
      <c r="E60" s="17">
        <v>1800</v>
      </c>
      <c r="F60" s="17">
        <f t="shared" si="2"/>
        <v>2900</v>
      </c>
    </row>
    <row r="61" ht="15.75" spans="1:6">
      <c r="A61" s="18" t="s">
        <v>92</v>
      </c>
      <c r="B61" s="17" t="s">
        <v>934</v>
      </c>
      <c r="C61" s="17" t="s">
        <v>935</v>
      </c>
      <c r="D61" s="17"/>
      <c r="E61" s="17">
        <v>35000</v>
      </c>
      <c r="F61" s="17">
        <f t="shared" si="2"/>
        <v>37900</v>
      </c>
    </row>
    <row r="62" ht="31.5" spans="1:6">
      <c r="A62" s="18">
        <v>45450</v>
      </c>
      <c r="B62" s="17" t="s">
        <v>936</v>
      </c>
      <c r="C62" s="71" t="s">
        <v>937</v>
      </c>
      <c r="D62" s="17"/>
      <c r="E62" s="17">
        <v>147750</v>
      </c>
      <c r="F62" s="17">
        <f t="shared" si="2"/>
        <v>185650</v>
      </c>
    </row>
    <row r="63" ht="15.75" spans="1:6">
      <c r="A63" s="75">
        <v>45450</v>
      </c>
      <c r="B63" s="17" t="s">
        <v>936</v>
      </c>
      <c r="C63" s="17" t="s">
        <v>938</v>
      </c>
      <c r="D63" s="72">
        <v>35000</v>
      </c>
      <c r="E63" s="17"/>
      <c r="F63" s="17">
        <f t="shared" si="2"/>
        <v>150650</v>
      </c>
    </row>
    <row r="64" ht="15.75" spans="1:6">
      <c r="A64" s="75" t="s">
        <v>939</v>
      </c>
      <c r="B64" s="17" t="s">
        <v>253</v>
      </c>
      <c r="C64" s="17"/>
      <c r="D64" s="72">
        <v>5000</v>
      </c>
      <c r="E64" s="17"/>
      <c r="F64" s="17">
        <f t="shared" si="2"/>
        <v>145650</v>
      </c>
    </row>
    <row r="65" ht="15.75" spans="1:6">
      <c r="A65" s="75" t="s">
        <v>660</v>
      </c>
      <c r="B65" s="17" t="s">
        <v>940</v>
      </c>
      <c r="C65" s="17" t="s">
        <v>941</v>
      </c>
      <c r="D65" s="72"/>
      <c r="E65" s="17">
        <v>1000</v>
      </c>
      <c r="F65" s="17">
        <f t="shared" si="2"/>
        <v>146650</v>
      </c>
    </row>
    <row r="66" ht="15.75" spans="1:6">
      <c r="A66" s="75" t="s">
        <v>942</v>
      </c>
      <c r="B66" s="17" t="s">
        <v>943</v>
      </c>
      <c r="C66" s="17" t="s">
        <v>944</v>
      </c>
      <c r="D66" s="72"/>
      <c r="E66" s="17">
        <v>1950</v>
      </c>
      <c r="F66" s="17">
        <f t="shared" si="2"/>
        <v>148600</v>
      </c>
    </row>
    <row r="67" ht="31.5" spans="1:6">
      <c r="A67" s="75">
        <v>45361</v>
      </c>
      <c r="B67" s="17" t="s">
        <v>945</v>
      </c>
      <c r="C67" s="71" t="s">
        <v>946</v>
      </c>
      <c r="D67" s="72"/>
      <c r="E67" s="17">
        <v>5000</v>
      </c>
      <c r="F67" s="17">
        <f t="shared" si="2"/>
        <v>153600</v>
      </c>
    </row>
    <row r="68" ht="15.75" spans="1:6">
      <c r="A68" s="75">
        <v>45422</v>
      </c>
      <c r="B68" s="17"/>
      <c r="C68" s="17" t="s">
        <v>801</v>
      </c>
      <c r="D68" s="72">
        <v>5000</v>
      </c>
      <c r="E68" s="17"/>
      <c r="F68" s="17">
        <f t="shared" si="2"/>
        <v>148600</v>
      </c>
    </row>
    <row r="69" ht="15.75" spans="1:6">
      <c r="A69" s="75"/>
      <c r="B69" s="17"/>
      <c r="C69" s="17" t="s">
        <v>947</v>
      </c>
      <c r="D69" s="72">
        <v>50000</v>
      </c>
      <c r="E69" s="17"/>
      <c r="F69" s="17">
        <f t="shared" si="2"/>
        <v>98600</v>
      </c>
    </row>
    <row r="70" ht="15.75" spans="1:6">
      <c r="A70" s="75" t="s">
        <v>948</v>
      </c>
      <c r="B70" s="17" t="s">
        <v>949</v>
      </c>
      <c r="C70" s="17" t="s">
        <v>140</v>
      </c>
      <c r="D70" s="72"/>
      <c r="E70" s="17">
        <v>650</v>
      </c>
      <c r="F70" s="17">
        <f t="shared" si="2"/>
        <v>99250</v>
      </c>
    </row>
    <row r="71" ht="15.75" spans="1:6">
      <c r="A71" s="75" t="s">
        <v>950</v>
      </c>
      <c r="B71" s="17"/>
      <c r="C71" s="17" t="s">
        <v>951</v>
      </c>
      <c r="D71" s="72"/>
      <c r="E71" s="17">
        <v>18000</v>
      </c>
      <c r="F71" s="17">
        <f t="shared" si="2"/>
        <v>117250</v>
      </c>
    </row>
    <row r="72" ht="15.75" spans="1:6">
      <c r="A72" s="75"/>
      <c r="B72" s="17"/>
      <c r="C72" s="17" t="s">
        <v>952</v>
      </c>
      <c r="D72" s="72"/>
      <c r="E72" s="17">
        <v>20000</v>
      </c>
      <c r="F72" s="17">
        <f t="shared" si="2"/>
        <v>137250</v>
      </c>
    </row>
    <row r="73" ht="15.75" spans="1:6">
      <c r="A73" s="75"/>
      <c r="B73" s="17"/>
      <c r="C73" s="17"/>
      <c r="D73" s="72"/>
      <c r="E73" s="17"/>
      <c r="F73" s="17">
        <f t="shared" si="2"/>
        <v>137250</v>
      </c>
    </row>
    <row r="74" ht="15.75" spans="1:6">
      <c r="A74" s="75"/>
      <c r="B74" s="17"/>
      <c r="C74" s="17"/>
      <c r="D74" s="72"/>
      <c r="E74" s="17"/>
      <c r="F74" s="17">
        <f t="shared" si="2"/>
        <v>137250</v>
      </c>
    </row>
    <row r="75" ht="15.75" spans="1:6">
      <c r="A75" s="75"/>
      <c r="B75" s="17"/>
      <c r="C75" s="17"/>
      <c r="D75" s="72"/>
      <c r="E75" s="17"/>
      <c r="F75" s="17">
        <f t="shared" si="2"/>
        <v>137250</v>
      </c>
    </row>
    <row r="76" ht="15.75" spans="1:6">
      <c r="A76" s="75"/>
      <c r="B76" s="17"/>
      <c r="C76" s="17"/>
      <c r="D76" s="72"/>
      <c r="E76" s="17"/>
      <c r="F76" s="17">
        <f t="shared" si="2"/>
        <v>137250</v>
      </c>
    </row>
    <row r="77" ht="18.75" spans="1:6">
      <c r="A77" s="7" t="s">
        <v>303</v>
      </c>
      <c r="B77" s="8"/>
      <c r="C77" s="8"/>
      <c r="D77" s="8"/>
      <c r="E77" s="9"/>
      <c r="F77" s="17">
        <f t="shared" si="2"/>
        <v>137250</v>
      </c>
    </row>
    <row r="83" spans="3:3">
      <c r="C83" t="s">
        <v>5</v>
      </c>
    </row>
  </sheetData>
  <mergeCells count="6">
    <mergeCell ref="A3:C3"/>
    <mergeCell ref="D3:F3"/>
    <mergeCell ref="A4:B4"/>
    <mergeCell ref="C4:F4"/>
    <mergeCell ref="A77:E77"/>
    <mergeCell ref="A1:F2"/>
  </mergeCell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F17"/>
  <sheetViews>
    <sheetView workbookViewId="0">
      <selection activeCell="M6" sqref="M6"/>
    </sheetView>
  </sheetViews>
  <sheetFormatPr defaultColWidth="9" defaultRowHeight="15" outlineLevelCol="5"/>
  <cols>
    <col min="1" max="1" width="11.7142857142857" customWidth="1"/>
    <col min="2" max="2" width="10.2857142857143" customWidth="1"/>
    <col min="3" max="3" width="32.5714285714286" customWidth="1"/>
    <col min="4" max="4" width="12.4285714285714" customWidth="1"/>
    <col min="5" max="5" width="10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31</v>
      </c>
      <c r="E3" s="11"/>
      <c r="F3" s="12"/>
    </row>
    <row r="4" ht="22.5" customHeight="1" spans="1:6">
      <c r="A4" s="13" t="s">
        <v>84</v>
      </c>
      <c r="B4" s="13"/>
      <c r="C4" s="14" t="s">
        <v>953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954</v>
      </c>
      <c r="B6" s="17" t="s">
        <v>955</v>
      </c>
      <c r="C6" s="17" t="s">
        <v>717</v>
      </c>
      <c r="D6" s="17"/>
      <c r="E6" s="17">
        <v>12500</v>
      </c>
      <c r="F6" s="17">
        <f>E6-D6</f>
        <v>12500</v>
      </c>
    </row>
    <row r="7" ht="15.75" spans="1:6">
      <c r="A7" s="17" t="s">
        <v>954</v>
      </c>
      <c r="B7" s="17"/>
      <c r="C7" s="17" t="s">
        <v>956</v>
      </c>
      <c r="D7" s="17">
        <v>12000</v>
      </c>
      <c r="E7" s="17"/>
      <c r="F7" s="17">
        <f>F6-D7+E7</f>
        <v>500</v>
      </c>
    </row>
    <row r="8" ht="15.75" spans="1:6">
      <c r="A8" s="18">
        <v>45475</v>
      </c>
      <c r="B8" s="17" t="s">
        <v>957</v>
      </c>
      <c r="C8" s="17" t="s">
        <v>958</v>
      </c>
      <c r="D8" s="17"/>
      <c r="E8" s="17">
        <v>5370</v>
      </c>
      <c r="F8" s="17">
        <f t="shared" ref="F8:F17" si="0">F7-D8+E8</f>
        <v>5870</v>
      </c>
    </row>
    <row r="9" ht="15.75" spans="1:6">
      <c r="A9" s="18">
        <v>45568</v>
      </c>
      <c r="B9" s="17" t="s">
        <v>959</v>
      </c>
      <c r="C9" s="17" t="s">
        <v>604</v>
      </c>
      <c r="D9" s="17"/>
      <c r="E9" s="17">
        <v>7400</v>
      </c>
      <c r="F9" s="17">
        <f t="shared" si="0"/>
        <v>13270</v>
      </c>
    </row>
    <row r="10" ht="15.75" spans="1:6">
      <c r="A10" s="18">
        <v>45476</v>
      </c>
      <c r="B10" s="17" t="s">
        <v>960</v>
      </c>
      <c r="C10" s="17" t="s">
        <v>562</v>
      </c>
      <c r="D10" s="17"/>
      <c r="E10" s="17">
        <v>1190</v>
      </c>
      <c r="F10" s="17">
        <f t="shared" si="0"/>
        <v>14460</v>
      </c>
    </row>
    <row r="11" ht="15.75" spans="1:6">
      <c r="A11" s="18" t="s">
        <v>961</v>
      </c>
      <c r="B11" s="17" t="s">
        <v>253</v>
      </c>
      <c r="C11" s="17" t="s">
        <v>688</v>
      </c>
      <c r="D11" s="17">
        <v>10000</v>
      </c>
      <c r="E11" s="17"/>
      <c r="F11" s="17">
        <f t="shared" si="0"/>
        <v>4460</v>
      </c>
    </row>
    <row r="12" ht="15.75" spans="1:6">
      <c r="A12" s="18" t="s">
        <v>913</v>
      </c>
      <c r="B12" s="17" t="s">
        <v>962</v>
      </c>
      <c r="C12" s="17" t="s">
        <v>717</v>
      </c>
      <c r="D12" s="17"/>
      <c r="E12" s="17">
        <v>2700</v>
      </c>
      <c r="F12" s="17">
        <f t="shared" si="0"/>
        <v>7160</v>
      </c>
    </row>
    <row r="13" ht="15.75" spans="1:6">
      <c r="A13" s="18" t="s">
        <v>916</v>
      </c>
      <c r="B13" s="17" t="s">
        <v>963</v>
      </c>
      <c r="C13" s="17" t="s">
        <v>964</v>
      </c>
      <c r="D13" s="17"/>
      <c r="E13" s="17">
        <v>98370</v>
      </c>
      <c r="F13" s="17">
        <f t="shared" si="0"/>
        <v>105530</v>
      </c>
    </row>
    <row r="14" ht="15.75" spans="1:6">
      <c r="A14" s="18" t="s">
        <v>916</v>
      </c>
      <c r="B14" s="17" t="s">
        <v>963</v>
      </c>
      <c r="C14" s="17" t="s">
        <v>965</v>
      </c>
      <c r="D14" s="17">
        <v>75000</v>
      </c>
      <c r="E14" s="17"/>
      <c r="F14" s="17">
        <f t="shared" si="0"/>
        <v>30530</v>
      </c>
    </row>
    <row r="15" ht="15.75" spans="1:6">
      <c r="A15" s="18" t="s">
        <v>92</v>
      </c>
      <c r="B15" s="17" t="s">
        <v>966</v>
      </c>
      <c r="C15" s="17" t="s">
        <v>967</v>
      </c>
      <c r="D15" s="17"/>
      <c r="E15" s="17">
        <v>2300</v>
      </c>
      <c r="F15" s="17">
        <f t="shared" si="0"/>
        <v>32830</v>
      </c>
    </row>
    <row r="16" ht="15.75" spans="1:6">
      <c r="A16" s="17"/>
      <c r="B16" s="17"/>
      <c r="C16" s="17"/>
      <c r="D16" s="17"/>
      <c r="E16" s="17"/>
      <c r="F16" s="17">
        <f t="shared" si="0"/>
        <v>32830</v>
      </c>
    </row>
    <row r="17" ht="18.75" spans="1:6">
      <c r="A17" s="7" t="s">
        <v>303</v>
      </c>
      <c r="B17" s="8"/>
      <c r="C17" s="8"/>
      <c r="D17" s="8"/>
      <c r="E17" s="9"/>
      <c r="F17" s="17">
        <f t="shared" si="0"/>
        <v>32830</v>
      </c>
    </row>
  </sheetData>
  <mergeCells count="6">
    <mergeCell ref="A3:C3"/>
    <mergeCell ref="D3:F3"/>
    <mergeCell ref="A4:B4"/>
    <mergeCell ref="C4:F4"/>
    <mergeCell ref="A17:E17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F8"/>
  <sheetViews>
    <sheetView workbookViewId="0">
      <selection activeCell="O20" sqref="O20"/>
    </sheetView>
  </sheetViews>
  <sheetFormatPr defaultColWidth="9" defaultRowHeight="15" outlineLevelRow="7" outlineLevelCol="5"/>
  <cols>
    <col min="1" max="1" width="11.7142857142857" customWidth="1"/>
    <col min="2" max="2" width="11.8571428571429" customWidth="1"/>
    <col min="3" max="3" width="16.8571428571429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968</v>
      </c>
      <c r="E3" s="11"/>
      <c r="F3" s="12"/>
    </row>
    <row r="4" ht="22.5" customHeight="1" spans="1:6">
      <c r="A4" s="13" t="s">
        <v>84</v>
      </c>
      <c r="B4" s="13"/>
      <c r="C4" s="14" t="s">
        <v>969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44843</v>
      </c>
      <c r="B6" s="17">
        <v>3668</v>
      </c>
      <c r="C6" s="17" t="s">
        <v>970</v>
      </c>
      <c r="D6" s="17"/>
      <c r="E6" s="17">
        <v>3624</v>
      </c>
      <c r="F6" s="17">
        <v>3624</v>
      </c>
    </row>
    <row r="7" ht="15.75" spans="1:6">
      <c r="A7" s="17"/>
      <c r="B7" s="17"/>
      <c r="C7" s="17"/>
      <c r="D7" s="17"/>
      <c r="E7" s="17"/>
      <c r="F7" s="17">
        <f>F6-D7+E7</f>
        <v>3624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3624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F13"/>
  <sheetViews>
    <sheetView workbookViewId="0">
      <selection activeCell="J6" sqref="J6"/>
    </sheetView>
  </sheetViews>
  <sheetFormatPr defaultColWidth="9" defaultRowHeight="15" outlineLevelCol="5"/>
  <cols>
    <col min="1" max="1" width="11.7142857142857" customWidth="1"/>
    <col min="2" max="2" width="11.8571428571429" customWidth="1"/>
    <col min="3" max="3" width="30.5714285714286" customWidth="1"/>
    <col min="4" max="4" width="18.5714285714286" customWidth="1"/>
    <col min="5" max="5" width="18.1428571428571" customWidth="1"/>
    <col min="6" max="6" width="12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34</v>
      </c>
      <c r="E3" s="11"/>
      <c r="F3" s="12"/>
    </row>
    <row r="4" ht="22.5" customHeight="1" spans="1:6">
      <c r="A4" s="13" t="s">
        <v>84</v>
      </c>
      <c r="B4" s="13"/>
      <c r="C4" s="14" t="s">
        <v>971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31.5" spans="1:6">
      <c r="A6" s="75">
        <v>45694</v>
      </c>
      <c r="B6" s="17" t="s">
        <v>972</v>
      </c>
      <c r="C6" s="71" t="s">
        <v>973</v>
      </c>
      <c r="D6" s="17"/>
      <c r="E6" s="19">
        <v>7500</v>
      </c>
      <c r="F6" s="17">
        <f>E6-D6</f>
        <v>7500</v>
      </c>
    </row>
    <row r="7" ht="15.75" spans="1:6">
      <c r="A7" s="73" t="s">
        <v>974</v>
      </c>
      <c r="B7" s="17" t="s">
        <v>975</v>
      </c>
      <c r="C7" s="17" t="s">
        <v>140</v>
      </c>
      <c r="D7" s="17"/>
      <c r="E7" s="19">
        <v>7000</v>
      </c>
      <c r="F7" s="17">
        <f>F6-D7+E7</f>
        <v>14500</v>
      </c>
    </row>
    <row r="8" ht="15.75" spans="1:6">
      <c r="A8" s="73"/>
      <c r="B8" s="17"/>
      <c r="C8" s="17"/>
      <c r="D8" s="17"/>
      <c r="E8" s="19"/>
      <c r="F8" s="17"/>
    </row>
    <row r="9" ht="15.75" spans="1:6">
      <c r="A9" s="73"/>
      <c r="B9" s="17"/>
      <c r="C9" s="17"/>
      <c r="D9" s="17"/>
      <c r="E9" s="19"/>
      <c r="F9" s="17"/>
    </row>
    <row r="10" ht="15.75" spans="1:6">
      <c r="A10" s="73"/>
      <c r="B10" s="17"/>
      <c r="C10" s="17"/>
      <c r="D10" s="17"/>
      <c r="E10" s="19"/>
      <c r="F10" s="17"/>
    </row>
    <row r="11" ht="15.75" spans="1:6">
      <c r="A11" s="73"/>
      <c r="B11" s="17"/>
      <c r="C11" s="17"/>
      <c r="D11" s="17"/>
      <c r="E11" s="19"/>
      <c r="F11" s="17"/>
    </row>
    <row r="12" ht="15.75" spans="1:6">
      <c r="A12" s="73"/>
      <c r="B12" s="17"/>
      <c r="C12" s="17"/>
      <c r="D12" s="17"/>
      <c r="E12" s="19"/>
      <c r="F12" s="17">
        <f>F7-D12+E12</f>
        <v>14500</v>
      </c>
    </row>
    <row r="13" ht="18.75" spans="1:6">
      <c r="A13" s="7" t="s">
        <v>303</v>
      </c>
      <c r="B13" s="8"/>
      <c r="C13" s="8"/>
      <c r="D13" s="8"/>
      <c r="E13" s="9"/>
      <c r="F13" s="17">
        <f t="shared" ref="F13" si="0">F12-D13+E13</f>
        <v>14500</v>
      </c>
    </row>
  </sheetData>
  <mergeCells count="6">
    <mergeCell ref="A3:C3"/>
    <mergeCell ref="D3:F3"/>
    <mergeCell ref="A4:B4"/>
    <mergeCell ref="C4:F4"/>
    <mergeCell ref="A13:E13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F22"/>
  <sheetViews>
    <sheetView workbookViewId="0">
      <selection activeCell="H15" sqref="H15"/>
    </sheetView>
  </sheetViews>
  <sheetFormatPr defaultColWidth="9" defaultRowHeight="15" outlineLevelCol="5"/>
  <cols>
    <col min="1" max="1" width="11.7142857142857" customWidth="1"/>
    <col min="2" max="2" width="11.8571428571429" customWidth="1"/>
    <col min="3" max="3" width="30.5714285714286" customWidth="1"/>
    <col min="4" max="4" width="18.5714285714286" customWidth="1"/>
    <col min="5" max="5" width="18.1428571428571" customWidth="1"/>
    <col min="6" max="6" width="12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34</v>
      </c>
      <c r="E3" s="11"/>
      <c r="F3" s="12"/>
    </row>
    <row r="4" ht="22.5" customHeight="1" spans="1:6">
      <c r="A4" s="13" t="s">
        <v>84</v>
      </c>
      <c r="B4" s="13"/>
      <c r="C4" s="14" t="s">
        <v>971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976</v>
      </c>
      <c r="B6" s="17"/>
      <c r="C6" s="17" t="s">
        <v>305</v>
      </c>
      <c r="D6" s="17"/>
      <c r="E6" s="17">
        <v>57984</v>
      </c>
      <c r="F6" s="17">
        <f>E6</f>
        <v>57984</v>
      </c>
    </row>
    <row r="7" ht="15.75" spans="1:6">
      <c r="A7" s="17"/>
      <c r="B7" s="17"/>
      <c r="C7" s="17" t="s">
        <v>977</v>
      </c>
      <c r="D7" s="17">
        <v>13000</v>
      </c>
      <c r="E7" s="17"/>
      <c r="F7" s="17">
        <f t="shared" ref="F7:F22" si="0">E7</f>
        <v>0</v>
      </c>
    </row>
    <row r="8" ht="15.75" spans="1:6">
      <c r="A8" s="17" t="s">
        <v>978</v>
      </c>
      <c r="B8" s="17" t="s">
        <v>979</v>
      </c>
      <c r="C8" s="17" t="s">
        <v>980</v>
      </c>
      <c r="D8" s="17"/>
      <c r="E8" s="17">
        <v>2750</v>
      </c>
      <c r="F8" s="17">
        <f t="shared" si="0"/>
        <v>2750</v>
      </c>
    </row>
    <row r="9" ht="15.75" spans="1:6">
      <c r="A9" s="17" t="s">
        <v>981</v>
      </c>
      <c r="B9" s="17" t="s">
        <v>982</v>
      </c>
      <c r="C9" s="17" t="s">
        <v>697</v>
      </c>
      <c r="D9" s="17"/>
      <c r="E9" s="17">
        <v>550</v>
      </c>
      <c r="F9" s="17">
        <f t="shared" si="0"/>
        <v>550</v>
      </c>
    </row>
    <row r="10" ht="31.5" spans="1:6">
      <c r="A10" s="17" t="s">
        <v>146</v>
      </c>
      <c r="B10" s="17" t="s">
        <v>983</v>
      </c>
      <c r="C10" s="71" t="s">
        <v>984</v>
      </c>
      <c r="D10" s="17"/>
      <c r="E10" s="17">
        <v>9050</v>
      </c>
      <c r="F10" s="17">
        <f t="shared" si="0"/>
        <v>9050</v>
      </c>
    </row>
    <row r="11" ht="15.75" spans="1:6">
      <c r="A11" s="17" t="s">
        <v>146</v>
      </c>
      <c r="B11" s="17" t="s">
        <v>985</v>
      </c>
      <c r="C11" s="17" t="s">
        <v>155</v>
      </c>
      <c r="D11" s="17"/>
      <c r="E11" s="17">
        <v>3450</v>
      </c>
      <c r="F11" s="17">
        <f t="shared" si="0"/>
        <v>3450</v>
      </c>
    </row>
    <row r="12" ht="15.75" spans="1:6">
      <c r="A12" s="18">
        <v>45576</v>
      </c>
      <c r="B12" s="17"/>
      <c r="C12" s="17" t="s">
        <v>986</v>
      </c>
      <c r="D12" s="17">
        <v>15784</v>
      </c>
      <c r="E12" s="17"/>
      <c r="F12" s="17">
        <f t="shared" si="0"/>
        <v>0</v>
      </c>
    </row>
    <row r="13" ht="15.75" spans="1:6">
      <c r="A13" s="75">
        <v>45576</v>
      </c>
      <c r="B13" s="17"/>
      <c r="C13" s="17" t="s">
        <v>987</v>
      </c>
      <c r="D13" s="17">
        <v>20000</v>
      </c>
      <c r="E13" s="19"/>
      <c r="F13" s="17">
        <f t="shared" si="0"/>
        <v>0</v>
      </c>
    </row>
    <row r="14" ht="15.75" spans="1:6">
      <c r="A14" s="73" t="s">
        <v>988</v>
      </c>
      <c r="B14" s="17"/>
      <c r="C14" s="17"/>
      <c r="D14" s="17">
        <v>25000</v>
      </c>
      <c r="E14" s="19"/>
      <c r="F14" s="17">
        <f t="shared" si="0"/>
        <v>0</v>
      </c>
    </row>
    <row r="15" ht="31.5" spans="1:6">
      <c r="A15" s="75">
        <v>45694</v>
      </c>
      <c r="B15" s="17" t="s">
        <v>972</v>
      </c>
      <c r="C15" s="71" t="s">
        <v>973</v>
      </c>
      <c r="D15" s="17"/>
      <c r="E15" s="19">
        <v>7500</v>
      </c>
      <c r="F15" s="17">
        <f t="shared" si="0"/>
        <v>7500</v>
      </c>
    </row>
    <row r="16" ht="15.75" spans="1:6">
      <c r="A16" s="73" t="s">
        <v>974</v>
      </c>
      <c r="B16" s="17" t="s">
        <v>975</v>
      </c>
      <c r="C16" s="17" t="s">
        <v>140</v>
      </c>
      <c r="D16" s="17"/>
      <c r="E16" s="19">
        <v>7000</v>
      </c>
      <c r="F16" s="17">
        <f t="shared" si="0"/>
        <v>7000</v>
      </c>
    </row>
    <row r="17" ht="15.75" spans="1:6">
      <c r="A17" s="73"/>
      <c r="B17" s="17"/>
      <c r="C17" s="17"/>
      <c r="D17" s="17"/>
      <c r="E17" s="19"/>
      <c r="F17" s="17">
        <f t="shared" si="0"/>
        <v>0</v>
      </c>
    </row>
    <row r="18" ht="15.75" spans="1:6">
      <c r="A18" s="73"/>
      <c r="B18" s="17"/>
      <c r="C18" s="17"/>
      <c r="D18" s="17"/>
      <c r="E18" s="19"/>
      <c r="F18" s="17">
        <f t="shared" si="0"/>
        <v>0</v>
      </c>
    </row>
    <row r="19" ht="15.75" spans="1:6">
      <c r="A19" s="73"/>
      <c r="B19" s="17"/>
      <c r="C19" s="17"/>
      <c r="D19" s="17"/>
      <c r="E19" s="19"/>
      <c r="F19" s="17">
        <f t="shared" si="0"/>
        <v>0</v>
      </c>
    </row>
    <row r="20" ht="15.75" spans="1:6">
      <c r="A20" s="73"/>
      <c r="B20" s="17"/>
      <c r="C20" s="17"/>
      <c r="D20" s="17"/>
      <c r="E20" s="19"/>
      <c r="F20" s="17">
        <f t="shared" si="0"/>
        <v>0</v>
      </c>
    </row>
    <row r="21" ht="15.75" spans="1:6">
      <c r="A21" s="73"/>
      <c r="B21" s="17"/>
      <c r="C21" s="17"/>
      <c r="D21" s="17"/>
      <c r="E21" s="19"/>
      <c r="F21" s="17">
        <f t="shared" si="0"/>
        <v>0</v>
      </c>
    </row>
    <row r="22" ht="18.75" spans="1:6">
      <c r="A22" s="7" t="s">
        <v>303</v>
      </c>
      <c r="B22" s="8"/>
      <c r="C22" s="8"/>
      <c r="D22" s="8"/>
      <c r="E22" s="9"/>
      <c r="F22" s="17">
        <f t="shared" si="0"/>
        <v>0</v>
      </c>
    </row>
  </sheetData>
  <mergeCells count="6">
    <mergeCell ref="A3:C3"/>
    <mergeCell ref="D3:F3"/>
    <mergeCell ref="A4:B4"/>
    <mergeCell ref="C4:F4"/>
    <mergeCell ref="A22:E2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F9"/>
  <sheetViews>
    <sheetView workbookViewId="0">
      <selection activeCell="E8" sqref="E8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22.2857142857143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989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714</v>
      </c>
      <c r="D6" s="17"/>
      <c r="E6" s="17"/>
      <c r="F6" s="17">
        <f>E6-D6</f>
        <v>0</v>
      </c>
    </row>
    <row r="7" ht="15.75" spans="1:6">
      <c r="A7" s="17" t="s">
        <v>803</v>
      </c>
      <c r="B7" s="17" t="s">
        <v>990</v>
      </c>
      <c r="C7" s="17" t="s">
        <v>991</v>
      </c>
      <c r="D7" s="17"/>
      <c r="E7" s="17">
        <v>4050</v>
      </c>
      <c r="F7" s="17">
        <f>F6-D7+E7</f>
        <v>4050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4050</v>
      </c>
    </row>
    <row r="9" ht="18.75" spans="1:6">
      <c r="A9" s="7" t="s">
        <v>303</v>
      </c>
      <c r="B9" s="9"/>
      <c r="C9" s="358"/>
      <c r="D9" s="358"/>
      <c r="E9" s="358"/>
      <c r="F9" s="17">
        <f t="shared" si="0"/>
        <v>4050</v>
      </c>
    </row>
  </sheetData>
  <mergeCells count="6">
    <mergeCell ref="A3:C3"/>
    <mergeCell ref="D3:F3"/>
    <mergeCell ref="A4:B4"/>
    <mergeCell ref="C4:F4"/>
    <mergeCell ref="A9:B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F10"/>
  <sheetViews>
    <sheetView workbookViewId="0">
      <selection activeCell="M8" sqref="M8"/>
    </sheetView>
  </sheetViews>
  <sheetFormatPr defaultColWidth="9" defaultRowHeight="15" outlineLevelCol="5"/>
  <cols>
    <col min="1" max="1" width="11.7142857142857" customWidth="1"/>
    <col min="2" max="2" width="14.7142857142857" customWidth="1"/>
    <col min="3" max="3" width="22.7142857142857" customWidth="1"/>
    <col min="4" max="4" width="9.42857142857143" customWidth="1"/>
    <col min="5" max="5" width="12" customWidth="1"/>
    <col min="6" max="6" width="10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992</v>
      </c>
      <c r="E3" s="11"/>
      <c r="F3" s="12"/>
    </row>
    <row r="4" ht="22.5" customHeight="1" spans="1:6">
      <c r="A4" s="13" t="s">
        <v>84</v>
      </c>
      <c r="B4" s="13"/>
      <c r="C4" s="14" t="s">
        <v>993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994</v>
      </c>
      <c r="B6" s="17"/>
      <c r="C6" s="17" t="s">
        <v>305</v>
      </c>
      <c r="D6" s="17"/>
      <c r="E6" s="17">
        <v>5240</v>
      </c>
      <c r="F6" s="17">
        <f>E6-D6</f>
        <v>5240</v>
      </c>
    </row>
    <row r="7" ht="15.75" spans="1:6">
      <c r="A7" s="17" t="s">
        <v>995</v>
      </c>
      <c r="B7" s="17" t="s">
        <v>996</v>
      </c>
      <c r="C7" s="17" t="s">
        <v>997</v>
      </c>
      <c r="D7" s="17"/>
      <c r="E7" s="17">
        <v>3175</v>
      </c>
      <c r="F7" s="17">
        <f>F6-D7+E7</f>
        <v>8415</v>
      </c>
    </row>
    <row r="8" ht="15.75" spans="1:6">
      <c r="A8" s="75">
        <v>45902</v>
      </c>
      <c r="B8" s="17" t="s">
        <v>253</v>
      </c>
      <c r="C8" s="17" t="s">
        <v>313</v>
      </c>
      <c r="D8" s="17">
        <v>1000</v>
      </c>
      <c r="E8" s="19"/>
      <c r="F8" s="17">
        <f t="shared" ref="F8:F10" si="0">F7-D8+E8</f>
        <v>7415</v>
      </c>
    </row>
    <row r="9" ht="15.75" spans="1:6">
      <c r="A9" s="73"/>
      <c r="B9" s="17"/>
      <c r="C9" s="17"/>
      <c r="D9" s="17"/>
      <c r="E9" s="19"/>
      <c r="F9" s="17">
        <f t="shared" si="0"/>
        <v>7415</v>
      </c>
    </row>
    <row r="10" ht="18.75" spans="1:6">
      <c r="A10" s="7" t="s">
        <v>303</v>
      </c>
      <c r="B10" s="8"/>
      <c r="C10" s="8"/>
      <c r="D10" s="8"/>
      <c r="E10" s="9"/>
      <c r="F10" s="17">
        <f t="shared" si="0"/>
        <v>7415</v>
      </c>
    </row>
  </sheetData>
  <mergeCells count="6">
    <mergeCell ref="A3:C3"/>
    <mergeCell ref="D3:F3"/>
    <mergeCell ref="A4:B4"/>
    <mergeCell ref="C4:F4"/>
    <mergeCell ref="A10:E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12"/>
  <sheetViews>
    <sheetView workbookViewId="0">
      <selection activeCell="J16" sqref="J16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1" customWidth="1"/>
    <col min="5" max="5" width="14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998</v>
      </c>
      <c r="E3" s="11"/>
      <c r="F3" s="12"/>
    </row>
    <row r="4" ht="22.5" customHeight="1" spans="1:6">
      <c r="A4" s="13" t="s">
        <v>84</v>
      </c>
      <c r="B4" s="13"/>
      <c r="C4" s="14" t="s">
        <v>999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1000</v>
      </c>
      <c r="B6" s="17" t="s">
        <v>1001</v>
      </c>
      <c r="C6" s="17" t="s">
        <v>1002</v>
      </c>
      <c r="D6" s="17"/>
      <c r="E6" s="17">
        <v>13000</v>
      </c>
      <c r="F6" s="17">
        <f>E6-D6</f>
        <v>13000</v>
      </c>
    </row>
    <row r="7" ht="15.75" spans="1:6">
      <c r="A7" s="18">
        <v>45206</v>
      </c>
      <c r="B7" s="17" t="s">
        <v>1003</v>
      </c>
      <c r="C7" s="17" t="s">
        <v>1004</v>
      </c>
      <c r="D7" s="17"/>
      <c r="E7" s="17">
        <v>2500</v>
      </c>
      <c r="F7" s="17">
        <f>F6-D7+E7</f>
        <v>15500</v>
      </c>
    </row>
    <row r="8" ht="15.75" spans="1:6">
      <c r="A8" s="18">
        <v>45267</v>
      </c>
      <c r="B8" s="17" t="s">
        <v>1005</v>
      </c>
      <c r="C8" s="17" t="s">
        <v>1006</v>
      </c>
      <c r="D8" s="17"/>
      <c r="E8" s="17">
        <v>2500</v>
      </c>
      <c r="F8" s="17">
        <f t="shared" ref="F8:F12" si="0">F7-D8+E8</f>
        <v>18000</v>
      </c>
    </row>
    <row r="9" ht="15.75" spans="1:6">
      <c r="A9" s="18">
        <v>45267</v>
      </c>
      <c r="B9" s="17"/>
      <c r="C9" s="17" t="s">
        <v>101</v>
      </c>
      <c r="D9" s="17">
        <v>10000</v>
      </c>
      <c r="E9" s="17"/>
      <c r="F9" s="17">
        <f t="shared" si="0"/>
        <v>8000</v>
      </c>
    </row>
    <row r="10" ht="15.75" spans="1:6">
      <c r="A10" s="17" t="s">
        <v>1007</v>
      </c>
      <c r="B10" s="17"/>
      <c r="C10" s="17" t="s">
        <v>101</v>
      </c>
      <c r="D10" s="17">
        <v>7000</v>
      </c>
      <c r="E10" s="17"/>
      <c r="F10" s="17">
        <f t="shared" si="0"/>
        <v>1000</v>
      </c>
    </row>
    <row r="11" ht="15.75" spans="1:6">
      <c r="A11" s="17"/>
      <c r="B11" s="17"/>
      <c r="C11" s="17"/>
      <c r="D11" s="17"/>
      <c r="E11" s="17"/>
      <c r="F11" s="17">
        <f t="shared" si="0"/>
        <v>1000</v>
      </c>
    </row>
    <row r="12" ht="18.75" spans="1:6">
      <c r="A12" s="7" t="s">
        <v>303</v>
      </c>
      <c r="B12" s="8"/>
      <c r="C12" s="8"/>
      <c r="D12" s="8"/>
      <c r="E12" s="9"/>
      <c r="F12" s="17">
        <f t="shared" si="0"/>
        <v>1000</v>
      </c>
    </row>
  </sheetData>
  <mergeCells count="6">
    <mergeCell ref="A3:C3"/>
    <mergeCell ref="D3:F3"/>
    <mergeCell ref="A4:B4"/>
    <mergeCell ref="C4:F4"/>
    <mergeCell ref="A12:E1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F69"/>
  <sheetViews>
    <sheetView zoomScale="112" zoomScaleNormal="112" zoomScaleSheetLayoutView="93" topLeftCell="A52" workbookViewId="0">
      <selection activeCell="I62" sqref="I62"/>
    </sheetView>
  </sheetViews>
  <sheetFormatPr defaultColWidth="9" defaultRowHeight="15" outlineLevelCol="5"/>
  <cols>
    <col min="1" max="1" width="10.7142857142857" customWidth="1"/>
    <col min="2" max="2" width="9.14285714285714" customWidth="1"/>
    <col min="3" max="3" width="35.5714285714286" customWidth="1"/>
    <col min="4" max="5" width="8.85714285714286" customWidth="1"/>
    <col min="6" max="6" width="11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1008</v>
      </c>
      <c r="E3" s="11"/>
      <c r="F3" s="12"/>
    </row>
    <row r="4" ht="22.5" customHeight="1" spans="1:6">
      <c r="A4" s="13" t="s">
        <v>84</v>
      </c>
      <c r="B4" s="13"/>
      <c r="C4" s="14" t="s">
        <v>1009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44754</v>
      </c>
      <c r="B6" s="17">
        <v>723</v>
      </c>
      <c r="C6" s="17" t="s">
        <v>1010</v>
      </c>
      <c r="D6" s="17"/>
      <c r="E6" s="17">
        <v>1300</v>
      </c>
      <c r="F6" s="17">
        <f>E6-D6</f>
        <v>1300</v>
      </c>
    </row>
    <row r="7" ht="15.75" spans="1:6">
      <c r="A7" s="18">
        <v>44753</v>
      </c>
      <c r="B7" s="17">
        <v>724</v>
      </c>
      <c r="C7" s="17" t="s">
        <v>1010</v>
      </c>
      <c r="D7" s="17"/>
      <c r="E7" s="17">
        <v>1300</v>
      </c>
      <c r="F7" s="17">
        <f>F6-D7+E7</f>
        <v>2600</v>
      </c>
    </row>
    <row r="8" ht="15.75" spans="1:6">
      <c r="A8" s="18">
        <v>44815</v>
      </c>
      <c r="B8" s="17">
        <v>759</v>
      </c>
      <c r="C8" s="17" t="s">
        <v>1011</v>
      </c>
      <c r="D8" s="17"/>
      <c r="E8" s="17">
        <v>7700</v>
      </c>
      <c r="F8" s="17">
        <f t="shared" ref="F8:F16" si="0">F7-D8+E8</f>
        <v>10300</v>
      </c>
    </row>
    <row r="9" ht="15.75" spans="1:6">
      <c r="A9" s="17" t="s">
        <v>1012</v>
      </c>
      <c r="B9" s="17">
        <v>846</v>
      </c>
      <c r="C9" s="17" t="s">
        <v>687</v>
      </c>
      <c r="D9" s="17"/>
      <c r="E9" s="17">
        <v>8080</v>
      </c>
      <c r="F9" s="17">
        <f t="shared" si="0"/>
        <v>18380</v>
      </c>
    </row>
    <row r="10" ht="15.75" spans="1:6">
      <c r="A10" s="17" t="s">
        <v>1013</v>
      </c>
      <c r="B10" s="17">
        <v>857</v>
      </c>
      <c r="C10" s="17" t="s">
        <v>1014</v>
      </c>
      <c r="D10" s="17"/>
      <c r="E10" s="17">
        <v>2500</v>
      </c>
      <c r="F10" s="17">
        <f t="shared" si="0"/>
        <v>20880</v>
      </c>
    </row>
    <row r="11" ht="15.75" spans="1:6">
      <c r="A11" s="17" t="s">
        <v>1015</v>
      </c>
      <c r="B11" s="17">
        <v>1236</v>
      </c>
      <c r="C11" s="17"/>
      <c r="D11" s="17"/>
      <c r="E11" s="17">
        <v>10600</v>
      </c>
      <c r="F11" s="17">
        <f t="shared" si="0"/>
        <v>31480</v>
      </c>
    </row>
    <row r="12" ht="15.75" spans="1:6">
      <c r="A12" s="17" t="s">
        <v>1016</v>
      </c>
      <c r="B12" s="17">
        <v>756</v>
      </c>
      <c r="C12" s="73" t="s">
        <v>1017</v>
      </c>
      <c r="D12" s="19"/>
      <c r="E12" s="17">
        <v>5000</v>
      </c>
      <c r="F12" s="17">
        <f t="shared" si="0"/>
        <v>36480</v>
      </c>
    </row>
    <row r="13" ht="15.75" spans="1:6">
      <c r="A13" s="18">
        <v>45233</v>
      </c>
      <c r="B13" s="17">
        <v>1052</v>
      </c>
      <c r="C13" s="17" t="s">
        <v>687</v>
      </c>
      <c r="D13" s="17"/>
      <c r="E13" s="17">
        <v>6500</v>
      </c>
      <c r="F13" s="17">
        <f t="shared" si="0"/>
        <v>42980</v>
      </c>
    </row>
    <row r="14" ht="15.75" spans="1:6">
      <c r="A14" s="17" t="s">
        <v>1018</v>
      </c>
      <c r="B14" s="17">
        <v>1564</v>
      </c>
      <c r="C14" s="17" t="s">
        <v>1019</v>
      </c>
      <c r="D14" s="17"/>
      <c r="E14" s="17">
        <v>850000</v>
      </c>
      <c r="F14" s="17">
        <f t="shared" si="0"/>
        <v>892980</v>
      </c>
    </row>
    <row r="15" ht="15.75" spans="1:6">
      <c r="A15" s="18">
        <v>45082</v>
      </c>
      <c r="B15" s="17">
        <v>1813</v>
      </c>
      <c r="C15" s="17" t="s">
        <v>1020</v>
      </c>
      <c r="D15" s="17"/>
      <c r="E15" s="17">
        <v>15000</v>
      </c>
      <c r="F15" s="17">
        <f t="shared" si="0"/>
        <v>907980</v>
      </c>
    </row>
    <row r="16" ht="15.75" spans="1:6">
      <c r="A16" s="18">
        <v>44964</v>
      </c>
      <c r="B16" s="17" t="s">
        <v>1021</v>
      </c>
      <c r="C16" s="17" t="s">
        <v>1022</v>
      </c>
      <c r="D16" s="17"/>
      <c r="E16" s="17">
        <v>20000</v>
      </c>
      <c r="F16" s="17">
        <f t="shared" si="0"/>
        <v>927980</v>
      </c>
    </row>
    <row r="17" ht="15.75" spans="1:6">
      <c r="A17" s="18">
        <v>44966</v>
      </c>
      <c r="B17" s="17" t="s">
        <v>1023</v>
      </c>
      <c r="C17" s="17" t="s">
        <v>1010</v>
      </c>
      <c r="D17" s="17"/>
      <c r="E17" s="17">
        <v>1500</v>
      </c>
      <c r="F17" s="17">
        <f t="shared" ref="F17:F69" si="1">F16-D17+E17</f>
        <v>929480</v>
      </c>
    </row>
    <row r="18" ht="15.75" spans="1:6">
      <c r="A18" s="17"/>
      <c r="B18" s="35" t="s">
        <v>1024</v>
      </c>
      <c r="C18" s="17" t="s">
        <v>1025</v>
      </c>
      <c r="D18" s="17"/>
      <c r="E18" s="17">
        <v>1695700</v>
      </c>
      <c r="F18" s="17">
        <f t="shared" si="1"/>
        <v>2625180</v>
      </c>
    </row>
    <row r="19" ht="15.75" spans="1:6">
      <c r="A19" s="17"/>
      <c r="B19" s="98"/>
      <c r="C19" s="17" t="s">
        <v>1026</v>
      </c>
      <c r="D19" s="17"/>
      <c r="E19" s="17">
        <v>772700</v>
      </c>
      <c r="F19" s="17">
        <f t="shared" si="1"/>
        <v>3397880</v>
      </c>
    </row>
    <row r="20" ht="15.75" spans="1:6">
      <c r="A20" s="17"/>
      <c r="B20" s="98"/>
      <c r="C20" s="17" t="s">
        <v>1027</v>
      </c>
      <c r="D20" s="17"/>
      <c r="E20" s="17">
        <v>483100</v>
      </c>
      <c r="F20" s="17">
        <f t="shared" si="1"/>
        <v>3880980</v>
      </c>
    </row>
    <row r="21" ht="15.75" spans="1:6">
      <c r="A21" s="17"/>
      <c r="B21" s="98"/>
      <c r="C21" s="17" t="s">
        <v>1028</v>
      </c>
      <c r="D21" s="17"/>
      <c r="E21" s="17">
        <v>755650</v>
      </c>
      <c r="F21" s="17">
        <f t="shared" si="1"/>
        <v>4636630</v>
      </c>
    </row>
    <row r="22" ht="15.75" spans="1:6">
      <c r="A22" s="17"/>
      <c r="B22" s="98"/>
      <c r="C22" s="17" t="s">
        <v>1029</v>
      </c>
      <c r="D22" s="17"/>
      <c r="E22" s="17">
        <v>97300</v>
      </c>
      <c r="F22" s="17">
        <f t="shared" si="1"/>
        <v>4733930</v>
      </c>
    </row>
    <row r="23" ht="15.75" spans="1:6">
      <c r="A23" s="17"/>
      <c r="B23" s="150"/>
      <c r="C23" s="17" t="s">
        <v>1030</v>
      </c>
      <c r="D23" s="17"/>
      <c r="E23" s="17">
        <v>375000</v>
      </c>
      <c r="F23" s="17">
        <f t="shared" si="1"/>
        <v>5108930</v>
      </c>
    </row>
    <row r="24" ht="15.75" spans="1:6">
      <c r="A24" s="17"/>
      <c r="B24" s="17"/>
      <c r="C24" s="17" t="s">
        <v>1031</v>
      </c>
      <c r="D24" s="17">
        <v>500000</v>
      </c>
      <c r="E24" s="17"/>
      <c r="F24" s="17">
        <f t="shared" si="1"/>
        <v>4608930</v>
      </c>
    </row>
    <row r="25" ht="15.75" spans="1:6">
      <c r="A25" s="17"/>
      <c r="B25" s="17"/>
      <c r="C25" s="17" t="s">
        <v>1031</v>
      </c>
      <c r="D25" s="17">
        <v>500000</v>
      </c>
      <c r="E25" s="17"/>
      <c r="F25" s="17">
        <f t="shared" si="1"/>
        <v>4108930</v>
      </c>
    </row>
    <row r="26" ht="15.75" spans="1:6">
      <c r="A26" s="17"/>
      <c r="B26" s="17"/>
      <c r="C26" s="17" t="s">
        <v>1032</v>
      </c>
      <c r="D26" s="17">
        <v>400000</v>
      </c>
      <c r="E26" s="17"/>
      <c r="F26" s="17">
        <f t="shared" si="1"/>
        <v>3708930</v>
      </c>
    </row>
    <row r="27" ht="15.75" spans="1:6">
      <c r="A27" s="17"/>
      <c r="B27" s="17"/>
      <c r="C27" s="17" t="s">
        <v>1033</v>
      </c>
      <c r="D27" s="17">
        <v>725000</v>
      </c>
      <c r="E27" s="17"/>
      <c r="F27" s="17">
        <f t="shared" si="1"/>
        <v>2983930</v>
      </c>
    </row>
    <row r="28" ht="15.75" spans="1:6">
      <c r="A28" s="17" t="s">
        <v>1034</v>
      </c>
      <c r="B28" s="17" t="s">
        <v>1035</v>
      </c>
      <c r="C28" s="17" t="s">
        <v>1036</v>
      </c>
      <c r="D28" s="17"/>
      <c r="E28" s="17">
        <v>7000</v>
      </c>
      <c r="F28" s="17">
        <f t="shared" si="1"/>
        <v>2990930</v>
      </c>
    </row>
    <row r="29" ht="15.75" spans="1:6">
      <c r="A29" s="17" t="s">
        <v>1037</v>
      </c>
      <c r="B29" s="17" t="s">
        <v>1038</v>
      </c>
      <c r="C29" s="17" t="s">
        <v>571</v>
      </c>
      <c r="D29" s="17"/>
      <c r="E29" s="17">
        <v>3200</v>
      </c>
      <c r="F29" s="17">
        <f t="shared" si="1"/>
        <v>2994130</v>
      </c>
    </row>
    <row r="30" ht="15.75" spans="1:6">
      <c r="A30" s="18">
        <v>45056</v>
      </c>
      <c r="B30" s="17" t="s">
        <v>920</v>
      </c>
      <c r="C30" s="17" t="s">
        <v>1039</v>
      </c>
      <c r="D30" s="17"/>
      <c r="E30" s="17">
        <v>13500</v>
      </c>
      <c r="F30" s="17">
        <f t="shared" si="1"/>
        <v>3007630</v>
      </c>
    </row>
    <row r="31" ht="15.75" spans="1:6">
      <c r="A31" s="17" t="s">
        <v>1040</v>
      </c>
      <c r="B31" s="17" t="s">
        <v>1041</v>
      </c>
      <c r="C31" s="17" t="s">
        <v>1042</v>
      </c>
      <c r="D31" s="17"/>
      <c r="E31" s="17">
        <v>13500</v>
      </c>
      <c r="F31" s="17">
        <f t="shared" si="1"/>
        <v>3021130</v>
      </c>
    </row>
    <row r="32" ht="15.75" spans="1:6">
      <c r="A32" s="17" t="s">
        <v>1043</v>
      </c>
      <c r="B32" s="17" t="s">
        <v>1044</v>
      </c>
      <c r="C32" s="17" t="s">
        <v>1045</v>
      </c>
      <c r="D32" s="17"/>
      <c r="E32" s="17">
        <v>1240</v>
      </c>
      <c r="F32" s="17">
        <f t="shared" si="1"/>
        <v>3022370</v>
      </c>
    </row>
    <row r="33" ht="15.75" spans="1:6">
      <c r="A33" s="18">
        <v>45089</v>
      </c>
      <c r="B33" s="17" t="s">
        <v>1046</v>
      </c>
      <c r="C33" s="17" t="s">
        <v>1010</v>
      </c>
      <c r="D33" s="17"/>
      <c r="E33" s="17">
        <v>1500</v>
      </c>
      <c r="F33" s="17">
        <f t="shared" si="1"/>
        <v>3023870</v>
      </c>
    </row>
    <row r="34" ht="15.75" spans="1:6">
      <c r="A34" s="17" t="s">
        <v>1047</v>
      </c>
      <c r="B34" s="17" t="s">
        <v>1048</v>
      </c>
      <c r="C34" s="17" t="s">
        <v>1036</v>
      </c>
      <c r="D34" s="17"/>
      <c r="E34" s="17">
        <v>9500</v>
      </c>
      <c r="F34" s="17">
        <f t="shared" si="1"/>
        <v>3033370</v>
      </c>
    </row>
    <row r="35" ht="15.75" spans="1:6">
      <c r="A35" s="17" t="s">
        <v>1047</v>
      </c>
      <c r="B35" s="17" t="s">
        <v>1048</v>
      </c>
      <c r="C35" s="17" t="s">
        <v>157</v>
      </c>
      <c r="D35" s="17">
        <v>10000</v>
      </c>
      <c r="E35" s="17"/>
      <c r="F35" s="17">
        <f t="shared" si="1"/>
        <v>3023370</v>
      </c>
    </row>
    <row r="36" ht="15.75" spans="1:6">
      <c r="A36" s="17"/>
      <c r="B36" s="17"/>
      <c r="C36" s="17" t="s">
        <v>1049</v>
      </c>
      <c r="D36" s="17">
        <v>1750000</v>
      </c>
      <c r="E36" s="17"/>
      <c r="F36" s="17">
        <f t="shared" si="1"/>
        <v>1273370</v>
      </c>
    </row>
    <row r="37" ht="15.75" spans="1:6">
      <c r="A37" s="17"/>
      <c r="B37" s="17"/>
      <c r="C37" s="17" t="s">
        <v>752</v>
      </c>
      <c r="D37" s="17">
        <v>173370</v>
      </c>
      <c r="E37" s="17"/>
      <c r="F37" s="17">
        <f t="shared" si="1"/>
        <v>1100000</v>
      </c>
    </row>
    <row r="38" ht="15.75" spans="1:6">
      <c r="A38" s="17" t="s">
        <v>1050</v>
      </c>
      <c r="B38" s="17" t="s">
        <v>1051</v>
      </c>
      <c r="C38" s="17" t="s">
        <v>1052</v>
      </c>
      <c r="D38" s="17"/>
      <c r="E38" s="17">
        <v>9000</v>
      </c>
      <c r="F38" s="17">
        <f t="shared" si="1"/>
        <v>1109000</v>
      </c>
    </row>
    <row r="39" ht="15.75" spans="1:6">
      <c r="A39" s="18">
        <v>45415</v>
      </c>
      <c r="B39" s="17"/>
      <c r="C39" s="17" t="s">
        <v>1053</v>
      </c>
      <c r="D39" s="17">
        <v>100000</v>
      </c>
      <c r="E39" s="17"/>
      <c r="F39" s="17">
        <f t="shared" si="1"/>
        <v>1009000</v>
      </c>
    </row>
    <row r="40" ht="15.75" spans="1:6">
      <c r="A40" s="17"/>
      <c r="B40" s="17"/>
      <c r="C40" s="17" t="s">
        <v>1054</v>
      </c>
      <c r="D40" s="17">
        <v>100000</v>
      </c>
      <c r="E40" s="17"/>
      <c r="F40" s="17">
        <f t="shared" si="1"/>
        <v>909000</v>
      </c>
    </row>
    <row r="41" ht="15.75" spans="1:6">
      <c r="A41" s="17"/>
      <c r="B41" s="17"/>
      <c r="C41" s="17" t="s">
        <v>1055</v>
      </c>
      <c r="D41" s="17">
        <v>125000</v>
      </c>
      <c r="E41" s="17"/>
      <c r="F41" s="17">
        <f t="shared" si="1"/>
        <v>784000</v>
      </c>
    </row>
    <row r="42" ht="15.75" spans="1:6">
      <c r="A42" s="17"/>
      <c r="B42" s="17"/>
      <c r="C42" s="17" t="s">
        <v>1056</v>
      </c>
      <c r="D42" s="17">
        <v>40000</v>
      </c>
      <c r="E42" s="17"/>
      <c r="F42" s="17">
        <f t="shared" si="1"/>
        <v>744000</v>
      </c>
    </row>
    <row r="43" ht="15.75" spans="1:6">
      <c r="A43" s="17"/>
      <c r="B43" s="17"/>
      <c r="C43" s="17" t="s">
        <v>1057</v>
      </c>
      <c r="D43" s="17">
        <v>14000</v>
      </c>
      <c r="E43" s="17"/>
      <c r="F43" s="17">
        <f t="shared" si="1"/>
        <v>730000</v>
      </c>
    </row>
    <row r="44" ht="15.75" spans="1:6">
      <c r="A44" s="17"/>
      <c r="B44" s="17"/>
      <c r="C44" s="17" t="s">
        <v>1031</v>
      </c>
      <c r="D44" s="17">
        <v>736000</v>
      </c>
      <c r="E44" s="17"/>
      <c r="F44" s="17">
        <f t="shared" si="1"/>
        <v>-6000</v>
      </c>
    </row>
    <row r="45" ht="15.75" spans="1:6">
      <c r="A45" s="17"/>
      <c r="B45" s="17"/>
      <c r="C45" s="17" t="s">
        <v>928</v>
      </c>
      <c r="D45" s="17"/>
      <c r="E45" s="17">
        <v>6000</v>
      </c>
      <c r="F45" s="17">
        <f t="shared" si="1"/>
        <v>0</v>
      </c>
    </row>
    <row r="46" ht="15.75" spans="1:6">
      <c r="A46" s="18">
        <v>45568</v>
      </c>
      <c r="B46" s="17" t="s">
        <v>1058</v>
      </c>
      <c r="C46" s="17" t="s">
        <v>1059</v>
      </c>
      <c r="D46" s="17"/>
      <c r="E46" s="17">
        <v>38500</v>
      </c>
      <c r="F46" s="17">
        <f t="shared" si="1"/>
        <v>38500</v>
      </c>
    </row>
    <row r="47" ht="15.75" spans="1:6">
      <c r="A47" s="18" t="s">
        <v>1060</v>
      </c>
      <c r="B47" s="17" t="s">
        <v>1061</v>
      </c>
      <c r="C47" s="17" t="s">
        <v>1062</v>
      </c>
      <c r="D47" s="17"/>
      <c r="E47" s="17">
        <v>5500</v>
      </c>
      <c r="F47" s="17">
        <f t="shared" si="1"/>
        <v>44000</v>
      </c>
    </row>
    <row r="48" ht="15.75" spans="1:6">
      <c r="A48" s="18" t="s">
        <v>751</v>
      </c>
      <c r="B48" s="17" t="s">
        <v>1063</v>
      </c>
      <c r="C48" s="17" t="s">
        <v>1064</v>
      </c>
      <c r="D48" s="17"/>
      <c r="E48" s="17">
        <v>52100</v>
      </c>
      <c r="F48" s="17">
        <f t="shared" si="1"/>
        <v>96100</v>
      </c>
    </row>
    <row r="49" ht="15.75" spans="1:6">
      <c r="A49" s="18">
        <v>45478</v>
      </c>
      <c r="B49" s="17" t="s">
        <v>1065</v>
      </c>
      <c r="C49" s="17" t="s">
        <v>1066</v>
      </c>
      <c r="D49" s="17"/>
      <c r="E49" s="17">
        <v>9000</v>
      </c>
      <c r="F49" s="17">
        <f t="shared" si="1"/>
        <v>105100</v>
      </c>
    </row>
    <row r="50" ht="15.75" spans="1:6">
      <c r="A50" s="18" t="s">
        <v>92</v>
      </c>
      <c r="B50" s="17" t="s">
        <v>1067</v>
      </c>
      <c r="C50" s="17" t="s">
        <v>1068</v>
      </c>
      <c r="D50" s="17"/>
      <c r="E50" s="17">
        <v>870</v>
      </c>
      <c r="F50" s="17">
        <f t="shared" si="1"/>
        <v>105970</v>
      </c>
    </row>
    <row r="51" ht="15.75" spans="1:6">
      <c r="A51" s="18" t="s">
        <v>92</v>
      </c>
      <c r="B51" s="17" t="s">
        <v>1069</v>
      </c>
      <c r="C51" s="17" t="s">
        <v>1070</v>
      </c>
      <c r="D51" s="17"/>
      <c r="E51" s="17">
        <v>2470</v>
      </c>
      <c r="F51" s="17">
        <f t="shared" si="1"/>
        <v>108440</v>
      </c>
    </row>
    <row r="52" ht="15.75" spans="1:6">
      <c r="A52" s="18" t="s">
        <v>658</v>
      </c>
      <c r="B52" s="17" t="s">
        <v>1071</v>
      </c>
      <c r="C52" s="17" t="s">
        <v>1062</v>
      </c>
      <c r="D52" s="17"/>
      <c r="E52" s="17">
        <v>5500</v>
      </c>
      <c r="F52" s="17">
        <f t="shared" si="1"/>
        <v>113940</v>
      </c>
    </row>
    <row r="53" ht="15.75" spans="1:6">
      <c r="A53" s="18" t="s">
        <v>97</v>
      </c>
      <c r="B53" s="17" t="s">
        <v>1072</v>
      </c>
      <c r="C53" s="17" t="s">
        <v>1073</v>
      </c>
      <c r="D53" s="17"/>
      <c r="E53" s="17">
        <v>4000</v>
      </c>
      <c r="F53" s="17">
        <f t="shared" si="1"/>
        <v>117940</v>
      </c>
    </row>
    <row r="54" ht="15.75" spans="1:6">
      <c r="A54" s="18">
        <v>45602</v>
      </c>
      <c r="B54" s="17" t="s">
        <v>1074</v>
      </c>
      <c r="C54" s="17" t="s">
        <v>786</v>
      </c>
      <c r="D54" s="17"/>
      <c r="E54" s="17">
        <v>1500</v>
      </c>
      <c r="F54" s="17">
        <f t="shared" si="1"/>
        <v>119440</v>
      </c>
    </row>
    <row r="55" ht="15.75" spans="1:6">
      <c r="A55" s="17" t="s">
        <v>1075</v>
      </c>
      <c r="B55" s="17" t="s">
        <v>1076</v>
      </c>
      <c r="C55" s="17" t="s">
        <v>1077</v>
      </c>
      <c r="D55" s="17"/>
      <c r="E55" s="17">
        <v>10000</v>
      </c>
      <c r="F55" s="17">
        <f t="shared" si="1"/>
        <v>129440</v>
      </c>
    </row>
    <row r="56" ht="15.75" spans="1:6">
      <c r="A56" s="89" t="s">
        <v>1078</v>
      </c>
      <c r="B56" s="361" t="s">
        <v>1079</v>
      </c>
      <c r="C56" s="361" t="s">
        <v>1010</v>
      </c>
      <c r="D56" s="93"/>
      <c r="E56" s="93">
        <v>1100</v>
      </c>
      <c r="F56" s="93">
        <f t="shared" si="1"/>
        <v>130540</v>
      </c>
    </row>
    <row r="57" ht="15.75" spans="1:6">
      <c r="A57" s="375"/>
      <c r="B57" s="376"/>
      <c r="C57" s="72" t="s">
        <v>1080</v>
      </c>
      <c r="D57" s="17">
        <v>130540</v>
      </c>
      <c r="E57" s="17"/>
      <c r="F57" s="17">
        <f t="shared" si="1"/>
        <v>0</v>
      </c>
    </row>
    <row r="58" ht="15.75" spans="1:6">
      <c r="A58" s="377">
        <v>45660</v>
      </c>
      <c r="B58" s="376" t="s">
        <v>1081</v>
      </c>
      <c r="C58" s="72" t="s">
        <v>1082</v>
      </c>
      <c r="D58" s="17"/>
      <c r="E58" s="17">
        <v>1500</v>
      </c>
      <c r="F58" s="17">
        <f t="shared" si="1"/>
        <v>1500</v>
      </c>
    </row>
    <row r="59" ht="15.75" spans="1:6">
      <c r="A59" s="377">
        <v>45660</v>
      </c>
      <c r="B59" s="376" t="s">
        <v>1083</v>
      </c>
      <c r="C59" s="72" t="s">
        <v>1084</v>
      </c>
      <c r="D59" s="17"/>
      <c r="E59" s="17">
        <v>1000</v>
      </c>
      <c r="F59" s="17">
        <f t="shared" si="1"/>
        <v>2500</v>
      </c>
    </row>
    <row r="60" ht="15.75" spans="1:6">
      <c r="A60" s="375"/>
      <c r="B60" s="376"/>
      <c r="C60" s="74"/>
      <c r="D60" s="17"/>
      <c r="E60" s="17"/>
      <c r="F60" s="17">
        <f t="shared" si="1"/>
        <v>2500</v>
      </c>
    </row>
    <row r="61" ht="15.75" spans="1:6">
      <c r="A61" s="375"/>
      <c r="B61" s="376"/>
      <c r="C61" s="74"/>
      <c r="D61" s="17"/>
      <c r="E61" s="17"/>
      <c r="F61" s="17">
        <f t="shared" si="1"/>
        <v>2500</v>
      </c>
    </row>
    <row r="62" ht="15.75" spans="1:6">
      <c r="A62" s="375"/>
      <c r="B62" s="376"/>
      <c r="C62" s="74"/>
      <c r="D62" s="17"/>
      <c r="E62" s="17"/>
      <c r="F62" s="17">
        <f t="shared" si="1"/>
        <v>2500</v>
      </c>
    </row>
    <row r="63" ht="15.75" spans="1:6">
      <c r="A63" s="375"/>
      <c r="B63" s="376"/>
      <c r="C63" s="74"/>
      <c r="D63" s="17"/>
      <c r="E63" s="17"/>
      <c r="F63" s="17">
        <f t="shared" si="1"/>
        <v>2500</v>
      </c>
    </row>
    <row r="64" ht="15.75" spans="1:6">
      <c r="A64" s="375"/>
      <c r="B64" s="376"/>
      <c r="C64" s="74"/>
      <c r="D64" s="17"/>
      <c r="E64" s="17"/>
      <c r="F64" s="17">
        <f t="shared" si="1"/>
        <v>2500</v>
      </c>
    </row>
    <row r="65" ht="15.75" spans="1:6">
      <c r="A65" s="375"/>
      <c r="B65" s="376"/>
      <c r="C65" s="74"/>
      <c r="D65" s="17"/>
      <c r="E65" s="17"/>
      <c r="F65" s="17">
        <f t="shared" si="1"/>
        <v>2500</v>
      </c>
    </row>
    <row r="66" ht="15.75" spans="1:6">
      <c r="A66" s="375"/>
      <c r="B66" s="376"/>
      <c r="C66" s="74"/>
      <c r="D66" s="17"/>
      <c r="E66" s="17"/>
      <c r="F66" s="17">
        <f t="shared" si="1"/>
        <v>2500</v>
      </c>
    </row>
    <row r="67" ht="15.75" spans="1:6">
      <c r="A67" s="375"/>
      <c r="B67" s="376"/>
      <c r="C67" s="74"/>
      <c r="D67" s="17"/>
      <c r="E67" s="17"/>
      <c r="F67" s="17">
        <f t="shared" si="1"/>
        <v>2500</v>
      </c>
    </row>
    <row r="68" ht="15.75" spans="1:6">
      <c r="A68" s="375"/>
      <c r="B68" s="376"/>
      <c r="C68" s="72"/>
      <c r="D68" s="17"/>
      <c r="E68" s="17"/>
      <c r="F68" s="17">
        <f t="shared" si="1"/>
        <v>2500</v>
      </c>
    </row>
    <row r="69" ht="18.75" spans="1:6">
      <c r="A69" s="7" t="s">
        <v>303</v>
      </c>
      <c r="B69" s="8"/>
      <c r="C69" s="8"/>
      <c r="D69" s="8"/>
      <c r="E69" s="9"/>
      <c r="F69" s="17">
        <f t="shared" si="1"/>
        <v>2500</v>
      </c>
    </row>
  </sheetData>
  <mergeCells count="8">
    <mergeCell ref="A3:C3"/>
    <mergeCell ref="D3:F3"/>
    <mergeCell ref="A4:B4"/>
    <mergeCell ref="C4:F4"/>
    <mergeCell ref="C12:D12"/>
    <mergeCell ref="A69:E69"/>
    <mergeCell ref="B18:B23"/>
    <mergeCell ref="A1:F2"/>
  </mergeCells>
  <pageMargins left="0.7" right="0.7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F13"/>
  <sheetViews>
    <sheetView workbookViewId="0">
      <selection activeCell="G11" sqref="G11"/>
    </sheetView>
  </sheetViews>
  <sheetFormatPr defaultColWidth="9" defaultRowHeight="15" outlineLevelCol="5"/>
  <cols>
    <col min="1" max="1" width="11.7142857142857" customWidth="1"/>
    <col min="2" max="2" width="10.5714285714286" customWidth="1"/>
    <col min="3" max="3" width="22.7142857142857" customWidth="1"/>
    <col min="4" max="4" width="15.8571428571429" customWidth="1"/>
    <col min="5" max="5" width="14.5714285714286" customWidth="1"/>
    <col min="6" max="6" width="10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1085</v>
      </c>
      <c r="E3" s="11"/>
      <c r="F3" s="12"/>
    </row>
    <row r="4" ht="22.5" customHeight="1" spans="1:6">
      <c r="A4" s="13" t="s">
        <v>84</v>
      </c>
      <c r="B4" s="13"/>
      <c r="C4" s="14" t="s">
        <v>1086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45088</v>
      </c>
      <c r="B6" s="17"/>
      <c r="C6" s="17" t="s">
        <v>558</v>
      </c>
      <c r="D6" s="17"/>
      <c r="E6" s="17">
        <v>37270</v>
      </c>
      <c r="F6" s="17">
        <f>E6-D6</f>
        <v>37270</v>
      </c>
    </row>
    <row r="7" ht="15.75" spans="1:6">
      <c r="A7" s="18"/>
      <c r="B7" s="17"/>
      <c r="C7" s="17"/>
      <c r="D7" s="17"/>
      <c r="E7" s="17"/>
      <c r="F7" s="17">
        <f>F6-D7+E7</f>
        <v>37270</v>
      </c>
    </row>
    <row r="8" ht="15.75" spans="1:6">
      <c r="A8" s="18"/>
      <c r="B8" s="17"/>
      <c r="C8" s="17"/>
      <c r="D8" s="17"/>
      <c r="E8" s="17"/>
      <c r="F8" s="17">
        <f t="shared" ref="F8:F13" si="0">F7-D8+E8</f>
        <v>37270</v>
      </c>
    </row>
    <row r="9" ht="15.75" spans="1:6">
      <c r="A9" s="17"/>
      <c r="B9" s="17"/>
      <c r="C9" s="17"/>
      <c r="D9" s="17"/>
      <c r="E9" s="17"/>
      <c r="F9" s="17">
        <f t="shared" si="0"/>
        <v>37270</v>
      </c>
    </row>
    <row r="10" ht="15.75" spans="1:6">
      <c r="A10" s="17"/>
      <c r="B10" s="17"/>
      <c r="C10" s="17"/>
      <c r="D10" s="17"/>
      <c r="E10" s="17"/>
      <c r="F10" s="17">
        <f t="shared" si="0"/>
        <v>37270</v>
      </c>
    </row>
    <row r="11" ht="15.75" spans="1:6">
      <c r="A11" s="17"/>
      <c r="B11" s="17"/>
      <c r="C11" s="17"/>
      <c r="D11" s="17"/>
      <c r="E11" s="17"/>
      <c r="F11" s="17">
        <f t="shared" si="0"/>
        <v>37270</v>
      </c>
    </row>
    <row r="12" ht="15.75" spans="1:6">
      <c r="A12" s="17"/>
      <c r="B12" s="17"/>
      <c r="C12" s="17"/>
      <c r="D12" s="17"/>
      <c r="E12" s="17"/>
      <c r="F12" s="17">
        <f t="shared" si="0"/>
        <v>37270</v>
      </c>
    </row>
    <row r="13" ht="18.75" spans="1:6">
      <c r="A13" s="7" t="s">
        <v>303</v>
      </c>
      <c r="B13" s="9"/>
      <c r="C13" s="358"/>
      <c r="D13" s="358"/>
      <c r="E13" s="358"/>
      <c r="F13" s="17">
        <f t="shared" si="0"/>
        <v>37270</v>
      </c>
    </row>
  </sheetData>
  <mergeCells count="6">
    <mergeCell ref="A3:C3"/>
    <mergeCell ref="D3:F3"/>
    <mergeCell ref="A4:B4"/>
    <mergeCell ref="C4:F4"/>
    <mergeCell ref="A13:B13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G30"/>
  <sheetViews>
    <sheetView zoomScale="91" zoomScaleNormal="91" topLeftCell="A16" workbookViewId="0">
      <selection activeCell="I21" sqref="I21"/>
    </sheetView>
  </sheetViews>
  <sheetFormatPr defaultColWidth="9" defaultRowHeight="15" outlineLevelCol="6"/>
  <cols>
    <col min="1" max="1" width="11.4285714285714" customWidth="1"/>
    <col min="2" max="2" width="11" customWidth="1"/>
    <col min="3" max="3" width="30.1428571428571" customWidth="1"/>
    <col min="4" max="4" width="9.57142857142857" customWidth="1"/>
    <col min="5" max="5" width="9.85714285714286" customWidth="1"/>
    <col min="6" max="6" width="12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37</v>
      </c>
      <c r="E3" s="11"/>
      <c r="F3" s="12"/>
    </row>
    <row r="4" ht="22.5" customHeight="1" spans="1:7">
      <c r="A4" s="13" t="s">
        <v>84</v>
      </c>
      <c r="B4" s="13"/>
      <c r="C4" s="14" t="s">
        <v>1087</v>
      </c>
      <c r="D4" s="15"/>
      <c r="E4" s="15"/>
      <c r="F4" s="16"/>
      <c r="G4" t="s">
        <v>5</v>
      </c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 t="s">
        <v>1088</v>
      </c>
      <c r="B6" s="17"/>
      <c r="C6" s="17" t="s">
        <v>558</v>
      </c>
      <c r="D6" s="17"/>
      <c r="E6" s="17">
        <v>26950</v>
      </c>
      <c r="F6" s="17">
        <f>E6-D6</f>
        <v>26950</v>
      </c>
    </row>
    <row r="7" ht="15.75" spans="1:6">
      <c r="A7" s="18" t="s">
        <v>679</v>
      </c>
      <c r="B7" s="17" t="s">
        <v>1089</v>
      </c>
      <c r="C7" s="17" t="s">
        <v>1090</v>
      </c>
      <c r="D7" s="17"/>
      <c r="E7" s="371">
        <v>8000</v>
      </c>
      <c r="F7" s="17">
        <f>F6-D7+E7</f>
        <v>34950</v>
      </c>
    </row>
    <row r="8" ht="15.75" spans="1:6">
      <c r="A8" s="18" t="s">
        <v>741</v>
      </c>
      <c r="B8" s="17" t="s">
        <v>779</v>
      </c>
      <c r="C8" s="17" t="s">
        <v>1091</v>
      </c>
      <c r="D8" s="17">
        <v>128000</v>
      </c>
      <c r="E8" s="17"/>
      <c r="F8" s="17">
        <f t="shared" ref="F8:F30" si="0">F7-D8+E8</f>
        <v>-93050</v>
      </c>
    </row>
    <row r="9" ht="15.75" spans="1:6">
      <c r="A9" s="18">
        <v>45384</v>
      </c>
      <c r="B9" s="17"/>
      <c r="C9" s="17" t="s">
        <v>1092</v>
      </c>
      <c r="D9" s="17"/>
      <c r="E9" s="17">
        <v>100000</v>
      </c>
      <c r="F9" s="17">
        <f t="shared" si="0"/>
        <v>6950</v>
      </c>
    </row>
    <row r="10" ht="15.75" spans="1:6">
      <c r="A10" s="17" t="s">
        <v>746</v>
      </c>
      <c r="B10" s="17" t="s">
        <v>1093</v>
      </c>
      <c r="C10" s="17" t="s">
        <v>922</v>
      </c>
      <c r="D10" s="17"/>
      <c r="E10" s="17">
        <v>7450</v>
      </c>
      <c r="F10" s="17">
        <f t="shared" si="0"/>
        <v>14400</v>
      </c>
    </row>
    <row r="11" ht="15.75" spans="1:6">
      <c r="A11" s="18">
        <v>45325</v>
      </c>
      <c r="B11" s="17" t="s">
        <v>1094</v>
      </c>
      <c r="C11" s="17" t="s">
        <v>697</v>
      </c>
      <c r="D11" s="17"/>
      <c r="E11" s="17">
        <v>13300</v>
      </c>
      <c r="F11" s="17">
        <f t="shared" si="0"/>
        <v>27700</v>
      </c>
    </row>
    <row r="12" ht="15.75" spans="1:6">
      <c r="A12" s="18">
        <v>45325</v>
      </c>
      <c r="B12" s="17" t="s">
        <v>253</v>
      </c>
      <c r="C12" s="17" t="s">
        <v>157</v>
      </c>
      <c r="D12" s="17">
        <v>20000</v>
      </c>
      <c r="E12" s="17"/>
      <c r="F12" s="17">
        <f t="shared" si="0"/>
        <v>7700</v>
      </c>
    </row>
    <row r="13" ht="15.75" spans="1:6">
      <c r="A13" s="18" t="s">
        <v>1095</v>
      </c>
      <c r="B13" s="17"/>
      <c r="C13" s="17" t="s">
        <v>1096</v>
      </c>
      <c r="D13" s="17"/>
      <c r="E13" s="17">
        <v>91500</v>
      </c>
      <c r="F13" s="17">
        <f t="shared" si="0"/>
        <v>99200</v>
      </c>
    </row>
    <row r="14" ht="15.75" spans="1:6">
      <c r="A14" s="18">
        <v>45357</v>
      </c>
      <c r="B14" s="17" t="s">
        <v>1097</v>
      </c>
      <c r="C14" s="17" t="s">
        <v>1098</v>
      </c>
      <c r="D14" s="17"/>
      <c r="E14" s="17">
        <v>2200</v>
      </c>
      <c r="F14" s="17">
        <f t="shared" si="0"/>
        <v>101400</v>
      </c>
    </row>
    <row r="15" ht="15.75" spans="1:6">
      <c r="A15" s="18">
        <v>45389</v>
      </c>
      <c r="B15" s="17" t="s">
        <v>1099</v>
      </c>
      <c r="C15" s="17" t="s">
        <v>1100</v>
      </c>
      <c r="D15" s="17"/>
      <c r="E15" s="17">
        <v>6500</v>
      </c>
      <c r="F15" s="17">
        <f t="shared" si="0"/>
        <v>107900</v>
      </c>
    </row>
    <row r="16" ht="15.75" spans="1:6">
      <c r="A16" s="73" t="s">
        <v>1101</v>
      </c>
      <c r="B16" s="17" t="s">
        <v>1102</v>
      </c>
      <c r="C16" s="72"/>
      <c r="D16" s="17"/>
      <c r="E16" s="19">
        <v>5500</v>
      </c>
      <c r="F16" s="17">
        <f t="shared" si="0"/>
        <v>113400</v>
      </c>
    </row>
    <row r="17" ht="15.75" spans="1:6">
      <c r="A17" s="73"/>
      <c r="B17" s="17"/>
      <c r="C17" s="72"/>
      <c r="D17" s="17">
        <v>5000</v>
      </c>
      <c r="E17" s="19"/>
      <c r="F17" s="17">
        <f t="shared" si="0"/>
        <v>108400</v>
      </c>
    </row>
    <row r="18" ht="15.75" spans="1:6">
      <c r="A18" s="73" t="s">
        <v>1103</v>
      </c>
      <c r="B18" s="17" t="s">
        <v>1104</v>
      </c>
      <c r="C18" s="72"/>
      <c r="D18" s="17"/>
      <c r="E18" s="19">
        <v>4500</v>
      </c>
      <c r="F18" s="17">
        <f t="shared" si="0"/>
        <v>112900</v>
      </c>
    </row>
    <row r="19" ht="15.75" spans="1:6">
      <c r="A19" s="75">
        <v>45516</v>
      </c>
      <c r="B19" s="17" t="s">
        <v>1105</v>
      </c>
      <c r="C19" s="72" t="s">
        <v>1106</v>
      </c>
      <c r="D19" s="17">
        <v>50000</v>
      </c>
      <c r="E19" s="19"/>
      <c r="F19" s="17">
        <f t="shared" si="0"/>
        <v>62900</v>
      </c>
    </row>
    <row r="20" ht="15.75" spans="1:6">
      <c r="A20" s="73" t="s">
        <v>510</v>
      </c>
      <c r="B20" s="17" t="s">
        <v>1107</v>
      </c>
      <c r="C20" s="72" t="s">
        <v>1108</v>
      </c>
      <c r="D20" s="17"/>
      <c r="E20" s="19">
        <v>4750</v>
      </c>
      <c r="F20" s="17">
        <f t="shared" si="0"/>
        <v>67650</v>
      </c>
    </row>
    <row r="21" ht="32.25" customHeight="1" spans="1:6">
      <c r="A21" s="259" t="s">
        <v>1109</v>
      </c>
      <c r="B21" s="372" t="s">
        <v>1110</v>
      </c>
      <c r="C21" s="373" t="s">
        <v>1111</v>
      </c>
      <c r="D21" s="82">
        <v>22260</v>
      </c>
      <c r="E21" s="19"/>
      <c r="F21" s="17">
        <f t="shared" si="0"/>
        <v>45390</v>
      </c>
    </row>
    <row r="22" ht="21" customHeight="1" spans="1:6">
      <c r="A22" s="259"/>
      <c r="B22" s="372"/>
      <c r="C22" s="373" t="s">
        <v>1112</v>
      </c>
      <c r="D22" s="82">
        <v>16830</v>
      </c>
      <c r="E22" s="19"/>
      <c r="F22" s="17">
        <f t="shared" si="0"/>
        <v>28560</v>
      </c>
    </row>
    <row r="23" ht="32.25" customHeight="1" spans="1:6">
      <c r="A23" s="259"/>
      <c r="B23" s="372" t="s">
        <v>1110</v>
      </c>
      <c r="C23" s="373" t="s">
        <v>1113</v>
      </c>
      <c r="D23" s="82">
        <v>82080</v>
      </c>
      <c r="E23" s="19"/>
      <c r="F23" s="17">
        <f t="shared" si="0"/>
        <v>-53520</v>
      </c>
    </row>
    <row r="24" ht="21" customHeight="1" spans="1:7">
      <c r="A24" s="259"/>
      <c r="B24" s="372"/>
      <c r="C24" s="373" t="s">
        <v>1114</v>
      </c>
      <c r="D24" s="82">
        <v>22200</v>
      </c>
      <c r="E24" s="19"/>
      <c r="F24" s="17">
        <f t="shared" si="0"/>
        <v>-75720</v>
      </c>
      <c r="G24" s="374">
        <v>143370</v>
      </c>
    </row>
    <row r="25" ht="21" customHeight="1" spans="1:6">
      <c r="A25" s="75">
        <v>45881</v>
      </c>
      <c r="B25" s="17"/>
      <c r="C25" s="72" t="s">
        <v>101</v>
      </c>
      <c r="D25" s="17"/>
      <c r="E25" s="19">
        <v>50000</v>
      </c>
      <c r="F25" s="17">
        <f t="shared" si="0"/>
        <v>-25720</v>
      </c>
    </row>
    <row r="26" ht="21" customHeight="1" spans="1:6">
      <c r="A26" s="75">
        <v>45667</v>
      </c>
      <c r="B26" s="17" t="s">
        <v>1115</v>
      </c>
      <c r="C26" s="72" t="s">
        <v>1116</v>
      </c>
      <c r="D26" s="17"/>
      <c r="E26" s="19">
        <v>23400</v>
      </c>
      <c r="F26" s="17">
        <f t="shared" si="0"/>
        <v>-2320</v>
      </c>
    </row>
    <row r="27" ht="21" customHeight="1" spans="1:6">
      <c r="A27" s="75"/>
      <c r="B27" s="17"/>
      <c r="C27" s="72"/>
      <c r="D27" s="17"/>
      <c r="E27" s="19"/>
      <c r="F27" s="17">
        <f t="shared" si="0"/>
        <v>-2320</v>
      </c>
    </row>
    <row r="28" ht="21" customHeight="1" spans="1:6">
      <c r="A28" s="75"/>
      <c r="B28" s="17"/>
      <c r="C28" s="72"/>
      <c r="D28" s="17"/>
      <c r="E28" s="19"/>
      <c r="F28" s="17">
        <f t="shared" si="0"/>
        <v>-2320</v>
      </c>
    </row>
    <row r="29" ht="15.75" spans="1:6">
      <c r="A29" s="73"/>
      <c r="B29" s="17"/>
      <c r="C29" s="72"/>
      <c r="D29" s="17"/>
      <c r="E29" s="19"/>
      <c r="F29" s="17">
        <f t="shared" si="0"/>
        <v>-2320</v>
      </c>
    </row>
    <row r="30" ht="18.75" spans="1:6">
      <c r="A30" s="7" t="s">
        <v>303</v>
      </c>
      <c r="B30" s="8"/>
      <c r="C30" s="8"/>
      <c r="D30" s="8"/>
      <c r="E30" s="9"/>
      <c r="F30" s="17">
        <f t="shared" si="0"/>
        <v>-2320</v>
      </c>
    </row>
  </sheetData>
  <mergeCells count="6">
    <mergeCell ref="A3:C3"/>
    <mergeCell ref="D3:F3"/>
    <mergeCell ref="A4:B4"/>
    <mergeCell ref="C4:F4"/>
    <mergeCell ref="A30:E30"/>
    <mergeCell ref="A1:F2"/>
  </mergeCells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F8"/>
  <sheetViews>
    <sheetView workbookViewId="0">
      <selection activeCell="E14" sqref="E14"/>
    </sheetView>
  </sheetViews>
  <sheetFormatPr defaultColWidth="9" defaultRowHeight="15" outlineLevelRow="7" outlineLevelCol="5"/>
  <cols>
    <col min="1" max="1" width="11.7142857142857" customWidth="1"/>
    <col min="2" max="2" width="10.5714285714286" customWidth="1"/>
    <col min="3" max="3" width="22.7142857142857" customWidth="1"/>
    <col min="4" max="4" width="15.8571428571429" customWidth="1"/>
    <col min="5" max="5" width="14.5714285714286" customWidth="1"/>
    <col min="6" max="6" width="10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1117</v>
      </c>
      <c r="E3" s="11"/>
      <c r="F3" s="12"/>
    </row>
    <row r="4" ht="22.5" customHeight="1" spans="1:6">
      <c r="A4" s="13" t="s">
        <v>84</v>
      </c>
      <c r="B4" s="13"/>
      <c r="C4" s="14" t="s">
        <v>1118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45241</v>
      </c>
      <c r="B6" s="17"/>
      <c r="C6" s="17" t="s">
        <v>558</v>
      </c>
      <c r="D6" s="17"/>
      <c r="E6" s="17">
        <v>5570</v>
      </c>
      <c r="F6" s="17">
        <f>E6-D6</f>
        <v>5570</v>
      </c>
    </row>
    <row r="7" ht="15.75" spans="1:6">
      <c r="A7" s="18"/>
      <c r="B7" s="17"/>
      <c r="C7" s="17"/>
      <c r="D7" s="17"/>
      <c r="E7" s="17"/>
      <c r="F7" s="17">
        <f>F6-D7+E7</f>
        <v>5570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5570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9"/>
  <sheetViews>
    <sheetView workbookViewId="0">
      <selection activeCell="D8" sqref="D8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18.1428571428571" customWidth="1"/>
    <col min="4" max="4" width="18.5714285714286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1119</v>
      </c>
      <c r="E3" s="11"/>
      <c r="F3" s="12"/>
    </row>
    <row r="4" ht="22.5" customHeight="1" spans="1:6">
      <c r="A4" s="13" t="s">
        <v>84</v>
      </c>
      <c r="B4" s="13"/>
      <c r="C4" s="14" t="s">
        <v>1120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714</v>
      </c>
      <c r="D6" s="17"/>
      <c r="E6" s="17">
        <v>3050</v>
      </c>
      <c r="F6" s="17">
        <f>E6-D6</f>
        <v>3050</v>
      </c>
    </row>
    <row r="7" ht="15.75" spans="1:6">
      <c r="A7" s="17"/>
      <c r="C7" s="17" t="s">
        <v>1121</v>
      </c>
      <c r="D7" s="17">
        <v>3050</v>
      </c>
      <c r="E7" s="17"/>
      <c r="F7" s="17">
        <f>F6-D7+E7</f>
        <v>0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0</v>
      </c>
    </row>
    <row r="9" ht="18.75" spans="1:6">
      <c r="A9" s="7" t="s">
        <v>303</v>
      </c>
      <c r="B9" s="9"/>
      <c r="C9" s="358"/>
      <c r="D9" s="358"/>
      <c r="E9" s="358"/>
      <c r="F9" s="17">
        <f t="shared" si="0"/>
        <v>0</v>
      </c>
    </row>
  </sheetData>
  <mergeCells count="6">
    <mergeCell ref="A3:C3"/>
    <mergeCell ref="D3:F3"/>
    <mergeCell ref="A4:B4"/>
    <mergeCell ref="C4:F4"/>
    <mergeCell ref="A9:B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7"/>
  <sheetViews>
    <sheetView workbookViewId="0">
      <selection activeCell="H10" sqref="H10"/>
    </sheetView>
  </sheetViews>
  <sheetFormatPr defaultColWidth="9" defaultRowHeight="15" outlineLevelCol="7"/>
  <cols>
    <col min="1" max="1" width="11.7142857142857" customWidth="1"/>
    <col min="2" max="2" width="9.71428571428571" customWidth="1"/>
    <col min="3" max="3" width="40.8571428571429" customWidth="1"/>
    <col min="4" max="4" width="11.4285714285714" customWidth="1"/>
    <col min="5" max="5" width="12.2857142857143" customWidth="1"/>
    <col min="6" max="6" width="12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36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1122</v>
      </c>
      <c r="D6" s="17">
        <v>1800000</v>
      </c>
      <c r="E6" s="17"/>
      <c r="F6" s="17">
        <f>E6-D6</f>
        <v>-1800000</v>
      </c>
    </row>
    <row r="7" ht="15.75" spans="1:6">
      <c r="A7" s="17" t="s">
        <v>1123</v>
      </c>
      <c r="B7" s="17"/>
      <c r="C7" s="17" t="s">
        <v>1124</v>
      </c>
      <c r="D7" s="17"/>
      <c r="E7" s="17">
        <v>130540</v>
      </c>
      <c r="F7" s="17">
        <f>F6-D7+E7</f>
        <v>-1669460</v>
      </c>
    </row>
    <row r="8" ht="15.75" spans="1:6">
      <c r="A8" s="18">
        <v>45603</v>
      </c>
      <c r="B8" s="17"/>
      <c r="C8" s="17" t="s">
        <v>1125</v>
      </c>
      <c r="D8" s="17"/>
      <c r="E8" s="17">
        <v>250000</v>
      </c>
      <c r="F8" s="17">
        <f t="shared" ref="F8:F17" si="0">F7-D8+E8</f>
        <v>-1419460</v>
      </c>
    </row>
    <row r="9" ht="30.75" customHeight="1" spans="1:6">
      <c r="A9" s="18">
        <v>45603</v>
      </c>
      <c r="B9" s="17"/>
      <c r="C9" s="17" t="s">
        <v>1126</v>
      </c>
      <c r="D9" s="17"/>
      <c r="E9" s="17">
        <v>25000</v>
      </c>
      <c r="F9" s="17">
        <f t="shared" si="0"/>
        <v>-1394460</v>
      </c>
    </row>
    <row r="10" ht="15.75" spans="1:6">
      <c r="A10" s="75" t="s">
        <v>1127</v>
      </c>
      <c r="B10" s="19"/>
      <c r="C10" s="17" t="s">
        <v>1128</v>
      </c>
      <c r="D10" s="17"/>
      <c r="E10" s="17">
        <v>736000</v>
      </c>
      <c r="F10" s="17">
        <f t="shared" si="0"/>
        <v>-658460</v>
      </c>
    </row>
    <row r="11" ht="30.75" customHeight="1" spans="1:6">
      <c r="A11" s="75" t="s">
        <v>1129</v>
      </c>
      <c r="B11" s="19"/>
      <c r="C11" s="17" t="s">
        <v>1130</v>
      </c>
      <c r="D11" s="17"/>
      <c r="E11" s="81">
        <v>402820</v>
      </c>
      <c r="F11" s="17">
        <f t="shared" si="0"/>
        <v>-255640</v>
      </c>
    </row>
    <row r="12" ht="15.75" spans="1:8">
      <c r="A12" s="75">
        <v>45893</v>
      </c>
      <c r="B12" s="19"/>
      <c r="C12" s="17" t="s">
        <v>1131</v>
      </c>
      <c r="D12" s="17"/>
      <c r="E12" s="17">
        <v>72000</v>
      </c>
      <c r="F12" s="17">
        <f t="shared" si="0"/>
        <v>-183640</v>
      </c>
      <c r="H12" s="369"/>
    </row>
    <row r="13" ht="15.75" spans="1:6">
      <c r="A13" s="75">
        <v>45660</v>
      </c>
      <c r="B13" s="19" t="s">
        <v>1132</v>
      </c>
      <c r="C13" s="17" t="s">
        <v>1133</v>
      </c>
      <c r="D13" s="17"/>
      <c r="E13" s="17">
        <v>1500</v>
      </c>
      <c r="F13" s="17">
        <f t="shared" si="0"/>
        <v>-182140</v>
      </c>
    </row>
    <row r="14" ht="15.75" spans="1:6">
      <c r="A14" s="75">
        <v>45660</v>
      </c>
      <c r="B14" s="19" t="s">
        <v>1134</v>
      </c>
      <c r="C14" s="17" t="s">
        <v>1135</v>
      </c>
      <c r="D14" s="17"/>
      <c r="E14" s="17">
        <v>1000</v>
      </c>
      <c r="F14" s="17">
        <f t="shared" si="0"/>
        <v>-181140</v>
      </c>
    </row>
    <row r="15" ht="15.75" spans="1:6">
      <c r="A15" s="75" t="s">
        <v>1136</v>
      </c>
      <c r="B15" s="19" t="s">
        <v>1137</v>
      </c>
      <c r="C15" s="17" t="s">
        <v>1138</v>
      </c>
      <c r="D15" s="17"/>
      <c r="E15" s="17">
        <v>7700</v>
      </c>
      <c r="F15" s="17">
        <f t="shared" si="0"/>
        <v>-173440</v>
      </c>
    </row>
    <row r="16" ht="15.75" spans="1:6">
      <c r="A16" s="75">
        <v>45783</v>
      </c>
      <c r="B16" s="19" t="s">
        <v>1139</v>
      </c>
      <c r="C16" s="17" t="s">
        <v>1140</v>
      </c>
      <c r="D16" s="17"/>
      <c r="E16" s="17">
        <v>8670</v>
      </c>
      <c r="F16" s="17">
        <f t="shared" si="0"/>
        <v>-164770</v>
      </c>
    </row>
    <row r="17" ht="18.75" spans="1:6">
      <c r="A17" s="7"/>
      <c r="B17" s="9"/>
      <c r="C17" s="370" t="s">
        <v>1141</v>
      </c>
      <c r="D17" s="358"/>
      <c r="E17" s="358"/>
      <c r="F17" s="17">
        <f t="shared" si="0"/>
        <v>-164770</v>
      </c>
    </row>
  </sheetData>
  <mergeCells count="6">
    <mergeCell ref="A3:C3"/>
    <mergeCell ref="D3:F3"/>
    <mergeCell ref="A4:B4"/>
    <mergeCell ref="C4:F4"/>
    <mergeCell ref="A17:B17"/>
    <mergeCell ref="A1:F2"/>
  </mergeCells>
  <pageMargins left="0.7" right="0.7" top="0.75" bottom="0.75" header="0.3" footer="0.3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F8"/>
  <sheetViews>
    <sheetView workbookViewId="0">
      <selection activeCell="I16" sqref="I16"/>
    </sheetView>
  </sheetViews>
  <sheetFormatPr defaultColWidth="9" defaultRowHeight="15" outlineLevelRow="7" outlineLevelCol="5"/>
  <cols>
    <col min="1" max="1" width="11.7142857142857" customWidth="1"/>
    <col min="2" max="2" width="12" customWidth="1"/>
    <col min="3" max="3" width="18.1428571428571" customWidth="1"/>
    <col min="4" max="4" width="18.5714285714286" customWidth="1"/>
    <col min="5" max="5" width="12.2857142857143" customWidth="1"/>
    <col min="6" max="6" width="12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41</v>
      </c>
      <c r="E3" s="11"/>
      <c r="F3" s="12"/>
    </row>
    <row r="4" ht="22.5" customHeight="1" spans="1:6">
      <c r="A4" s="13" t="s">
        <v>84</v>
      </c>
      <c r="B4" s="13"/>
      <c r="C4" s="14" t="s">
        <v>1142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1143</v>
      </c>
      <c r="B6" s="17"/>
      <c r="C6" s="17" t="s">
        <v>305</v>
      </c>
      <c r="D6" s="17"/>
      <c r="E6" s="17">
        <v>16664</v>
      </c>
      <c r="F6" s="17">
        <f>E6-D6</f>
        <v>16664</v>
      </c>
    </row>
    <row r="7" ht="15.75" spans="1:6">
      <c r="A7" s="17"/>
      <c r="B7" s="17"/>
      <c r="C7" s="17"/>
      <c r="D7" s="17"/>
      <c r="E7" s="17"/>
      <c r="F7" s="17">
        <f>F6-D7+E7</f>
        <v>16664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16664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19"/>
  <sheetViews>
    <sheetView topLeftCell="A2" workbookViewId="0">
      <selection activeCell="L5" sqref="L5"/>
    </sheetView>
  </sheetViews>
  <sheetFormatPr defaultColWidth="9" defaultRowHeight="15" outlineLevelCol="5"/>
  <cols>
    <col min="1" max="1" width="11.7142857142857" customWidth="1"/>
    <col min="2" max="2" width="12.1428571428571" customWidth="1"/>
    <col min="3" max="3" width="28.8571428571429" customWidth="1"/>
    <col min="4" max="4" width="16.5714285714286" customWidth="1"/>
    <col min="5" max="5" width="13.2857142857143" customWidth="1"/>
    <col min="6" max="6" width="12.4285714285714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1144</v>
      </c>
      <c r="E3" s="11"/>
      <c r="F3" s="12"/>
    </row>
    <row r="4" ht="22.5" customHeight="1" spans="1:6">
      <c r="A4" s="13" t="s">
        <v>84</v>
      </c>
      <c r="B4" s="13"/>
      <c r="C4" s="14" t="s">
        <v>1145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558</v>
      </c>
      <c r="D6" s="17"/>
      <c r="E6" s="17">
        <v>3070</v>
      </c>
      <c r="F6" s="17">
        <f>E6-D6</f>
        <v>3070</v>
      </c>
    </row>
    <row r="7" ht="15.75" spans="1:6">
      <c r="A7" s="17" t="s">
        <v>1146</v>
      </c>
      <c r="B7" s="17" t="s">
        <v>253</v>
      </c>
      <c r="C7" s="17" t="s">
        <v>157</v>
      </c>
      <c r="D7" s="17">
        <v>1300</v>
      </c>
      <c r="E7" s="17"/>
      <c r="F7" s="17">
        <f>F6-D7+E7</f>
        <v>1770</v>
      </c>
    </row>
    <row r="8" ht="15.75" spans="1:6">
      <c r="A8" s="17" t="s">
        <v>1147</v>
      </c>
      <c r="B8" s="17" t="s">
        <v>1148</v>
      </c>
      <c r="C8" s="17" t="s">
        <v>1149</v>
      </c>
      <c r="D8" s="17"/>
      <c r="E8" s="17">
        <v>200</v>
      </c>
      <c r="F8" s="17">
        <f t="shared" ref="F8:F19" si="0">F7-D8+E8</f>
        <v>1970</v>
      </c>
    </row>
    <row r="9" ht="15.75" spans="1:6">
      <c r="A9" s="18">
        <v>45421</v>
      </c>
      <c r="B9" s="17" t="s">
        <v>1150</v>
      </c>
      <c r="C9" s="17" t="s">
        <v>1151</v>
      </c>
      <c r="D9" s="17"/>
      <c r="E9" s="17">
        <v>340</v>
      </c>
      <c r="F9" s="17">
        <f t="shared" si="0"/>
        <v>2310</v>
      </c>
    </row>
    <row r="10" ht="15.75" spans="1:6">
      <c r="A10" s="75">
        <v>45422</v>
      </c>
      <c r="B10" s="17" t="s">
        <v>1152</v>
      </c>
      <c r="C10" s="72" t="s">
        <v>140</v>
      </c>
      <c r="D10" s="17"/>
      <c r="E10" s="19">
        <v>515</v>
      </c>
      <c r="F10" s="17">
        <f t="shared" si="0"/>
        <v>2825</v>
      </c>
    </row>
    <row r="11" ht="15.75" spans="1:6">
      <c r="A11" s="75" t="s">
        <v>1153</v>
      </c>
      <c r="B11" s="17" t="s">
        <v>1154</v>
      </c>
      <c r="C11" s="72" t="s">
        <v>140</v>
      </c>
      <c r="D11" s="17"/>
      <c r="E11" s="19">
        <v>700</v>
      </c>
      <c r="F11" s="17">
        <f t="shared" si="0"/>
        <v>3525</v>
      </c>
    </row>
    <row r="12" ht="15.75" spans="1:6">
      <c r="A12" s="75">
        <v>45362</v>
      </c>
      <c r="B12" s="17" t="s">
        <v>1155</v>
      </c>
      <c r="C12" s="72" t="s">
        <v>1156</v>
      </c>
      <c r="D12" s="17"/>
      <c r="E12" s="19">
        <v>83</v>
      </c>
      <c r="F12" s="17">
        <f t="shared" si="0"/>
        <v>3608</v>
      </c>
    </row>
    <row r="13" ht="15.75" spans="1:6">
      <c r="A13" s="75" t="s">
        <v>294</v>
      </c>
      <c r="B13" s="17" t="s">
        <v>1157</v>
      </c>
      <c r="C13" s="72" t="s">
        <v>140</v>
      </c>
      <c r="D13" s="17"/>
      <c r="E13" s="19">
        <v>545</v>
      </c>
      <c r="F13" s="17">
        <f t="shared" si="0"/>
        <v>4153</v>
      </c>
    </row>
    <row r="14" ht="15.75" spans="1:6">
      <c r="A14" s="75" t="s">
        <v>328</v>
      </c>
      <c r="B14" s="17" t="s">
        <v>253</v>
      </c>
      <c r="C14" s="72" t="s">
        <v>157</v>
      </c>
      <c r="D14" s="17">
        <v>550</v>
      </c>
      <c r="E14" s="19"/>
      <c r="F14" s="17">
        <f t="shared" si="0"/>
        <v>3603</v>
      </c>
    </row>
    <row r="15" ht="15.75" spans="1:6">
      <c r="A15" s="18">
        <v>45720</v>
      </c>
      <c r="B15" s="72" t="s">
        <v>1158</v>
      </c>
      <c r="C15" s="17" t="s">
        <v>140</v>
      </c>
      <c r="D15" s="17"/>
      <c r="E15" s="19">
        <v>160</v>
      </c>
      <c r="F15" s="17">
        <f t="shared" si="0"/>
        <v>3763</v>
      </c>
    </row>
    <row r="16" ht="15.75" spans="1:6">
      <c r="A16" s="18" t="s">
        <v>453</v>
      </c>
      <c r="B16" s="17" t="s">
        <v>1159</v>
      </c>
      <c r="C16" s="17" t="s">
        <v>140</v>
      </c>
      <c r="D16" s="17"/>
      <c r="E16" s="17">
        <v>215</v>
      </c>
      <c r="F16" s="17">
        <f t="shared" si="0"/>
        <v>3978</v>
      </c>
    </row>
    <row r="17" ht="15.75" spans="1:6">
      <c r="A17" s="18"/>
      <c r="B17" s="17"/>
      <c r="C17" s="17"/>
      <c r="D17" s="17"/>
      <c r="E17" s="17"/>
      <c r="F17" s="17">
        <f t="shared" si="0"/>
        <v>3978</v>
      </c>
    </row>
    <row r="18" ht="15.75" spans="1:6">
      <c r="A18" s="18"/>
      <c r="B18" s="17"/>
      <c r="C18" s="17"/>
      <c r="D18" s="17"/>
      <c r="E18" s="17"/>
      <c r="F18" s="17">
        <f t="shared" si="0"/>
        <v>3978</v>
      </c>
    </row>
    <row r="19" ht="18.75" spans="1:6">
      <c r="A19" s="7" t="s">
        <v>303</v>
      </c>
      <c r="B19" s="8"/>
      <c r="C19" s="8"/>
      <c r="D19" s="8"/>
      <c r="E19" s="9"/>
      <c r="F19" s="17">
        <f t="shared" si="0"/>
        <v>3978</v>
      </c>
    </row>
  </sheetData>
  <mergeCells count="6">
    <mergeCell ref="A3:C3"/>
    <mergeCell ref="D3:F3"/>
    <mergeCell ref="A4:B4"/>
    <mergeCell ref="C4:F4"/>
    <mergeCell ref="A19:E1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F13"/>
  <sheetViews>
    <sheetView workbookViewId="0">
      <selection activeCell="L20" sqref="L20"/>
    </sheetView>
  </sheetViews>
  <sheetFormatPr defaultColWidth="9" defaultRowHeight="15" outlineLevelCol="5"/>
  <cols>
    <col min="1" max="1" width="11.7142857142857" customWidth="1"/>
    <col min="2" max="2" width="15.8571428571429" customWidth="1"/>
    <col min="3" max="3" width="21.2857142857143" customWidth="1"/>
    <col min="4" max="4" width="11.7142857142857" customWidth="1"/>
    <col min="5" max="5" width="18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36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1160</v>
      </c>
      <c r="D6" s="17"/>
      <c r="E6" s="17">
        <v>69000</v>
      </c>
      <c r="F6" s="17">
        <f>E6-D6</f>
        <v>69000</v>
      </c>
    </row>
    <row r="7" ht="15.75" spans="1:6">
      <c r="A7" s="17"/>
      <c r="B7" s="17"/>
      <c r="C7" s="17" t="s">
        <v>1161</v>
      </c>
      <c r="D7" s="17"/>
      <c r="E7" s="17">
        <v>27000</v>
      </c>
      <c r="F7" s="17">
        <f t="shared" ref="F7:F12" si="0">E7-D7</f>
        <v>27000</v>
      </c>
    </row>
    <row r="8" ht="15.75" spans="1:6">
      <c r="A8" s="17"/>
      <c r="B8" s="17"/>
      <c r="C8" s="17" t="s">
        <v>1162</v>
      </c>
      <c r="D8" s="17"/>
      <c r="E8" s="17">
        <v>92000</v>
      </c>
      <c r="F8" s="17">
        <f t="shared" si="0"/>
        <v>92000</v>
      </c>
    </row>
    <row r="9" ht="15.75" spans="1:6">
      <c r="A9" s="73"/>
      <c r="B9" s="19"/>
      <c r="C9" s="17" t="s">
        <v>1163</v>
      </c>
      <c r="D9" s="17"/>
      <c r="E9" s="17">
        <v>150000</v>
      </c>
      <c r="F9" s="17">
        <f t="shared" si="0"/>
        <v>150000</v>
      </c>
    </row>
    <row r="10" ht="15.75" spans="1:6">
      <c r="A10" s="73"/>
      <c r="B10" s="19"/>
      <c r="C10" s="17" t="s">
        <v>1164</v>
      </c>
      <c r="D10" s="17"/>
      <c r="E10" s="17">
        <v>50000</v>
      </c>
      <c r="F10" s="17">
        <f t="shared" si="0"/>
        <v>50000</v>
      </c>
    </row>
    <row r="11" ht="15.75" spans="1:6">
      <c r="A11" s="73"/>
      <c r="B11" s="19"/>
      <c r="C11" s="17" t="s">
        <v>1165</v>
      </c>
      <c r="D11" s="17"/>
      <c r="E11" s="17">
        <v>296000</v>
      </c>
      <c r="F11" s="17">
        <f t="shared" si="0"/>
        <v>296000</v>
      </c>
    </row>
    <row r="12" ht="18.75" spans="1:6">
      <c r="A12" s="172"/>
      <c r="B12" s="365"/>
      <c r="C12" s="366" t="s">
        <v>1166</v>
      </c>
      <c r="D12" s="367"/>
      <c r="E12" s="358"/>
      <c r="F12" s="17">
        <f t="shared" si="0"/>
        <v>0</v>
      </c>
    </row>
    <row r="13" spans="3:3">
      <c r="C13" s="368"/>
    </row>
  </sheetData>
  <mergeCells count="5">
    <mergeCell ref="A3:C3"/>
    <mergeCell ref="D3:F3"/>
    <mergeCell ref="A4:B4"/>
    <mergeCell ref="C4:F4"/>
    <mergeCell ref="A1:F2"/>
  </mergeCells>
  <pageMargins left="0.7" right="0.7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F8"/>
  <sheetViews>
    <sheetView workbookViewId="0">
      <selection activeCell="L5" sqref="L5"/>
    </sheetView>
  </sheetViews>
  <sheetFormatPr defaultColWidth="9" defaultRowHeight="15" outlineLevelRow="7" outlineLevelCol="5"/>
  <cols>
    <col min="1" max="1" width="11.7142857142857" customWidth="1"/>
    <col min="2" max="2" width="11.5714285714286" customWidth="1"/>
    <col min="3" max="3" width="16.7142857142857" customWidth="1"/>
    <col min="4" max="4" width="12" customWidth="1"/>
    <col min="5" max="5" width="18.1428571428571" customWidth="1"/>
    <col min="6" max="6" width="15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45</v>
      </c>
      <c r="E3" s="11"/>
      <c r="F3" s="12"/>
    </row>
    <row r="4" ht="22.5" customHeight="1" spans="1:6">
      <c r="A4" s="13" t="s">
        <v>84</v>
      </c>
      <c r="B4" s="13"/>
      <c r="C4" s="14" t="s">
        <v>1167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45022</v>
      </c>
      <c r="B6" s="17"/>
      <c r="C6" s="17" t="s">
        <v>1168</v>
      </c>
      <c r="D6" s="17"/>
      <c r="E6" s="17">
        <v>39838</v>
      </c>
      <c r="F6" s="17">
        <f>E6-D6</f>
        <v>39838</v>
      </c>
    </row>
    <row r="7" ht="21.75" customHeight="1" spans="1:6">
      <c r="A7" s="17"/>
      <c r="B7" s="17"/>
      <c r="C7" s="17"/>
      <c r="D7" s="17"/>
      <c r="E7" s="17"/>
      <c r="F7" s="17">
        <f>F6-D7+E7</f>
        <v>39838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39838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F43"/>
  <sheetViews>
    <sheetView topLeftCell="A22" workbookViewId="0">
      <selection activeCell="D41" sqref="D41"/>
    </sheetView>
  </sheetViews>
  <sheetFormatPr defaultColWidth="9" defaultRowHeight="15" outlineLevelCol="5"/>
  <cols>
    <col min="1" max="1" width="11.7142857142857" customWidth="1"/>
    <col min="2" max="2" width="13.2857142857143" customWidth="1"/>
    <col min="3" max="3" width="23.2857142857143" customWidth="1"/>
    <col min="4" max="4" width="14.5714285714286" customWidth="1"/>
    <col min="5" max="5" width="18.1428571428571" customWidth="1"/>
    <col min="6" max="6" width="11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1169</v>
      </c>
      <c r="E3" s="11"/>
      <c r="F3" s="12"/>
    </row>
    <row r="4" ht="22.5" customHeight="1" spans="1:6">
      <c r="A4" s="13" t="s">
        <v>84</v>
      </c>
      <c r="B4" s="13"/>
      <c r="C4" s="14" t="s">
        <v>1170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 t="s">
        <v>1171</v>
      </c>
      <c r="B6" s="17" t="s">
        <v>1172</v>
      </c>
      <c r="C6" s="17"/>
      <c r="D6" s="17"/>
      <c r="E6" s="17">
        <v>15415</v>
      </c>
      <c r="F6" s="17">
        <f>E6-D6</f>
        <v>15415</v>
      </c>
    </row>
    <row r="7" ht="15.75" spans="1:6">
      <c r="A7" s="17"/>
      <c r="B7" s="17"/>
      <c r="C7" s="17"/>
      <c r="D7" s="17">
        <v>6500</v>
      </c>
      <c r="E7" s="17"/>
      <c r="F7" s="17">
        <f>F6-D7+E7</f>
        <v>8915</v>
      </c>
    </row>
    <row r="8" ht="15.75" spans="1:6">
      <c r="A8" s="17" t="s">
        <v>1173</v>
      </c>
      <c r="B8" s="17" t="s">
        <v>253</v>
      </c>
      <c r="C8" s="17" t="s">
        <v>280</v>
      </c>
      <c r="D8" s="17">
        <v>1250</v>
      </c>
      <c r="E8" s="17"/>
      <c r="F8" s="17">
        <f t="shared" ref="F8:F43" si="0">F7-D8+E8</f>
        <v>7665</v>
      </c>
    </row>
    <row r="9" ht="15.75" spans="1:6">
      <c r="A9" s="17" t="s">
        <v>1174</v>
      </c>
      <c r="B9" s="17" t="s">
        <v>1175</v>
      </c>
      <c r="C9" s="17" t="s">
        <v>140</v>
      </c>
      <c r="D9" s="17"/>
      <c r="E9" s="17">
        <v>13575</v>
      </c>
      <c r="F9" s="17">
        <f t="shared" si="0"/>
        <v>21240</v>
      </c>
    </row>
    <row r="10" ht="47.25" spans="1:6">
      <c r="A10" s="17" t="s">
        <v>544</v>
      </c>
      <c r="B10" s="17" t="s">
        <v>1176</v>
      </c>
      <c r="C10" s="71" t="s">
        <v>1177</v>
      </c>
      <c r="D10" s="17"/>
      <c r="E10" s="17">
        <v>22087</v>
      </c>
      <c r="F10" s="17">
        <f t="shared" si="0"/>
        <v>43327</v>
      </c>
    </row>
    <row r="11" ht="15.75" spans="1:6">
      <c r="A11" s="17" t="s">
        <v>544</v>
      </c>
      <c r="B11" s="17" t="s">
        <v>253</v>
      </c>
      <c r="C11" s="17" t="s">
        <v>280</v>
      </c>
      <c r="D11" s="17">
        <v>10000</v>
      </c>
      <c r="E11" s="17"/>
      <c r="F11" s="17">
        <f t="shared" si="0"/>
        <v>33327</v>
      </c>
    </row>
    <row r="12" ht="15.75" spans="1:6">
      <c r="A12" s="17" t="s">
        <v>544</v>
      </c>
      <c r="B12" s="17" t="s">
        <v>253</v>
      </c>
      <c r="C12" s="17" t="s">
        <v>280</v>
      </c>
      <c r="D12" s="17">
        <v>3000</v>
      </c>
      <c r="E12" s="17"/>
      <c r="F12" s="17">
        <f t="shared" si="0"/>
        <v>30327</v>
      </c>
    </row>
    <row r="13" ht="15.75" spans="1:6">
      <c r="A13" s="17" t="s">
        <v>544</v>
      </c>
      <c r="B13" s="17" t="s">
        <v>253</v>
      </c>
      <c r="C13" s="17" t="s">
        <v>280</v>
      </c>
      <c r="D13" s="17">
        <v>500</v>
      </c>
      <c r="E13" s="17"/>
      <c r="F13" s="17">
        <f t="shared" si="0"/>
        <v>29827</v>
      </c>
    </row>
    <row r="14" ht="31.5" spans="1:6">
      <c r="A14" s="17" t="s">
        <v>546</v>
      </c>
      <c r="B14" s="17" t="s">
        <v>1178</v>
      </c>
      <c r="C14" s="71" t="s">
        <v>1179</v>
      </c>
      <c r="D14" s="17"/>
      <c r="E14" s="17">
        <v>14599</v>
      </c>
      <c r="F14" s="17">
        <f t="shared" si="0"/>
        <v>44426</v>
      </c>
    </row>
    <row r="15" ht="15.75" spans="1:6">
      <c r="A15" s="17" t="s">
        <v>546</v>
      </c>
      <c r="B15" s="17" t="s">
        <v>253</v>
      </c>
      <c r="C15" s="17" t="s">
        <v>280</v>
      </c>
      <c r="D15" s="17">
        <v>22000</v>
      </c>
      <c r="E15" s="17"/>
      <c r="F15" s="17">
        <f t="shared" si="0"/>
        <v>22426</v>
      </c>
    </row>
    <row r="16" ht="15.75" spans="1:6">
      <c r="A16" s="17" t="s">
        <v>1180</v>
      </c>
      <c r="B16" s="17" t="s">
        <v>1181</v>
      </c>
      <c r="C16" s="17" t="s">
        <v>1182</v>
      </c>
      <c r="D16" s="17"/>
      <c r="E16" s="17">
        <v>1900</v>
      </c>
      <c r="F16" s="17">
        <f t="shared" si="0"/>
        <v>24326</v>
      </c>
    </row>
    <row r="17" ht="15.75" spans="1:6">
      <c r="A17" s="17" t="s">
        <v>974</v>
      </c>
      <c r="B17" s="17" t="s">
        <v>253</v>
      </c>
      <c r="C17" s="17" t="s">
        <v>280</v>
      </c>
      <c r="D17" s="17">
        <v>7600</v>
      </c>
      <c r="E17" s="17"/>
      <c r="F17" s="17">
        <f t="shared" si="0"/>
        <v>16726</v>
      </c>
    </row>
    <row r="18" ht="15.75" spans="1:6">
      <c r="A18" s="17" t="s">
        <v>974</v>
      </c>
      <c r="B18" s="17" t="s">
        <v>253</v>
      </c>
      <c r="C18" s="17" t="s">
        <v>101</v>
      </c>
      <c r="D18" s="17">
        <v>5400</v>
      </c>
      <c r="E18" s="17"/>
      <c r="F18" s="17">
        <f t="shared" si="0"/>
        <v>11326</v>
      </c>
    </row>
    <row r="19" ht="15.75" spans="1:6">
      <c r="A19" s="17" t="s">
        <v>1183</v>
      </c>
      <c r="B19" s="17" t="s">
        <v>1184</v>
      </c>
      <c r="C19" s="17" t="s">
        <v>1185</v>
      </c>
      <c r="D19" s="17"/>
      <c r="E19" s="17">
        <v>2800</v>
      </c>
      <c r="F19" s="17">
        <f t="shared" si="0"/>
        <v>14126</v>
      </c>
    </row>
    <row r="20" ht="15.75" spans="1:6">
      <c r="A20" s="17" t="s">
        <v>1183</v>
      </c>
      <c r="B20" s="17" t="s">
        <v>253</v>
      </c>
      <c r="C20" s="17" t="s">
        <v>280</v>
      </c>
      <c r="D20" s="17">
        <v>3500</v>
      </c>
      <c r="E20" s="17"/>
      <c r="F20" s="17">
        <f t="shared" si="0"/>
        <v>10626</v>
      </c>
    </row>
    <row r="21" ht="15.75" spans="1:6">
      <c r="A21" s="17" t="s">
        <v>1186</v>
      </c>
      <c r="B21" s="17" t="s">
        <v>253</v>
      </c>
      <c r="C21" s="17" t="s">
        <v>1187</v>
      </c>
      <c r="D21" s="17">
        <v>2800</v>
      </c>
      <c r="E21" s="17"/>
      <c r="F21" s="17">
        <f t="shared" si="0"/>
        <v>7826</v>
      </c>
    </row>
    <row r="22" ht="15.75" spans="1:6">
      <c r="A22" s="17" t="s">
        <v>1186</v>
      </c>
      <c r="B22" s="17" t="s">
        <v>1188</v>
      </c>
      <c r="C22" s="17" t="s">
        <v>140</v>
      </c>
      <c r="D22" s="17"/>
      <c r="E22" s="17">
        <v>6932</v>
      </c>
      <c r="F22" s="17">
        <f t="shared" si="0"/>
        <v>14758</v>
      </c>
    </row>
    <row r="23" ht="15.75" spans="1:6">
      <c r="A23" s="17" t="s">
        <v>699</v>
      </c>
      <c r="B23" s="17" t="s">
        <v>253</v>
      </c>
      <c r="C23" s="17" t="s">
        <v>280</v>
      </c>
      <c r="D23" s="17">
        <v>6000</v>
      </c>
      <c r="E23" s="17"/>
      <c r="F23" s="17">
        <f t="shared" si="0"/>
        <v>8758</v>
      </c>
    </row>
    <row r="24" ht="15.75" spans="1:6">
      <c r="A24" s="18">
        <v>45723</v>
      </c>
      <c r="B24" s="17" t="s">
        <v>1189</v>
      </c>
      <c r="C24" s="17" t="s">
        <v>1190</v>
      </c>
      <c r="D24" s="17"/>
      <c r="E24" s="17">
        <v>2600</v>
      </c>
      <c r="F24" s="17">
        <f t="shared" si="0"/>
        <v>11358</v>
      </c>
    </row>
    <row r="25" ht="31.5" spans="1:6">
      <c r="A25" s="18">
        <v>45876</v>
      </c>
      <c r="B25" s="17" t="s">
        <v>1191</v>
      </c>
      <c r="C25" s="71" t="s">
        <v>1192</v>
      </c>
      <c r="D25" s="17"/>
      <c r="E25" s="17">
        <v>4250</v>
      </c>
      <c r="F25" s="17">
        <f t="shared" si="0"/>
        <v>15608</v>
      </c>
    </row>
    <row r="26" ht="15.75" spans="1:6">
      <c r="A26" s="18">
        <v>45876</v>
      </c>
      <c r="B26" s="17" t="s">
        <v>253</v>
      </c>
      <c r="C26" s="17" t="s">
        <v>280</v>
      </c>
      <c r="D26" s="17">
        <v>2600</v>
      </c>
      <c r="E26" s="17"/>
      <c r="F26" s="17">
        <f t="shared" si="0"/>
        <v>13008</v>
      </c>
    </row>
    <row r="27" ht="15.75" spans="1:6">
      <c r="A27" s="18">
        <v>45876</v>
      </c>
      <c r="B27" s="17" t="s">
        <v>253</v>
      </c>
      <c r="C27" s="17" t="s">
        <v>101</v>
      </c>
      <c r="D27" s="17">
        <v>6000</v>
      </c>
      <c r="E27" s="17"/>
      <c r="F27" s="17">
        <f t="shared" si="0"/>
        <v>7008</v>
      </c>
    </row>
    <row r="28" ht="15.75" spans="1:6">
      <c r="A28" s="18">
        <v>45937</v>
      </c>
      <c r="B28" s="17" t="s">
        <v>1193</v>
      </c>
      <c r="C28" s="17" t="s">
        <v>140</v>
      </c>
      <c r="D28" s="17"/>
      <c r="E28" s="17">
        <v>4566</v>
      </c>
      <c r="F28" s="17">
        <f t="shared" si="0"/>
        <v>11574</v>
      </c>
    </row>
    <row r="29" ht="31.5" spans="1:6">
      <c r="A29" s="18">
        <v>45998</v>
      </c>
      <c r="B29" s="17" t="s">
        <v>1194</v>
      </c>
      <c r="C29" s="71" t="s">
        <v>1195</v>
      </c>
      <c r="D29" s="17"/>
      <c r="E29" s="17">
        <v>7777</v>
      </c>
      <c r="F29" s="17">
        <f t="shared" si="0"/>
        <v>19351</v>
      </c>
    </row>
    <row r="30" ht="15.75" spans="1:6">
      <c r="A30" s="18">
        <v>45998</v>
      </c>
      <c r="B30" s="17" t="s">
        <v>253</v>
      </c>
      <c r="C30" s="17" t="s">
        <v>186</v>
      </c>
      <c r="D30" s="17">
        <v>4500</v>
      </c>
      <c r="E30" s="17"/>
      <c r="F30" s="17">
        <f t="shared" si="0"/>
        <v>14851</v>
      </c>
    </row>
    <row r="31" ht="15.75" spans="1:6">
      <c r="A31" s="18" t="s">
        <v>1196</v>
      </c>
      <c r="B31" s="17" t="s">
        <v>1197</v>
      </c>
      <c r="C31" s="17" t="s">
        <v>140</v>
      </c>
      <c r="D31" s="17"/>
      <c r="E31" s="17">
        <v>5480</v>
      </c>
      <c r="F31" s="17">
        <f t="shared" si="0"/>
        <v>20331</v>
      </c>
    </row>
    <row r="32" ht="15.75" spans="1:6">
      <c r="A32" s="18" t="s">
        <v>1198</v>
      </c>
      <c r="B32" s="17" t="s">
        <v>253</v>
      </c>
      <c r="C32" s="17" t="s">
        <v>101</v>
      </c>
      <c r="D32" s="17">
        <v>2700</v>
      </c>
      <c r="E32" s="17"/>
      <c r="F32" s="17">
        <f t="shared" si="0"/>
        <v>17631</v>
      </c>
    </row>
    <row r="33" ht="15.75" spans="1:6">
      <c r="A33" s="18" t="s">
        <v>1199</v>
      </c>
      <c r="B33" s="17" t="s">
        <v>1200</v>
      </c>
      <c r="C33" s="17" t="s">
        <v>280</v>
      </c>
      <c r="D33" s="17">
        <v>1371</v>
      </c>
      <c r="E33" s="17"/>
      <c r="F33" s="17">
        <f t="shared" si="0"/>
        <v>16260</v>
      </c>
    </row>
    <row r="34" ht="15.75" spans="1:6">
      <c r="A34" s="17" t="s">
        <v>1201</v>
      </c>
      <c r="B34" s="17" t="s">
        <v>1202</v>
      </c>
      <c r="C34" s="17" t="s">
        <v>140</v>
      </c>
      <c r="D34" s="17"/>
      <c r="E34" s="17">
        <v>11009</v>
      </c>
      <c r="F34" s="17">
        <f t="shared" si="0"/>
        <v>27269</v>
      </c>
    </row>
    <row r="35" ht="15.75" spans="1:6">
      <c r="A35" s="17" t="s">
        <v>1201</v>
      </c>
      <c r="B35" s="17" t="s">
        <v>253</v>
      </c>
      <c r="C35" s="17" t="s">
        <v>280</v>
      </c>
      <c r="D35" s="17">
        <v>4300</v>
      </c>
      <c r="E35" s="17"/>
      <c r="F35" s="17">
        <f t="shared" si="0"/>
        <v>22969</v>
      </c>
    </row>
    <row r="36" ht="15.75" spans="1:6">
      <c r="A36" s="17" t="s">
        <v>1201</v>
      </c>
      <c r="B36" s="17" t="s">
        <v>253</v>
      </c>
      <c r="C36" s="17" t="s">
        <v>280</v>
      </c>
      <c r="D36" s="17">
        <v>2500</v>
      </c>
      <c r="E36" s="17"/>
      <c r="F36" s="17">
        <f t="shared" si="0"/>
        <v>20469</v>
      </c>
    </row>
    <row r="37" ht="31.5" spans="1:6">
      <c r="A37" s="17" t="s">
        <v>1203</v>
      </c>
      <c r="B37" s="17" t="s">
        <v>1204</v>
      </c>
      <c r="C37" s="71" t="s">
        <v>1205</v>
      </c>
      <c r="D37" s="17"/>
      <c r="E37" s="17">
        <v>16929</v>
      </c>
      <c r="F37" s="17">
        <f t="shared" si="0"/>
        <v>37398</v>
      </c>
    </row>
    <row r="38" ht="15.75" spans="1:6">
      <c r="A38" s="17" t="s">
        <v>1203</v>
      </c>
      <c r="B38" s="17" t="s">
        <v>253</v>
      </c>
      <c r="C38" s="17" t="s">
        <v>280</v>
      </c>
      <c r="D38" s="17">
        <v>8000</v>
      </c>
      <c r="E38" s="17"/>
      <c r="F38" s="17">
        <f t="shared" si="0"/>
        <v>29398</v>
      </c>
    </row>
    <row r="39" ht="15.75" spans="1:6">
      <c r="A39" s="17"/>
      <c r="B39" s="17"/>
      <c r="C39" s="17"/>
      <c r="D39" s="17"/>
      <c r="E39" s="17"/>
      <c r="F39" s="17">
        <f t="shared" si="0"/>
        <v>29398</v>
      </c>
    </row>
    <row r="40" ht="15.75" spans="1:6">
      <c r="A40" s="17"/>
      <c r="B40" s="17"/>
      <c r="C40" s="17"/>
      <c r="D40" s="17"/>
      <c r="E40" s="17"/>
      <c r="F40" s="17">
        <f t="shared" si="0"/>
        <v>29398</v>
      </c>
    </row>
    <row r="41" ht="15.75" spans="1:6">
      <c r="A41" s="17"/>
      <c r="B41" s="17"/>
      <c r="C41" s="17"/>
      <c r="D41" s="17"/>
      <c r="E41" s="17"/>
      <c r="F41" s="17">
        <f t="shared" si="0"/>
        <v>29398</v>
      </c>
    </row>
    <row r="42" ht="15.75" spans="1:6">
      <c r="A42" s="17"/>
      <c r="B42" s="17"/>
      <c r="C42" s="17"/>
      <c r="D42" s="17"/>
      <c r="E42" s="17"/>
      <c r="F42" s="17">
        <f t="shared" si="0"/>
        <v>29398</v>
      </c>
    </row>
    <row r="43" ht="18.75" spans="1:6">
      <c r="A43" s="7" t="s">
        <v>303</v>
      </c>
      <c r="B43" s="9"/>
      <c r="C43" s="358"/>
      <c r="D43" s="358"/>
      <c r="E43" s="358"/>
      <c r="F43" s="17">
        <f t="shared" si="0"/>
        <v>29398</v>
      </c>
    </row>
  </sheetData>
  <mergeCells count="6">
    <mergeCell ref="A3:C3"/>
    <mergeCell ref="D3:F3"/>
    <mergeCell ref="A4:B4"/>
    <mergeCell ref="C4:F4"/>
    <mergeCell ref="A43:B43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F12"/>
  <sheetViews>
    <sheetView workbookViewId="0">
      <selection activeCell="J11" sqref="J11"/>
    </sheetView>
  </sheetViews>
  <sheetFormatPr defaultColWidth="9" defaultRowHeight="15" outlineLevelCol="5"/>
  <cols>
    <col min="1" max="1" width="11.7142857142857" customWidth="1"/>
    <col min="2" max="2" width="12.7142857142857" customWidth="1"/>
    <col min="3" max="3" width="22.2857142857143" customWidth="1"/>
    <col min="4" max="4" width="14.2857142857143" customWidth="1"/>
    <col min="5" max="5" width="14.5714285714286" customWidth="1"/>
    <col min="6" max="6" width="11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1206</v>
      </c>
      <c r="E3" s="11"/>
      <c r="F3" s="12"/>
    </row>
    <row r="4" ht="22.5" customHeight="1" spans="1:6">
      <c r="A4" s="13" t="s">
        <v>84</v>
      </c>
      <c r="B4" s="13"/>
      <c r="C4" s="14" t="s">
        <v>1207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45231</v>
      </c>
      <c r="B6" s="17"/>
      <c r="C6" s="17" t="s">
        <v>1168</v>
      </c>
      <c r="D6" s="17"/>
      <c r="E6" s="17">
        <v>8200</v>
      </c>
      <c r="F6" s="17">
        <f>E6-D6</f>
        <v>8200</v>
      </c>
    </row>
    <row r="7" ht="15.75" spans="1:6">
      <c r="A7" s="18">
        <v>45567</v>
      </c>
      <c r="B7" s="17" t="s">
        <v>1208</v>
      </c>
      <c r="C7" s="17" t="s">
        <v>697</v>
      </c>
      <c r="D7" s="17"/>
      <c r="E7" s="17">
        <v>1100</v>
      </c>
      <c r="F7" s="17">
        <f>F6-D7+E7</f>
        <v>9300</v>
      </c>
    </row>
    <row r="8" ht="15.75" spans="1:6">
      <c r="A8" s="18" t="s">
        <v>625</v>
      </c>
      <c r="B8" s="17" t="s">
        <v>1209</v>
      </c>
      <c r="C8" s="17" t="s">
        <v>157</v>
      </c>
      <c r="D8" s="17">
        <v>800</v>
      </c>
      <c r="E8" s="17"/>
      <c r="F8" s="17">
        <f t="shared" ref="F8:F12" si="0">F7-D8+E8</f>
        <v>8500</v>
      </c>
    </row>
    <row r="9" ht="15.75" spans="1:6">
      <c r="A9" s="18"/>
      <c r="B9" s="17"/>
      <c r="C9" s="17"/>
      <c r="D9" s="17"/>
      <c r="E9" s="17"/>
      <c r="F9" s="17">
        <f t="shared" si="0"/>
        <v>8500</v>
      </c>
    </row>
    <row r="10" ht="15.75" spans="1:6">
      <c r="A10" s="18"/>
      <c r="B10" s="17"/>
      <c r="C10" s="17"/>
      <c r="D10" s="17"/>
      <c r="E10" s="17"/>
      <c r="F10" s="17">
        <f t="shared" si="0"/>
        <v>8500</v>
      </c>
    </row>
    <row r="11" ht="15.75" spans="1:6">
      <c r="A11" s="17"/>
      <c r="B11" s="17"/>
      <c r="C11" s="17"/>
      <c r="D11" s="17"/>
      <c r="E11" s="17"/>
      <c r="F11" s="17">
        <f t="shared" si="0"/>
        <v>8500</v>
      </c>
    </row>
    <row r="12" ht="18.75" spans="1:6">
      <c r="A12" s="7" t="s">
        <v>303</v>
      </c>
      <c r="B12" s="8"/>
      <c r="C12" s="8"/>
      <c r="D12" s="8"/>
      <c r="E12" s="9"/>
      <c r="F12" s="17">
        <f t="shared" si="0"/>
        <v>8500</v>
      </c>
    </row>
  </sheetData>
  <mergeCells count="6">
    <mergeCell ref="A3:C3"/>
    <mergeCell ref="D3:F3"/>
    <mergeCell ref="A4:B4"/>
    <mergeCell ref="C4:F4"/>
    <mergeCell ref="A12:E12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R39"/>
  <sheetViews>
    <sheetView topLeftCell="D1" workbookViewId="0">
      <selection activeCell="R20" sqref="R20"/>
    </sheetView>
  </sheetViews>
  <sheetFormatPr defaultColWidth="9" defaultRowHeight="15"/>
  <cols>
    <col min="1" max="1" width="12.8571428571429" customWidth="1"/>
    <col min="2" max="2" width="12.7142857142857" customWidth="1"/>
    <col min="3" max="3" width="29.2857142857143" customWidth="1"/>
    <col min="4" max="4" width="7.57142857142857" customWidth="1"/>
    <col min="5" max="5" width="8.71428571428571" style="115" customWidth="1"/>
    <col min="6" max="6" width="11.1428571428571" customWidth="1"/>
    <col min="13" max="13" width="10.1428571428571" customWidth="1"/>
    <col min="15" max="15" width="35.2857142857143" customWidth="1"/>
    <col min="18" max="18" width="10.7142857142857" customWidth="1"/>
  </cols>
  <sheetData>
    <row r="1" ht="20.25" customHeight="1" spans="1:18">
      <c r="A1" s="1" t="s">
        <v>1210</v>
      </c>
      <c r="B1" s="2"/>
      <c r="C1" s="2"/>
      <c r="D1" s="2"/>
      <c r="E1" s="2"/>
      <c r="F1" s="3"/>
      <c r="M1" s="1" t="s">
        <v>1211</v>
      </c>
      <c r="N1" s="2"/>
      <c r="O1" s="2"/>
      <c r="P1" s="2"/>
      <c r="Q1" s="2"/>
      <c r="R1" s="3"/>
    </row>
    <row r="2" ht="20.25" customHeight="1" spans="1:18">
      <c r="A2" s="4"/>
      <c r="B2" s="5"/>
      <c r="C2" s="5"/>
      <c r="D2" s="5"/>
      <c r="E2" s="5"/>
      <c r="F2" s="6"/>
      <c r="M2" s="4"/>
      <c r="N2" s="5"/>
      <c r="O2" s="5"/>
      <c r="P2" s="5"/>
      <c r="Q2" s="5"/>
      <c r="R2" s="6"/>
    </row>
    <row r="3" ht="33" customHeight="1" spans="1:18">
      <c r="A3" s="7" t="s">
        <v>82</v>
      </c>
      <c r="B3" s="8"/>
      <c r="C3" s="9"/>
      <c r="D3" s="10" t="s">
        <v>51</v>
      </c>
      <c r="E3" s="11"/>
      <c r="F3" s="12"/>
      <c r="M3" s="7" t="s">
        <v>82</v>
      </c>
      <c r="N3" s="8"/>
      <c r="O3" s="9"/>
      <c r="P3" s="10" t="s">
        <v>51</v>
      </c>
      <c r="Q3" s="11"/>
      <c r="R3" s="12"/>
    </row>
    <row r="4" ht="22.5" customHeight="1" spans="1:18">
      <c r="A4" s="13" t="s">
        <v>84</v>
      </c>
      <c r="B4" s="13"/>
      <c r="C4" s="14" t="s">
        <v>1212</v>
      </c>
      <c r="D4" s="15"/>
      <c r="E4" s="15"/>
      <c r="F4" s="16"/>
      <c r="M4" s="13" t="s">
        <v>84</v>
      </c>
      <c r="N4" s="13"/>
      <c r="O4" s="14" t="s">
        <v>1213</v>
      </c>
      <c r="P4" s="15"/>
      <c r="Q4" s="15"/>
      <c r="R4" s="16"/>
    </row>
    <row r="5" ht="18.75" customHeight="1" spans="1:18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  <c r="M5" s="13" t="s">
        <v>86</v>
      </c>
      <c r="N5" s="13" t="s">
        <v>87</v>
      </c>
      <c r="O5" s="13" t="s">
        <v>88</v>
      </c>
      <c r="P5" s="13" t="s">
        <v>89</v>
      </c>
      <c r="Q5" s="13" t="s">
        <v>90</v>
      </c>
      <c r="R5" s="13" t="s">
        <v>91</v>
      </c>
    </row>
    <row r="6" ht="18.75" customHeight="1" spans="1:18">
      <c r="A6" s="13"/>
      <c r="B6" s="13"/>
      <c r="C6" s="13" t="s">
        <v>1168</v>
      </c>
      <c r="D6" s="13"/>
      <c r="E6" s="9">
        <v>91551</v>
      </c>
      <c r="F6" s="13"/>
      <c r="M6" s="13"/>
      <c r="N6" s="13"/>
      <c r="O6" s="13"/>
      <c r="P6" s="13"/>
      <c r="Q6" s="13"/>
      <c r="R6" s="13"/>
    </row>
    <row r="7" ht="15.75" spans="1:18">
      <c r="A7" s="18"/>
      <c r="B7" s="17"/>
      <c r="C7" s="17"/>
      <c r="D7" s="17"/>
      <c r="E7" s="19"/>
      <c r="F7" s="17"/>
      <c r="M7" s="18">
        <v>45180</v>
      </c>
      <c r="N7" s="17"/>
      <c r="O7" s="17" t="s">
        <v>1168</v>
      </c>
      <c r="P7" s="17"/>
      <c r="Q7" s="17">
        <v>91121</v>
      </c>
      <c r="R7" s="17">
        <f>Q7-P7</f>
        <v>91121</v>
      </c>
    </row>
    <row r="8" ht="15.75" spans="1:18">
      <c r="A8" s="18">
        <v>45394</v>
      </c>
      <c r="B8" s="17" t="s">
        <v>1214</v>
      </c>
      <c r="C8" s="17" t="s">
        <v>1215</v>
      </c>
      <c r="D8" s="17"/>
      <c r="E8" s="19"/>
      <c r="F8" s="17">
        <f>F7-D8+E8</f>
        <v>0</v>
      </c>
      <c r="M8" s="17" t="s">
        <v>1216</v>
      </c>
      <c r="N8" s="17" t="s">
        <v>1217</v>
      </c>
      <c r="O8" s="17" t="s">
        <v>852</v>
      </c>
      <c r="P8" s="17"/>
      <c r="Q8" s="17">
        <v>6140</v>
      </c>
      <c r="R8" s="17">
        <f>R7-P8+Q8</f>
        <v>97261</v>
      </c>
    </row>
    <row r="9" ht="15.75" spans="1:18">
      <c r="A9" s="93" t="s">
        <v>1218</v>
      </c>
      <c r="B9" s="17" t="s">
        <v>1219</v>
      </c>
      <c r="C9" s="74" t="s">
        <v>1215</v>
      </c>
      <c r="D9" s="17"/>
      <c r="E9" s="19">
        <v>4525</v>
      </c>
      <c r="F9" s="17">
        <f>F8-D9+E9</f>
        <v>4525</v>
      </c>
      <c r="M9" s="17" t="s">
        <v>602</v>
      </c>
      <c r="N9" s="17" t="s">
        <v>253</v>
      </c>
      <c r="O9" s="17" t="s">
        <v>157</v>
      </c>
      <c r="P9" s="17">
        <v>4000</v>
      </c>
      <c r="Q9" s="17"/>
      <c r="R9" s="17">
        <f t="shared" ref="R9:R27" si="0">R8-P9+Q9</f>
        <v>93261</v>
      </c>
    </row>
    <row r="10" ht="15.75" spans="1:18">
      <c r="A10" s="17" t="s">
        <v>166</v>
      </c>
      <c r="B10" s="17" t="s">
        <v>190</v>
      </c>
      <c r="C10" s="74" t="s">
        <v>280</v>
      </c>
      <c r="D10" s="17">
        <v>1200</v>
      </c>
      <c r="E10" s="72"/>
      <c r="F10" s="17">
        <f>F9-D10+E10</f>
        <v>3325</v>
      </c>
      <c r="M10" s="17"/>
      <c r="N10" s="17"/>
      <c r="O10" s="17"/>
      <c r="P10" s="17"/>
      <c r="Q10" s="17"/>
      <c r="R10" s="17"/>
    </row>
    <row r="11" ht="15.75" spans="1:18">
      <c r="A11" s="18">
        <v>45516</v>
      </c>
      <c r="B11" s="17" t="s">
        <v>190</v>
      </c>
      <c r="C11" s="74" t="s">
        <v>280</v>
      </c>
      <c r="D11" s="17">
        <v>4000</v>
      </c>
      <c r="E11" s="72"/>
      <c r="F11" s="17">
        <f t="shared" ref="F11:F34" si="1">F10-D11+E11</f>
        <v>-675</v>
      </c>
      <c r="M11" s="17"/>
      <c r="N11" s="17"/>
      <c r="O11" s="17"/>
      <c r="P11" s="17"/>
      <c r="Q11" s="17"/>
      <c r="R11" s="17"/>
    </row>
    <row r="12" ht="31.5" spans="1:18">
      <c r="A12" s="18">
        <v>45485</v>
      </c>
      <c r="B12" s="17" t="s">
        <v>1220</v>
      </c>
      <c r="C12" s="74" t="s">
        <v>1221</v>
      </c>
      <c r="D12" s="17"/>
      <c r="E12" s="72">
        <v>2625</v>
      </c>
      <c r="F12" s="17">
        <f t="shared" si="1"/>
        <v>1950</v>
      </c>
      <c r="M12" s="17"/>
      <c r="N12" s="17"/>
      <c r="O12" s="17"/>
      <c r="P12" s="17"/>
      <c r="Q12" s="17"/>
      <c r="R12" s="17"/>
    </row>
    <row r="13" ht="15.75" spans="1:18">
      <c r="A13" s="18">
        <v>45638</v>
      </c>
      <c r="B13" s="17" t="s">
        <v>1222</v>
      </c>
      <c r="C13" s="74" t="s">
        <v>1215</v>
      </c>
      <c r="D13" s="17"/>
      <c r="E13" s="72">
        <v>1415</v>
      </c>
      <c r="F13" s="17">
        <f t="shared" si="1"/>
        <v>3365</v>
      </c>
      <c r="M13" s="17"/>
      <c r="N13" s="17"/>
      <c r="O13" s="17"/>
      <c r="P13" s="17"/>
      <c r="Q13" s="17"/>
      <c r="R13" s="17"/>
    </row>
    <row r="14" ht="15.75" spans="1:18">
      <c r="A14" s="17" t="s">
        <v>212</v>
      </c>
      <c r="B14" s="17" t="s">
        <v>1223</v>
      </c>
      <c r="C14" s="74" t="s">
        <v>1215</v>
      </c>
      <c r="D14" s="17"/>
      <c r="E14" s="72">
        <v>400</v>
      </c>
      <c r="F14" s="17">
        <f t="shared" si="1"/>
        <v>3765</v>
      </c>
      <c r="M14" s="17"/>
      <c r="N14" s="17"/>
      <c r="O14" s="17"/>
      <c r="P14" s="17"/>
      <c r="Q14" s="17"/>
      <c r="R14" s="17"/>
    </row>
    <row r="15" ht="15.75" spans="1:18">
      <c r="A15" s="17" t="s">
        <v>225</v>
      </c>
      <c r="B15" s="17" t="s">
        <v>1224</v>
      </c>
      <c r="C15" s="74" t="s">
        <v>1225</v>
      </c>
      <c r="D15" s="17"/>
      <c r="E15" s="72">
        <v>1775</v>
      </c>
      <c r="F15" s="17">
        <f t="shared" si="1"/>
        <v>5540</v>
      </c>
      <c r="M15" s="17"/>
      <c r="N15" s="17"/>
      <c r="O15" s="17"/>
      <c r="P15" s="17"/>
      <c r="Q15" s="17"/>
      <c r="R15" s="17"/>
    </row>
    <row r="16" ht="15.75" spans="1:18">
      <c r="A16" s="18" t="s">
        <v>245</v>
      </c>
      <c r="B16" s="17" t="s">
        <v>1226</v>
      </c>
      <c r="C16" s="74" t="s">
        <v>419</v>
      </c>
      <c r="D16" s="17"/>
      <c r="E16" s="72">
        <v>1476</v>
      </c>
      <c r="F16" s="17">
        <f t="shared" si="1"/>
        <v>7016</v>
      </c>
      <c r="M16" s="17"/>
      <c r="N16" s="17"/>
      <c r="O16" s="17"/>
      <c r="P16" s="17"/>
      <c r="Q16" s="17"/>
      <c r="R16" s="17"/>
    </row>
    <row r="17" ht="15.75" spans="1:18">
      <c r="A17" s="360" t="s">
        <v>1227</v>
      </c>
      <c r="B17" s="17" t="s">
        <v>1228</v>
      </c>
      <c r="C17" s="74" t="s">
        <v>419</v>
      </c>
      <c r="D17" s="17"/>
      <c r="E17" s="361">
        <v>1476</v>
      </c>
      <c r="F17" s="17">
        <f t="shared" si="1"/>
        <v>8492</v>
      </c>
      <c r="M17" s="17" t="s">
        <v>602</v>
      </c>
      <c r="N17" s="17" t="s">
        <v>253</v>
      </c>
      <c r="O17" s="17" t="s">
        <v>956</v>
      </c>
      <c r="P17" s="17">
        <v>2000</v>
      </c>
      <c r="Q17" s="17"/>
      <c r="R17" s="17">
        <f>R9-P17+Q17</f>
        <v>91261</v>
      </c>
    </row>
    <row r="18" ht="15.75" spans="1:18">
      <c r="A18" s="17" t="s">
        <v>1227</v>
      </c>
      <c r="B18" s="17" t="s">
        <v>1229</v>
      </c>
      <c r="C18" s="17" t="s">
        <v>419</v>
      </c>
      <c r="D18" s="17"/>
      <c r="E18" s="17">
        <v>738</v>
      </c>
      <c r="F18" s="17">
        <f t="shared" si="1"/>
        <v>9230</v>
      </c>
      <c r="M18" s="17" t="s">
        <v>1230</v>
      </c>
      <c r="N18" s="17" t="s">
        <v>1231</v>
      </c>
      <c r="O18" s="17" t="s">
        <v>157</v>
      </c>
      <c r="P18" s="17">
        <v>160</v>
      </c>
      <c r="Q18" s="17"/>
      <c r="R18" s="17">
        <f t="shared" si="0"/>
        <v>91101</v>
      </c>
    </row>
    <row r="19" ht="15.75" spans="1:18">
      <c r="A19" s="18">
        <v>45658</v>
      </c>
      <c r="B19" s="17" t="s">
        <v>1232</v>
      </c>
      <c r="C19" s="17" t="s">
        <v>1215</v>
      </c>
      <c r="D19" s="17"/>
      <c r="E19" s="17">
        <v>1899</v>
      </c>
      <c r="F19" s="17">
        <f t="shared" si="1"/>
        <v>11129</v>
      </c>
      <c r="M19" s="17" t="s">
        <v>560</v>
      </c>
      <c r="N19" s="17" t="s">
        <v>253</v>
      </c>
      <c r="O19" s="17" t="s">
        <v>157</v>
      </c>
      <c r="P19" s="17">
        <v>1000</v>
      </c>
      <c r="Q19" s="17"/>
      <c r="R19" s="17">
        <f t="shared" si="0"/>
        <v>90101</v>
      </c>
    </row>
    <row r="20" ht="15.75" spans="1:18">
      <c r="A20" s="18">
        <v>45748</v>
      </c>
      <c r="B20" s="17" t="s">
        <v>1233</v>
      </c>
      <c r="C20" s="17" t="s">
        <v>419</v>
      </c>
      <c r="D20" s="17"/>
      <c r="E20" s="17">
        <v>738</v>
      </c>
      <c r="F20" s="17">
        <f t="shared" si="1"/>
        <v>11867</v>
      </c>
      <c r="M20" s="17" t="s">
        <v>1234</v>
      </c>
      <c r="N20" s="17" t="s">
        <v>1235</v>
      </c>
      <c r="O20" s="17" t="s">
        <v>1215</v>
      </c>
      <c r="P20" s="17"/>
      <c r="Q20" s="17">
        <v>1015</v>
      </c>
      <c r="R20" s="17">
        <f t="shared" si="0"/>
        <v>91116</v>
      </c>
    </row>
    <row r="21" ht="30" customHeight="1" spans="1:18">
      <c r="A21" s="75">
        <v>45778</v>
      </c>
      <c r="B21" s="17" t="s">
        <v>1236</v>
      </c>
      <c r="C21" s="71" t="s">
        <v>1237</v>
      </c>
      <c r="D21" s="17">
        <v>738</v>
      </c>
      <c r="E21" s="19"/>
      <c r="F21" s="17">
        <f t="shared" si="1"/>
        <v>11129</v>
      </c>
      <c r="M21" s="73" t="s">
        <v>572</v>
      </c>
      <c r="N21" s="17" t="s">
        <v>1238</v>
      </c>
      <c r="O21" s="71" t="s">
        <v>1239</v>
      </c>
      <c r="P21" s="17"/>
      <c r="Q21" s="19">
        <v>4740</v>
      </c>
      <c r="R21" s="17">
        <f t="shared" si="0"/>
        <v>95856</v>
      </c>
    </row>
    <row r="22" ht="15.75" spans="1:18">
      <c r="A22" s="73" t="s">
        <v>1240</v>
      </c>
      <c r="B22" s="17" t="s">
        <v>1241</v>
      </c>
      <c r="C22" s="17" t="s">
        <v>1215</v>
      </c>
      <c r="D22" s="17"/>
      <c r="E22" s="19">
        <v>1851</v>
      </c>
      <c r="F22" s="17">
        <f t="shared" si="1"/>
        <v>12980</v>
      </c>
      <c r="M22" s="73" t="s">
        <v>939</v>
      </c>
      <c r="N22" s="17" t="s">
        <v>253</v>
      </c>
      <c r="O22" s="17"/>
      <c r="P22" s="17">
        <v>4700</v>
      </c>
      <c r="Q22" s="19"/>
      <c r="R22" s="17">
        <f t="shared" si="0"/>
        <v>91156</v>
      </c>
    </row>
    <row r="23" ht="15.75" spans="1:18">
      <c r="A23" s="73" t="s">
        <v>829</v>
      </c>
      <c r="B23" s="17" t="s">
        <v>1242</v>
      </c>
      <c r="C23" s="17" t="s">
        <v>1215</v>
      </c>
      <c r="D23" s="17"/>
      <c r="E23" s="19">
        <v>515</v>
      </c>
      <c r="F23" s="17">
        <f t="shared" si="1"/>
        <v>13495</v>
      </c>
      <c r="M23" s="73" t="s">
        <v>939</v>
      </c>
      <c r="N23" s="17" t="s">
        <v>1243</v>
      </c>
      <c r="O23" s="17" t="s">
        <v>1244</v>
      </c>
      <c r="P23" s="17"/>
      <c r="Q23" s="19">
        <v>3445</v>
      </c>
      <c r="R23" s="17">
        <f t="shared" si="0"/>
        <v>94601</v>
      </c>
    </row>
    <row r="24" ht="15.75" spans="1:18">
      <c r="A24" s="75">
        <v>45871</v>
      </c>
      <c r="B24" s="17" t="s">
        <v>1245</v>
      </c>
      <c r="C24" s="17" t="s">
        <v>1215</v>
      </c>
      <c r="D24" s="17"/>
      <c r="E24" s="19">
        <v>1770</v>
      </c>
      <c r="F24" s="17">
        <f t="shared" si="1"/>
        <v>15265</v>
      </c>
      <c r="M24" s="73" t="s">
        <v>115</v>
      </c>
      <c r="N24" s="17" t="s">
        <v>253</v>
      </c>
      <c r="O24" s="17" t="s">
        <v>157</v>
      </c>
      <c r="P24" s="17">
        <v>1100</v>
      </c>
      <c r="Q24" s="19"/>
      <c r="R24" s="17">
        <f t="shared" si="0"/>
        <v>93501</v>
      </c>
    </row>
    <row r="25" ht="15.75" spans="1:18">
      <c r="A25" s="75">
        <v>45871</v>
      </c>
      <c r="B25" s="17" t="s">
        <v>1246</v>
      </c>
      <c r="C25" s="17" t="s">
        <v>1247</v>
      </c>
      <c r="D25" s="17"/>
      <c r="E25" s="19">
        <v>1000</v>
      </c>
      <c r="F25" s="17">
        <f t="shared" si="1"/>
        <v>16265</v>
      </c>
      <c r="M25" s="75">
        <v>45329</v>
      </c>
      <c r="N25" s="17" t="s">
        <v>253</v>
      </c>
      <c r="O25" s="17" t="s">
        <v>157</v>
      </c>
      <c r="P25" s="17">
        <v>600</v>
      </c>
      <c r="Q25" s="19"/>
      <c r="R25" s="17">
        <f t="shared" si="0"/>
        <v>92901</v>
      </c>
    </row>
    <row r="26" ht="15.75" spans="1:18">
      <c r="A26" s="75">
        <v>45902</v>
      </c>
      <c r="B26" s="17" t="s">
        <v>1248</v>
      </c>
      <c r="C26" s="17" t="s">
        <v>1249</v>
      </c>
      <c r="D26" s="17">
        <v>1920</v>
      </c>
      <c r="E26" s="19"/>
      <c r="F26" s="17">
        <f t="shared" si="1"/>
        <v>14345</v>
      </c>
      <c r="M26" s="75">
        <v>45359</v>
      </c>
      <c r="N26" s="17" t="s">
        <v>253</v>
      </c>
      <c r="O26" s="17" t="s">
        <v>157</v>
      </c>
      <c r="P26" s="17">
        <v>1750</v>
      </c>
      <c r="Q26" s="19"/>
      <c r="R26" s="17">
        <f t="shared" si="0"/>
        <v>91151</v>
      </c>
    </row>
    <row r="27" ht="47.25" spans="1:18">
      <c r="A27" s="75">
        <v>45993</v>
      </c>
      <c r="B27" s="17"/>
      <c r="C27" s="71" t="s">
        <v>1250</v>
      </c>
      <c r="D27" s="17">
        <v>14345</v>
      </c>
      <c r="E27" s="19"/>
      <c r="F27" s="17">
        <f t="shared" si="1"/>
        <v>0</v>
      </c>
      <c r="M27" s="75">
        <v>45359</v>
      </c>
      <c r="N27" s="17" t="s">
        <v>253</v>
      </c>
      <c r="O27" s="17" t="s">
        <v>1251</v>
      </c>
      <c r="P27" s="17"/>
      <c r="Q27" s="19">
        <v>1270</v>
      </c>
      <c r="R27" s="17">
        <f t="shared" si="0"/>
        <v>92421</v>
      </c>
    </row>
    <row r="28" ht="15.75" spans="1:6">
      <c r="A28" s="73" t="s">
        <v>351</v>
      </c>
      <c r="B28" s="17" t="s">
        <v>1252</v>
      </c>
      <c r="C28" s="72" t="s">
        <v>1215</v>
      </c>
      <c r="D28" s="17"/>
      <c r="E28" s="19">
        <v>1000</v>
      </c>
      <c r="F28" s="17">
        <f t="shared" si="1"/>
        <v>1000</v>
      </c>
    </row>
    <row r="29" ht="15.75" spans="1:6">
      <c r="A29" s="73" t="s">
        <v>441</v>
      </c>
      <c r="B29" s="17" t="s">
        <v>1253</v>
      </c>
      <c r="C29" s="74" t="s">
        <v>1215</v>
      </c>
      <c r="D29" s="17"/>
      <c r="E29" s="19">
        <v>225</v>
      </c>
      <c r="F29" s="17">
        <f t="shared" si="1"/>
        <v>1225</v>
      </c>
    </row>
    <row r="30" ht="15.75" spans="1:6">
      <c r="A30" s="73"/>
      <c r="B30" s="17"/>
      <c r="C30" s="72"/>
      <c r="D30" s="17"/>
      <c r="E30" s="19"/>
      <c r="F30" s="17">
        <f t="shared" si="1"/>
        <v>1225</v>
      </c>
    </row>
    <row r="31" ht="15.75" spans="1:6">
      <c r="A31" s="73"/>
      <c r="B31" s="17"/>
      <c r="C31" s="72"/>
      <c r="D31" s="17"/>
      <c r="E31" s="19"/>
      <c r="F31" s="17">
        <f t="shared" si="1"/>
        <v>1225</v>
      </c>
    </row>
    <row r="32" ht="15.75" spans="1:6">
      <c r="A32" s="73"/>
      <c r="B32" s="17"/>
      <c r="C32" s="72"/>
      <c r="D32" s="17"/>
      <c r="E32" s="19"/>
      <c r="F32" s="17">
        <f t="shared" si="1"/>
        <v>1225</v>
      </c>
    </row>
    <row r="33" ht="15.75" spans="1:6">
      <c r="A33" s="73"/>
      <c r="B33" s="17"/>
      <c r="C33" s="72"/>
      <c r="D33" s="17"/>
      <c r="E33" s="19"/>
      <c r="F33" s="17">
        <f t="shared" si="1"/>
        <v>1225</v>
      </c>
    </row>
    <row r="34" ht="15.75" spans="1:6">
      <c r="A34" s="73"/>
      <c r="B34" s="17"/>
      <c r="C34" s="72"/>
      <c r="D34" s="17"/>
      <c r="E34" s="19"/>
      <c r="F34" s="17">
        <f t="shared" si="1"/>
        <v>1225</v>
      </c>
    </row>
    <row r="35" ht="15.75" spans="1:6">
      <c r="A35" s="362" t="s">
        <v>303</v>
      </c>
      <c r="B35" s="363"/>
      <c r="C35" s="363"/>
      <c r="D35" s="363"/>
      <c r="E35" s="364"/>
      <c r="F35" s="17">
        <f>F28-D35+E35</f>
        <v>1000</v>
      </c>
    </row>
    <row r="39" spans="11:11">
      <c r="K39" t="s">
        <v>5</v>
      </c>
    </row>
  </sheetData>
  <mergeCells count="11">
    <mergeCell ref="A3:C3"/>
    <mergeCell ref="D3:F3"/>
    <mergeCell ref="M3:O3"/>
    <mergeCell ref="P3:R3"/>
    <mergeCell ref="A4:B4"/>
    <mergeCell ref="C4:F4"/>
    <mergeCell ref="M4:N4"/>
    <mergeCell ref="O4:R4"/>
    <mergeCell ref="A35:E35"/>
    <mergeCell ref="A1:F2"/>
    <mergeCell ref="M1:R2"/>
  </mergeCells>
  <pageMargins left="0.7" right="0.7" top="0.75" bottom="0.75" header="0.3" footer="0.3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F9"/>
  <sheetViews>
    <sheetView workbookViewId="0">
      <selection activeCell="A7" sqref="A7"/>
    </sheetView>
  </sheetViews>
  <sheetFormatPr defaultColWidth="9" defaultRowHeight="15" outlineLevelCol="5"/>
  <cols>
    <col min="1" max="1" width="11.7142857142857" customWidth="1"/>
    <col min="2" max="2" width="12.7142857142857" customWidth="1"/>
    <col min="3" max="3" width="22.2857142857143" customWidth="1"/>
    <col min="4" max="4" width="14.2857142857143" customWidth="1"/>
    <col min="5" max="5" width="14.5714285714286" customWidth="1"/>
    <col min="6" max="6" width="11.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1254</v>
      </c>
      <c r="E3" s="11"/>
      <c r="F3" s="12"/>
    </row>
    <row r="4" ht="22.5" customHeight="1" spans="1:6">
      <c r="A4" s="13" t="s">
        <v>84</v>
      </c>
      <c r="B4" s="13"/>
      <c r="C4" s="14" t="s">
        <v>1255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45176</v>
      </c>
      <c r="B6" s="17"/>
      <c r="C6" s="17" t="s">
        <v>1168</v>
      </c>
      <c r="D6" s="17"/>
      <c r="E6" s="17">
        <v>6600</v>
      </c>
      <c r="F6" s="17">
        <f>E6-D6</f>
        <v>6600</v>
      </c>
    </row>
    <row r="7" ht="15.75" spans="1:6">
      <c r="A7" s="17"/>
      <c r="B7" s="17"/>
      <c r="C7" s="17"/>
      <c r="D7" s="17"/>
      <c r="E7" s="17"/>
      <c r="F7" s="17">
        <f>F6-D7+E7</f>
        <v>6600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6600</v>
      </c>
    </row>
    <row r="9" ht="18.75" spans="1:6">
      <c r="A9" s="7" t="s">
        <v>303</v>
      </c>
      <c r="B9" s="8"/>
      <c r="C9" s="8"/>
      <c r="D9" s="8"/>
      <c r="E9" s="9"/>
      <c r="F9" s="17">
        <f t="shared" si="0"/>
        <v>6600</v>
      </c>
    </row>
  </sheetData>
  <mergeCells count="6">
    <mergeCell ref="A3:C3"/>
    <mergeCell ref="D3:F3"/>
    <mergeCell ref="A4:B4"/>
    <mergeCell ref="C4:F4"/>
    <mergeCell ref="A9:E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F36"/>
  <sheetViews>
    <sheetView topLeftCell="A24" workbookViewId="0">
      <selection activeCell="A51" sqref="A51"/>
    </sheetView>
  </sheetViews>
  <sheetFormatPr defaultColWidth="9" defaultRowHeight="15" outlineLevelCol="5"/>
  <cols>
    <col min="1" max="1" width="11.7142857142857" style="115" customWidth="1"/>
    <col min="2" max="2" width="8.85714285714286" customWidth="1"/>
    <col min="3" max="3" width="29" customWidth="1"/>
    <col min="4" max="4" width="7.85714285714286" customWidth="1"/>
    <col min="5" max="5" width="12.8571428571429" customWidth="1"/>
    <col min="6" max="6" width="10.7142857142857" customWidth="1"/>
    <col min="8" max="8" width="10.7142857142857" customWidth="1"/>
    <col min="9" max="9" width="10.2857142857143" customWidth="1"/>
    <col min="10" max="10" width="28.1428571428571" customWidth="1"/>
    <col min="12" max="12" width="8.71428571428571" customWidth="1"/>
    <col min="13" max="13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1256</v>
      </c>
      <c r="E3" s="11"/>
      <c r="F3" s="12"/>
    </row>
    <row r="4" ht="22.5" customHeight="1" spans="1:6">
      <c r="A4" s="13" t="s">
        <v>84</v>
      </c>
      <c r="B4" s="13"/>
      <c r="C4" s="14" t="s">
        <v>1257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1258</v>
      </c>
      <c r="B6" s="17" t="s">
        <v>1259</v>
      </c>
      <c r="C6" s="17" t="s">
        <v>1260</v>
      </c>
      <c r="D6" s="17"/>
      <c r="E6" s="17">
        <v>88500</v>
      </c>
      <c r="F6" s="17">
        <f>E6</f>
        <v>88500</v>
      </c>
    </row>
    <row r="7" ht="15.75" spans="1:6">
      <c r="A7" s="17"/>
      <c r="B7" s="17"/>
      <c r="C7" s="17" t="s">
        <v>1261</v>
      </c>
      <c r="D7" s="17"/>
      <c r="E7" s="17">
        <v>7500</v>
      </c>
      <c r="F7" s="17">
        <f>F6-D7+E7</f>
        <v>96000</v>
      </c>
    </row>
    <row r="8" ht="15.75" spans="1:6">
      <c r="A8" s="17" t="s">
        <v>1262</v>
      </c>
      <c r="B8" s="17" t="s">
        <v>1263</v>
      </c>
      <c r="C8" s="17" t="s">
        <v>1264</v>
      </c>
      <c r="D8" s="17"/>
      <c r="E8" s="17">
        <v>4000</v>
      </c>
      <c r="F8" s="17">
        <f t="shared" ref="F8:F36" si="0">F7-D8+E8</f>
        <v>100000</v>
      </c>
    </row>
    <row r="9" ht="15.75" spans="1:6">
      <c r="A9" s="18">
        <v>45327</v>
      </c>
      <c r="B9" s="17" t="s">
        <v>1265</v>
      </c>
      <c r="C9" s="17" t="s">
        <v>1266</v>
      </c>
      <c r="D9" s="17"/>
      <c r="E9" s="17">
        <v>5000</v>
      </c>
      <c r="F9" s="17">
        <f t="shared" si="0"/>
        <v>105000</v>
      </c>
    </row>
    <row r="10" ht="15.75" spans="1:6">
      <c r="A10" s="18">
        <v>45631</v>
      </c>
      <c r="B10" s="19" t="s">
        <v>1267</v>
      </c>
      <c r="C10" s="17" t="s">
        <v>1268</v>
      </c>
      <c r="D10" s="17"/>
      <c r="E10" s="17">
        <v>900</v>
      </c>
      <c r="F10" s="17">
        <f t="shared" si="0"/>
        <v>105900</v>
      </c>
    </row>
    <row r="11" ht="15.75" spans="1:6">
      <c r="A11" s="18">
        <v>45297</v>
      </c>
      <c r="B11" s="20" t="s">
        <v>1269</v>
      </c>
      <c r="C11" s="17" t="s">
        <v>1270</v>
      </c>
      <c r="D11" s="17"/>
      <c r="E11" s="20">
        <v>4500</v>
      </c>
      <c r="F11" s="17">
        <f t="shared" si="0"/>
        <v>110400</v>
      </c>
    </row>
    <row r="12" ht="15.75" spans="1:6">
      <c r="A12" s="21">
        <v>45391</v>
      </c>
      <c r="B12" s="22" t="s">
        <v>1271</v>
      </c>
      <c r="C12" s="23" t="s">
        <v>1272</v>
      </c>
      <c r="D12" s="17"/>
      <c r="E12" s="17">
        <v>4000</v>
      </c>
      <c r="F12" s="17">
        <f t="shared" si="0"/>
        <v>114400</v>
      </c>
    </row>
    <row r="13" ht="15.75" spans="1:6">
      <c r="A13" s="24"/>
      <c r="B13" s="22"/>
      <c r="C13" s="25" t="s">
        <v>1273</v>
      </c>
      <c r="D13" s="17">
        <v>114400</v>
      </c>
      <c r="E13" s="17"/>
      <c r="F13" s="17">
        <f t="shared" si="0"/>
        <v>0</v>
      </c>
    </row>
    <row r="14" ht="31.5" spans="1:6">
      <c r="A14" s="26" t="s">
        <v>1274</v>
      </c>
      <c r="B14" s="27" t="s">
        <v>1275</v>
      </c>
      <c r="C14" s="28" t="s">
        <v>1276</v>
      </c>
      <c r="D14" s="17"/>
      <c r="E14" s="29">
        <v>700</v>
      </c>
      <c r="F14" s="17">
        <f t="shared" si="0"/>
        <v>700</v>
      </c>
    </row>
    <row r="15" ht="15.75" spans="1:6">
      <c r="A15" s="30">
        <v>45637</v>
      </c>
      <c r="B15" s="27" t="s">
        <v>1277</v>
      </c>
      <c r="C15" s="31" t="s">
        <v>1278</v>
      </c>
      <c r="D15" s="17"/>
      <c r="E15" s="29">
        <v>9000</v>
      </c>
      <c r="F15" s="17">
        <f t="shared" si="0"/>
        <v>9700</v>
      </c>
    </row>
    <row r="16" ht="15.75" spans="1:6">
      <c r="A16" s="32" t="s">
        <v>1279</v>
      </c>
      <c r="B16" s="33" t="s">
        <v>1280</v>
      </c>
      <c r="C16" s="34" t="s">
        <v>1281</v>
      </c>
      <c r="D16" s="35"/>
      <c r="E16" s="20">
        <v>4500</v>
      </c>
      <c r="F16" s="17">
        <f t="shared" si="0"/>
        <v>14200</v>
      </c>
    </row>
    <row r="17" ht="15.75" spans="1:6">
      <c r="A17" s="29" t="s">
        <v>212</v>
      </c>
      <c r="B17" s="36" t="s">
        <v>1282</v>
      </c>
      <c r="C17" s="36" t="s">
        <v>1283</v>
      </c>
      <c r="D17" s="17"/>
      <c r="E17" s="17">
        <v>20500</v>
      </c>
      <c r="F17" s="17">
        <f t="shared" si="0"/>
        <v>34700</v>
      </c>
    </row>
    <row r="18" ht="15.75" spans="1:6">
      <c r="A18" s="29" t="s">
        <v>237</v>
      </c>
      <c r="B18" s="36" t="s">
        <v>1284</v>
      </c>
      <c r="C18" s="36" t="s">
        <v>1285</v>
      </c>
      <c r="D18" s="17"/>
      <c r="E18" s="17">
        <v>11000</v>
      </c>
      <c r="F18" s="17">
        <f t="shared" si="0"/>
        <v>45700</v>
      </c>
    </row>
    <row r="19" ht="15.75" spans="1:6">
      <c r="A19" s="30">
        <v>45689</v>
      </c>
      <c r="B19" s="36" t="s">
        <v>1286</v>
      </c>
      <c r="C19" s="36" t="s">
        <v>1287</v>
      </c>
      <c r="D19" s="17"/>
      <c r="E19" s="17">
        <v>800</v>
      </c>
      <c r="F19" s="17">
        <f t="shared" si="0"/>
        <v>46500</v>
      </c>
    </row>
    <row r="20" ht="15.75" spans="1:6">
      <c r="A20" s="30">
        <v>45778</v>
      </c>
      <c r="B20" s="36" t="s">
        <v>1288</v>
      </c>
      <c r="C20" s="36" t="s">
        <v>1289</v>
      </c>
      <c r="D20" s="17"/>
      <c r="E20" s="17">
        <v>14500</v>
      </c>
      <c r="F20" s="17">
        <f t="shared" si="0"/>
        <v>61000</v>
      </c>
    </row>
    <row r="21" ht="15.75" spans="1:6">
      <c r="A21" s="30">
        <v>45962</v>
      </c>
      <c r="B21" s="36" t="s">
        <v>1290</v>
      </c>
      <c r="C21" s="36" t="s">
        <v>1291</v>
      </c>
      <c r="D21" s="17"/>
      <c r="E21" s="17">
        <v>2400</v>
      </c>
      <c r="F21" s="17">
        <f t="shared" si="0"/>
        <v>63400</v>
      </c>
    </row>
    <row r="22" ht="30" spans="1:6">
      <c r="A22" s="37" t="s">
        <v>285</v>
      </c>
      <c r="B22" s="36" t="s">
        <v>1292</v>
      </c>
      <c r="C22" s="38" t="s">
        <v>1293</v>
      </c>
      <c r="D22" s="17"/>
      <c r="E22" s="17">
        <v>600</v>
      </c>
      <c r="F22" s="17">
        <f t="shared" si="0"/>
        <v>64000</v>
      </c>
    </row>
    <row r="23" ht="15.75" spans="1:6">
      <c r="A23" s="37" t="s">
        <v>322</v>
      </c>
      <c r="B23" s="36" t="s">
        <v>1294</v>
      </c>
      <c r="C23" s="36" t="s">
        <v>1295</v>
      </c>
      <c r="D23" s="17"/>
      <c r="E23" s="17">
        <v>3500</v>
      </c>
      <c r="F23" s="17">
        <f t="shared" si="0"/>
        <v>67500</v>
      </c>
    </row>
    <row r="24" ht="15.75" spans="1:6">
      <c r="A24" s="39">
        <v>45963</v>
      </c>
      <c r="B24" s="36" t="s">
        <v>1296</v>
      </c>
      <c r="C24" s="36" t="s">
        <v>1297</v>
      </c>
      <c r="D24" s="17"/>
      <c r="E24" s="17">
        <v>1800</v>
      </c>
      <c r="F24" s="17">
        <f t="shared" si="0"/>
        <v>69300</v>
      </c>
    </row>
    <row r="25" ht="15.75" spans="1:6">
      <c r="A25" s="39">
        <v>45781</v>
      </c>
      <c r="B25" s="36" t="s">
        <v>1298</v>
      </c>
      <c r="C25" s="36" t="s">
        <v>1299</v>
      </c>
      <c r="D25" s="17"/>
      <c r="E25" s="17">
        <v>5000</v>
      </c>
      <c r="F25" s="17">
        <f t="shared" si="0"/>
        <v>74300</v>
      </c>
    </row>
    <row r="26" ht="15.75" spans="1:6">
      <c r="A26" s="39" t="s">
        <v>403</v>
      </c>
      <c r="B26" s="36" t="s">
        <v>1300</v>
      </c>
      <c r="C26" s="36" t="s">
        <v>1301</v>
      </c>
      <c r="D26" s="17"/>
      <c r="E26" s="17">
        <v>5500</v>
      </c>
      <c r="F26" s="17">
        <f t="shared" si="0"/>
        <v>79800</v>
      </c>
    </row>
    <row r="27" ht="15.75" spans="1:6">
      <c r="A27" s="39" t="s">
        <v>403</v>
      </c>
      <c r="B27" s="36" t="s">
        <v>1302</v>
      </c>
      <c r="C27" s="36" t="s">
        <v>1303</v>
      </c>
      <c r="D27" s="17"/>
      <c r="E27" s="17">
        <v>41000</v>
      </c>
      <c r="F27" s="17">
        <f t="shared" si="0"/>
        <v>120800</v>
      </c>
    </row>
    <row r="28" ht="15.75" spans="1:6">
      <c r="A28" s="39"/>
      <c r="B28" s="36"/>
      <c r="C28" s="36" t="s">
        <v>1304</v>
      </c>
      <c r="D28" s="17">
        <v>41000</v>
      </c>
      <c r="E28" s="17"/>
      <c r="F28" s="17">
        <f t="shared" si="0"/>
        <v>79800</v>
      </c>
    </row>
    <row r="29" ht="15.75" spans="1:6">
      <c r="A29" s="39">
        <v>45997</v>
      </c>
      <c r="B29" s="36" t="s">
        <v>1305</v>
      </c>
      <c r="C29" s="36" t="s">
        <v>1306</v>
      </c>
      <c r="D29" s="17"/>
      <c r="E29" s="17">
        <v>1100</v>
      </c>
      <c r="F29" s="17">
        <f t="shared" si="0"/>
        <v>80900</v>
      </c>
    </row>
    <row r="30" ht="15.75" spans="1:6">
      <c r="A30" s="39" t="s">
        <v>1307</v>
      </c>
      <c r="B30" s="36" t="s">
        <v>1308</v>
      </c>
      <c r="C30" s="36" t="s">
        <v>140</v>
      </c>
      <c r="D30" s="17"/>
      <c r="E30" s="17">
        <v>900</v>
      </c>
      <c r="F30" s="17">
        <f t="shared" si="0"/>
        <v>81800</v>
      </c>
    </row>
    <row r="31" ht="15.75" spans="1:6">
      <c r="A31" s="39" t="s">
        <v>1309</v>
      </c>
      <c r="B31" s="36" t="s">
        <v>1310</v>
      </c>
      <c r="C31" s="36" t="s">
        <v>1311</v>
      </c>
      <c r="D31" s="17"/>
      <c r="E31" s="17"/>
      <c r="F31" s="17">
        <f t="shared" si="0"/>
        <v>81800</v>
      </c>
    </row>
    <row r="32" ht="15.75" spans="1:6">
      <c r="A32" s="39">
        <v>45846</v>
      </c>
      <c r="B32" s="36" t="s">
        <v>1312</v>
      </c>
      <c r="C32" s="36" t="s">
        <v>1313</v>
      </c>
      <c r="D32" s="17"/>
      <c r="E32" s="17">
        <v>8500</v>
      </c>
      <c r="F32" s="17">
        <f t="shared" si="0"/>
        <v>90300</v>
      </c>
    </row>
    <row r="33" ht="15.75" spans="1:6">
      <c r="A33" s="39" t="s">
        <v>1314</v>
      </c>
      <c r="B33" s="36" t="s">
        <v>1315</v>
      </c>
      <c r="C33" s="36" t="s">
        <v>1316</v>
      </c>
      <c r="D33" s="17"/>
      <c r="E33" s="17">
        <v>209750</v>
      </c>
      <c r="F33" s="17">
        <f t="shared" si="0"/>
        <v>300050</v>
      </c>
    </row>
    <row r="34" ht="15.75" spans="1:6">
      <c r="A34" s="39"/>
      <c r="B34" s="36"/>
      <c r="C34" s="36"/>
      <c r="D34" s="17"/>
      <c r="E34" s="17"/>
      <c r="F34" s="17">
        <f t="shared" si="0"/>
        <v>300050</v>
      </c>
    </row>
    <row r="35" ht="15.75" spans="1:6">
      <c r="A35" s="37"/>
      <c r="B35" s="36"/>
      <c r="C35" s="36"/>
      <c r="D35" s="17"/>
      <c r="E35" s="17"/>
      <c r="F35" s="17">
        <f t="shared" si="0"/>
        <v>300050</v>
      </c>
    </row>
    <row r="36" ht="18.75" spans="1:6">
      <c r="A36" s="7" t="s">
        <v>303</v>
      </c>
      <c r="B36" s="8"/>
      <c r="C36" s="8"/>
      <c r="D36" s="8"/>
      <c r="E36" s="9"/>
      <c r="F36" s="17">
        <f t="shared" si="0"/>
        <v>300050</v>
      </c>
    </row>
  </sheetData>
  <mergeCells count="6">
    <mergeCell ref="A3:C3"/>
    <mergeCell ref="D3:F3"/>
    <mergeCell ref="A4:B4"/>
    <mergeCell ref="C4:F4"/>
    <mergeCell ref="A36:E36"/>
    <mergeCell ref="A1:F2"/>
  </mergeCells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F8"/>
  <sheetViews>
    <sheetView topLeftCell="A2" workbookViewId="0">
      <selection activeCell="I12" sqref="I12"/>
    </sheetView>
  </sheetViews>
  <sheetFormatPr defaultColWidth="9" defaultRowHeight="15" outlineLevelRow="7" outlineLevelCol="5"/>
  <cols>
    <col min="1" max="1" width="11.7142857142857" customWidth="1"/>
    <col min="2" max="2" width="11.1428571428571" customWidth="1"/>
    <col min="3" max="3" width="23.1428571428571" customWidth="1"/>
    <col min="4" max="4" width="15.1428571428571" customWidth="1"/>
    <col min="5" max="5" width="12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1317</v>
      </c>
      <c r="E3" s="11"/>
      <c r="F3" s="12"/>
    </row>
    <row r="4" ht="22.5" customHeight="1" spans="1:6">
      <c r="A4" s="13" t="s">
        <v>84</v>
      </c>
      <c r="B4" s="13"/>
      <c r="C4" s="14" t="s">
        <v>1318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 t="s">
        <v>1319</v>
      </c>
      <c r="B6" s="17"/>
      <c r="C6" s="17" t="s">
        <v>1168</v>
      </c>
      <c r="D6" s="17"/>
      <c r="E6" s="17">
        <v>62799</v>
      </c>
      <c r="F6" s="17">
        <f>E6-D6</f>
        <v>62799</v>
      </c>
    </row>
    <row r="7" ht="15.75" spans="1:6">
      <c r="A7" s="18"/>
      <c r="B7" s="17"/>
      <c r="C7" s="17"/>
      <c r="D7" s="17"/>
      <c r="E7" s="17"/>
      <c r="F7" s="17">
        <f>F6-D7+E7</f>
        <v>62799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62799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F13"/>
  <sheetViews>
    <sheetView workbookViewId="0">
      <selection activeCell="J12" sqref="J12"/>
    </sheetView>
  </sheetViews>
  <sheetFormatPr defaultColWidth="9" defaultRowHeight="15" outlineLevelCol="5"/>
  <cols>
    <col min="1" max="1" width="11.7142857142857" customWidth="1"/>
    <col min="2" max="2" width="11.1428571428571" customWidth="1"/>
    <col min="3" max="3" width="23.1428571428571" customWidth="1"/>
    <col min="4" max="4" width="15.1428571428571" customWidth="1"/>
    <col min="5" max="5" width="12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1320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347" t="s">
        <v>1321</v>
      </c>
      <c r="B6" s="17">
        <v>2595</v>
      </c>
      <c r="C6" s="17" t="s">
        <v>1168</v>
      </c>
      <c r="D6" s="17"/>
      <c r="E6" s="17">
        <v>1625</v>
      </c>
      <c r="F6" s="17">
        <f>E6-D6</f>
        <v>1625</v>
      </c>
    </row>
    <row r="7" ht="15.75" spans="1:6">
      <c r="A7" s="17" t="s">
        <v>1322</v>
      </c>
      <c r="B7" s="17">
        <v>1519</v>
      </c>
      <c r="C7" s="17" t="s">
        <v>1323</v>
      </c>
      <c r="D7" s="17"/>
      <c r="E7" s="17">
        <v>1700</v>
      </c>
      <c r="F7" s="17">
        <f>F6-D7+E7</f>
        <v>3325</v>
      </c>
    </row>
    <row r="8" ht="15.75" spans="1:6">
      <c r="A8" s="17" t="s">
        <v>1324</v>
      </c>
      <c r="B8" s="17">
        <v>1920</v>
      </c>
      <c r="C8" s="17" t="s">
        <v>1325</v>
      </c>
      <c r="D8" s="17"/>
      <c r="E8" s="17">
        <v>5000</v>
      </c>
      <c r="F8" s="17">
        <f t="shared" ref="F8:F13" si="0">F7-D8+E8</f>
        <v>8325</v>
      </c>
    </row>
    <row r="9" ht="15.75" spans="1:6">
      <c r="A9" s="18">
        <v>44936</v>
      </c>
      <c r="B9" s="17" t="s">
        <v>1326</v>
      </c>
      <c r="C9" s="17" t="s">
        <v>1327</v>
      </c>
      <c r="D9" s="17"/>
      <c r="E9" s="17">
        <v>3600</v>
      </c>
      <c r="F9" s="17">
        <f t="shared" si="0"/>
        <v>11925</v>
      </c>
    </row>
    <row r="10" ht="15.75" spans="1:6">
      <c r="A10" s="359"/>
      <c r="B10" s="17"/>
      <c r="C10" s="17"/>
      <c r="D10" s="17"/>
      <c r="E10" s="17"/>
      <c r="F10" s="17">
        <f t="shared" si="0"/>
        <v>11925</v>
      </c>
    </row>
    <row r="11" ht="15.75" spans="1:6">
      <c r="A11" s="17"/>
      <c r="B11" s="17"/>
      <c r="C11" s="17"/>
      <c r="D11" s="17"/>
      <c r="E11" s="17"/>
      <c r="F11" s="17">
        <f t="shared" si="0"/>
        <v>11925</v>
      </c>
    </row>
    <row r="12" ht="15.75" spans="1:6">
      <c r="A12" s="17"/>
      <c r="B12" s="17"/>
      <c r="C12" s="17"/>
      <c r="D12" s="17"/>
      <c r="E12" s="17"/>
      <c r="F12" s="17">
        <f t="shared" si="0"/>
        <v>11925</v>
      </c>
    </row>
    <row r="13" ht="18.75" spans="1:6">
      <c r="A13" s="7" t="s">
        <v>303</v>
      </c>
      <c r="B13" s="9"/>
      <c r="C13" s="358"/>
      <c r="D13" s="358"/>
      <c r="E13" s="358"/>
      <c r="F13" s="17">
        <f t="shared" si="0"/>
        <v>11925</v>
      </c>
    </row>
  </sheetData>
  <mergeCells count="6">
    <mergeCell ref="A3:C3"/>
    <mergeCell ref="D3:F3"/>
    <mergeCell ref="A4:B4"/>
    <mergeCell ref="C4:F4"/>
    <mergeCell ref="A13:B13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F34"/>
  <sheetViews>
    <sheetView workbookViewId="0">
      <selection activeCell="L11" sqref="L11"/>
    </sheetView>
  </sheetViews>
  <sheetFormatPr defaultColWidth="9" defaultRowHeight="15" outlineLevelCol="5"/>
  <cols>
    <col min="1" max="1" width="12.4285714285714" customWidth="1"/>
    <col min="2" max="2" width="9.85714285714286" customWidth="1"/>
    <col min="3" max="3" width="37.7142857142857" customWidth="1"/>
    <col min="4" max="4" width="11" customWidth="1"/>
    <col min="5" max="5" width="10.1428571428571" customWidth="1"/>
    <col min="6" max="6" width="9.7142857142857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53</v>
      </c>
      <c r="E3" s="11"/>
      <c r="F3" s="12"/>
    </row>
    <row r="4" ht="22.5" customHeight="1" spans="1:6">
      <c r="A4" s="13" t="s">
        <v>84</v>
      </c>
      <c r="B4" s="13"/>
      <c r="C4" s="14" t="s">
        <v>1328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1329</v>
      </c>
      <c r="B6" s="17"/>
      <c r="C6" s="17" t="s">
        <v>305</v>
      </c>
      <c r="D6" s="17"/>
      <c r="E6" s="17">
        <v>33098</v>
      </c>
      <c r="F6" s="17">
        <f>E6-D6</f>
        <v>33098</v>
      </c>
    </row>
    <row r="7" ht="15.75" spans="1:6">
      <c r="A7" s="17"/>
      <c r="B7" s="17"/>
      <c r="C7" s="17" t="s">
        <v>1330</v>
      </c>
      <c r="D7" s="17">
        <v>9000</v>
      </c>
      <c r="E7" s="17"/>
      <c r="F7" s="17">
        <f>F6-D7+E7</f>
        <v>24098</v>
      </c>
    </row>
    <row r="8" ht="15.75" spans="1:6">
      <c r="A8" s="17" t="s">
        <v>566</v>
      </c>
      <c r="B8" s="17" t="s">
        <v>253</v>
      </c>
      <c r="C8" s="17" t="s">
        <v>157</v>
      </c>
      <c r="D8" s="17">
        <v>2750</v>
      </c>
      <c r="E8" s="17"/>
      <c r="F8" s="17">
        <f t="shared" ref="F8:F34" si="0">F7-D8+E8</f>
        <v>21348</v>
      </c>
    </row>
    <row r="9" ht="15.75" spans="1:6">
      <c r="A9" s="17" t="s">
        <v>1331</v>
      </c>
      <c r="B9" s="17" t="s">
        <v>1332</v>
      </c>
      <c r="C9" s="17" t="s">
        <v>648</v>
      </c>
      <c r="D9" s="17"/>
      <c r="E9" s="17">
        <v>3500</v>
      </c>
      <c r="F9" s="17">
        <f t="shared" si="0"/>
        <v>24848</v>
      </c>
    </row>
    <row r="10" ht="15.75" spans="1:6">
      <c r="A10" s="17" t="s">
        <v>1333</v>
      </c>
      <c r="B10" s="17" t="s">
        <v>253</v>
      </c>
      <c r="C10" s="17" t="s">
        <v>157</v>
      </c>
      <c r="D10" s="17">
        <v>3500</v>
      </c>
      <c r="E10" s="17"/>
      <c r="F10" s="17">
        <f t="shared" si="0"/>
        <v>21348</v>
      </c>
    </row>
    <row r="11" ht="31.5" spans="1:6">
      <c r="A11" s="17" t="s">
        <v>919</v>
      </c>
      <c r="B11" s="17"/>
      <c r="C11" s="71" t="s">
        <v>1334</v>
      </c>
      <c r="D11" s="17">
        <v>5000</v>
      </c>
      <c r="E11" s="17"/>
      <c r="F11" s="17">
        <f t="shared" si="0"/>
        <v>16348</v>
      </c>
    </row>
    <row r="12" ht="15.75" spans="1:6">
      <c r="A12" s="17" t="s">
        <v>1335</v>
      </c>
      <c r="B12" s="17" t="s">
        <v>1336</v>
      </c>
      <c r="C12" s="71" t="s">
        <v>1337</v>
      </c>
      <c r="D12" s="17"/>
      <c r="E12" s="17">
        <v>8780</v>
      </c>
      <c r="F12" s="17">
        <f t="shared" si="0"/>
        <v>25128</v>
      </c>
    </row>
    <row r="13" ht="15.75" spans="1:6">
      <c r="A13" s="17" t="s">
        <v>923</v>
      </c>
      <c r="B13" s="17"/>
      <c r="C13" s="71" t="s">
        <v>1338</v>
      </c>
      <c r="D13" s="17">
        <v>8780</v>
      </c>
      <c r="E13" s="17"/>
      <c r="F13" s="17">
        <f t="shared" si="0"/>
        <v>16348</v>
      </c>
    </row>
    <row r="14" ht="15.75" spans="1:6">
      <c r="A14" s="18">
        <v>45417</v>
      </c>
      <c r="B14" s="17" t="s">
        <v>1339</v>
      </c>
      <c r="C14" s="71" t="s">
        <v>1337</v>
      </c>
      <c r="D14" s="17"/>
      <c r="E14" s="17">
        <v>6213</v>
      </c>
      <c r="F14" s="17">
        <f t="shared" si="0"/>
        <v>22561</v>
      </c>
    </row>
    <row r="15" ht="15.75" spans="1:6">
      <c r="A15" s="18" t="s">
        <v>1340</v>
      </c>
      <c r="B15" s="17" t="s">
        <v>1341</v>
      </c>
      <c r="C15" s="71" t="s">
        <v>1342</v>
      </c>
      <c r="D15" s="17"/>
      <c r="E15" s="17">
        <v>20000</v>
      </c>
      <c r="F15" s="17">
        <f t="shared" si="0"/>
        <v>42561</v>
      </c>
    </row>
    <row r="16" ht="15.75" spans="1:6">
      <c r="A16" s="18">
        <v>45418</v>
      </c>
      <c r="B16" s="17" t="s">
        <v>253</v>
      </c>
      <c r="C16" s="71" t="s">
        <v>157</v>
      </c>
      <c r="D16" s="17">
        <v>6000</v>
      </c>
      <c r="E16" s="17"/>
      <c r="F16" s="17">
        <f t="shared" si="0"/>
        <v>36561</v>
      </c>
    </row>
    <row r="17" ht="15.75" spans="1:6">
      <c r="A17" s="17" t="s">
        <v>1343</v>
      </c>
      <c r="B17" s="17"/>
      <c r="C17" s="17" t="s">
        <v>1344</v>
      </c>
      <c r="D17" s="17">
        <v>8000</v>
      </c>
      <c r="E17" s="17"/>
      <c r="F17" s="17">
        <f t="shared" si="0"/>
        <v>28561</v>
      </c>
    </row>
    <row r="18" ht="15.75" spans="1:6">
      <c r="A18" s="73" t="s">
        <v>1343</v>
      </c>
      <c r="B18" s="17"/>
      <c r="C18" s="17" t="s">
        <v>1345</v>
      </c>
      <c r="D18" s="17">
        <v>18500</v>
      </c>
      <c r="E18" s="19"/>
      <c r="F18" s="17">
        <f t="shared" si="0"/>
        <v>10061</v>
      </c>
    </row>
    <row r="19" ht="15.75" spans="1:6">
      <c r="A19" s="73" t="s">
        <v>133</v>
      </c>
      <c r="B19" s="17" t="s">
        <v>1346</v>
      </c>
      <c r="C19" s="17" t="s">
        <v>1347</v>
      </c>
      <c r="D19" s="17"/>
      <c r="E19" s="19">
        <v>3900</v>
      </c>
      <c r="F19" s="17">
        <f t="shared" si="0"/>
        <v>13961</v>
      </c>
    </row>
    <row r="20" ht="15.75" spans="1:6">
      <c r="A20" s="75">
        <v>45359</v>
      </c>
      <c r="B20" s="17" t="s">
        <v>253</v>
      </c>
      <c r="C20" s="17" t="s">
        <v>157</v>
      </c>
      <c r="D20" s="17">
        <v>3000</v>
      </c>
      <c r="E20" s="19"/>
      <c r="F20" s="17">
        <f t="shared" si="0"/>
        <v>10961</v>
      </c>
    </row>
    <row r="21" ht="15.75" spans="1:6">
      <c r="A21" s="75">
        <v>45512</v>
      </c>
      <c r="B21" s="17"/>
      <c r="C21" s="17" t="s">
        <v>1348</v>
      </c>
      <c r="D21" s="17"/>
      <c r="E21" s="19">
        <v>1900</v>
      </c>
      <c r="F21" s="17">
        <f t="shared" si="0"/>
        <v>12861</v>
      </c>
    </row>
    <row r="22" ht="15.75" spans="1:6">
      <c r="A22" s="75">
        <v>45421</v>
      </c>
      <c r="B22" s="17" t="s">
        <v>1349</v>
      </c>
      <c r="C22" s="17" t="s">
        <v>1350</v>
      </c>
      <c r="D22" s="17"/>
      <c r="E22" s="19">
        <v>2250</v>
      </c>
      <c r="F22" s="17">
        <f t="shared" si="0"/>
        <v>15111</v>
      </c>
    </row>
    <row r="23" ht="15.75" spans="1:6">
      <c r="A23" s="75">
        <v>45635</v>
      </c>
      <c r="B23" s="17" t="s">
        <v>1351</v>
      </c>
      <c r="C23" s="17" t="s">
        <v>157</v>
      </c>
      <c r="D23" s="17">
        <v>2250</v>
      </c>
      <c r="E23" s="19"/>
      <c r="F23" s="17">
        <f t="shared" si="0"/>
        <v>12861</v>
      </c>
    </row>
    <row r="24" ht="15.75" spans="1:6">
      <c r="A24" s="73" t="s">
        <v>757</v>
      </c>
      <c r="B24" s="17" t="s">
        <v>1352</v>
      </c>
      <c r="C24" s="17" t="s">
        <v>1353</v>
      </c>
      <c r="D24" s="17"/>
      <c r="E24" s="19">
        <v>2315</v>
      </c>
      <c r="F24" s="17">
        <f t="shared" si="0"/>
        <v>15176</v>
      </c>
    </row>
    <row r="25" ht="15.75" spans="1:6">
      <c r="A25" s="73" t="s">
        <v>978</v>
      </c>
      <c r="B25" s="17"/>
      <c r="C25" s="17" t="s">
        <v>157</v>
      </c>
      <c r="D25" s="17">
        <v>2315</v>
      </c>
      <c r="E25" s="19"/>
      <c r="F25" s="17">
        <f t="shared" si="0"/>
        <v>12861</v>
      </c>
    </row>
    <row r="26" ht="15.75" spans="1:6">
      <c r="A26" s="73"/>
      <c r="B26" s="17"/>
      <c r="C26" s="17" t="s">
        <v>1354</v>
      </c>
      <c r="D26" s="17">
        <v>12861</v>
      </c>
      <c r="E26" s="19"/>
      <c r="F26" s="17">
        <f t="shared" si="0"/>
        <v>0</v>
      </c>
    </row>
    <row r="27" ht="15.75" spans="1:6">
      <c r="A27" s="73"/>
      <c r="B27" s="17"/>
      <c r="C27" s="17" t="s">
        <v>1355</v>
      </c>
      <c r="D27" s="17"/>
      <c r="E27" s="19">
        <v>20000</v>
      </c>
      <c r="F27" s="17">
        <f t="shared" si="0"/>
        <v>20000</v>
      </c>
    </row>
    <row r="28" ht="15.75" spans="1:6">
      <c r="A28" s="18">
        <v>45362</v>
      </c>
      <c r="B28" s="17" t="s">
        <v>1356</v>
      </c>
      <c r="C28" s="17" t="s">
        <v>1357</v>
      </c>
      <c r="D28" s="17"/>
      <c r="E28" s="17">
        <v>450</v>
      </c>
      <c r="F28" s="17">
        <f t="shared" si="0"/>
        <v>20450</v>
      </c>
    </row>
    <row r="29" ht="15.75" spans="1:6">
      <c r="A29" s="18">
        <v>45485</v>
      </c>
      <c r="B29" s="17" t="s">
        <v>1358</v>
      </c>
      <c r="C29" s="17" t="s">
        <v>1359</v>
      </c>
      <c r="D29" s="17"/>
      <c r="E29" s="17">
        <v>2325</v>
      </c>
      <c r="F29" s="17">
        <f t="shared" si="0"/>
        <v>22775</v>
      </c>
    </row>
    <row r="30" ht="15.75" spans="1:6">
      <c r="A30" s="18">
        <v>45516</v>
      </c>
      <c r="B30" s="17" t="s">
        <v>253</v>
      </c>
      <c r="C30" s="17" t="s">
        <v>157</v>
      </c>
      <c r="D30" s="17">
        <v>2300</v>
      </c>
      <c r="E30" s="17"/>
      <c r="F30" s="17">
        <f t="shared" si="0"/>
        <v>20475</v>
      </c>
    </row>
    <row r="31" ht="15.75" spans="1:6">
      <c r="A31" s="18"/>
      <c r="B31" s="17"/>
      <c r="C31" s="17"/>
      <c r="D31" s="17"/>
      <c r="E31" s="17"/>
      <c r="F31" s="17">
        <f t="shared" si="0"/>
        <v>20475</v>
      </c>
    </row>
    <row r="32" ht="15.75" spans="1:6">
      <c r="A32" s="17"/>
      <c r="B32" s="17"/>
      <c r="C32" s="17"/>
      <c r="D32" s="17"/>
      <c r="E32" s="17"/>
      <c r="F32" s="17">
        <f t="shared" si="0"/>
        <v>20475</v>
      </c>
    </row>
    <row r="33" ht="15.75" spans="1:6">
      <c r="A33" s="17"/>
      <c r="B33" s="17"/>
      <c r="C33" s="17"/>
      <c r="D33" s="17"/>
      <c r="E33" s="17"/>
      <c r="F33" s="17">
        <f t="shared" si="0"/>
        <v>20475</v>
      </c>
    </row>
    <row r="34" ht="18.75" spans="1:6">
      <c r="A34" s="7" t="s">
        <v>303</v>
      </c>
      <c r="B34" s="8"/>
      <c r="C34" s="8"/>
      <c r="D34" s="8"/>
      <c r="E34" s="9"/>
      <c r="F34" s="17">
        <f t="shared" si="0"/>
        <v>20475</v>
      </c>
    </row>
  </sheetData>
  <mergeCells count="6">
    <mergeCell ref="A3:C3"/>
    <mergeCell ref="D3:F3"/>
    <mergeCell ref="A4:B4"/>
    <mergeCell ref="C4:F4"/>
    <mergeCell ref="A34:E34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F36"/>
  <sheetViews>
    <sheetView workbookViewId="0">
      <selection activeCell="E10" sqref="E10"/>
    </sheetView>
  </sheetViews>
  <sheetFormatPr defaultColWidth="9" defaultRowHeight="15" outlineLevelCol="5"/>
  <cols>
    <col min="1" max="1" width="11.7142857142857" customWidth="1"/>
    <col min="2" max="2" width="11.2857142857143" customWidth="1"/>
    <col min="3" max="3" width="24.5714285714286" customWidth="1"/>
    <col min="4" max="4" width="10.2857142857143" customWidth="1"/>
    <col min="5" max="5" width="11.1428571428571" customWidth="1"/>
    <col min="6" max="6" width="13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1360</v>
      </c>
      <c r="E3" s="11"/>
      <c r="F3" s="12"/>
    </row>
    <row r="4" ht="22.5" customHeight="1" spans="1:6">
      <c r="A4" s="13" t="s">
        <v>84</v>
      </c>
      <c r="B4" s="13"/>
      <c r="C4" s="14" t="s">
        <v>1361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305</v>
      </c>
      <c r="D6" s="17"/>
      <c r="E6" s="17">
        <v>20328</v>
      </c>
      <c r="F6" s="17">
        <f>E6-D6</f>
        <v>20328</v>
      </c>
    </row>
    <row r="7" ht="15.75" spans="1:6">
      <c r="A7" s="17" t="s">
        <v>1362</v>
      </c>
      <c r="B7" s="17" t="s">
        <v>253</v>
      </c>
      <c r="C7" s="17" t="s">
        <v>101</v>
      </c>
      <c r="D7" s="17">
        <v>5000</v>
      </c>
      <c r="E7" s="17"/>
      <c r="F7" s="17">
        <f>F6-D7+E7</f>
        <v>15328</v>
      </c>
    </row>
    <row r="8" ht="15.75" spans="1:6">
      <c r="A8" s="18">
        <v>45422</v>
      </c>
      <c r="B8" s="17" t="s">
        <v>1363</v>
      </c>
      <c r="C8" s="17" t="s">
        <v>1364</v>
      </c>
      <c r="D8" s="17"/>
      <c r="E8" s="17">
        <v>1890</v>
      </c>
      <c r="F8" s="17">
        <f t="shared" ref="F8:F36" si="0">F7-D8+E8</f>
        <v>17218</v>
      </c>
    </row>
    <row r="9" ht="15.75" spans="1:6">
      <c r="A9" s="75">
        <v>38270</v>
      </c>
      <c r="B9" s="17" t="s">
        <v>1365</v>
      </c>
      <c r="C9" s="17" t="s">
        <v>1364</v>
      </c>
      <c r="D9" s="17"/>
      <c r="E9" s="19">
        <v>5625</v>
      </c>
      <c r="F9" s="17">
        <f t="shared" si="0"/>
        <v>22843</v>
      </c>
    </row>
    <row r="10" ht="15.75" spans="1:6">
      <c r="A10" s="73" t="s">
        <v>177</v>
      </c>
      <c r="B10" s="17" t="s">
        <v>1366</v>
      </c>
      <c r="C10" s="17" t="s">
        <v>1364</v>
      </c>
      <c r="D10" s="17"/>
      <c r="E10" s="19">
        <v>3750</v>
      </c>
      <c r="F10" s="17">
        <f t="shared" si="0"/>
        <v>26593</v>
      </c>
    </row>
    <row r="11" ht="15.75" spans="1:6">
      <c r="A11" s="75">
        <v>45332</v>
      </c>
      <c r="B11" s="17"/>
      <c r="C11" s="17" t="s">
        <v>1367</v>
      </c>
      <c r="D11" s="17">
        <v>843</v>
      </c>
      <c r="E11" s="19"/>
      <c r="F11" s="17">
        <f t="shared" si="0"/>
        <v>25750</v>
      </c>
    </row>
    <row r="12" ht="15.75" spans="1:6">
      <c r="A12" s="75">
        <v>45332</v>
      </c>
      <c r="B12" s="17"/>
      <c r="C12" s="17" t="s">
        <v>101</v>
      </c>
      <c r="D12" s="17">
        <v>2000</v>
      </c>
      <c r="E12" s="19"/>
      <c r="F12" s="17">
        <f t="shared" si="0"/>
        <v>23750</v>
      </c>
    </row>
    <row r="13" ht="15.75" spans="1:6">
      <c r="A13" s="73" t="s">
        <v>217</v>
      </c>
      <c r="B13" s="17" t="s">
        <v>1368</v>
      </c>
      <c r="C13" s="17" t="s">
        <v>1364</v>
      </c>
      <c r="D13" s="17"/>
      <c r="E13" s="19">
        <v>1875</v>
      </c>
      <c r="F13" s="17">
        <f t="shared" si="0"/>
        <v>25625</v>
      </c>
    </row>
    <row r="14" ht="15.75" spans="1:6">
      <c r="A14" s="73" t="s">
        <v>235</v>
      </c>
      <c r="B14" s="17" t="s">
        <v>253</v>
      </c>
      <c r="C14" s="17" t="s">
        <v>101</v>
      </c>
      <c r="D14" s="17">
        <v>1875</v>
      </c>
      <c r="E14" s="19"/>
      <c r="F14" s="17">
        <f t="shared" si="0"/>
        <v>23750</v>
      </c>
    </row>
    <row r="15" ht="15.75" spans="1:6">
      <c r="A15" s="73" t="s">
        <v>238</v>
      </c>
      <c r="B15" s="17" t="s">
        <v>1369</v>
      </c>
      <c r="C15" s="17" t="s">
        <v>1370</v>
      </c>
      <c r="D15" s="17"/>
      <c r="E15" s="19">
        <v>1875</v>
      </c>
      <c r="F15" s="17">
        <f t="shared" si="0"/>
        <v>25625</v>
      </c>
    </row>
    <row r="16" ht="15.75" spans="1:6">
      <c r="A16" s="75">
        <v>45778</v>
      </c>
      <c r="B16" s="17" t="s">
        <v>253</v>
      </c>
      <c r="C16" s="17" t="s">
        <v>313</v>
      </c>
      <c r="D16" s="17">
        <v>1880</v>
      </c>
      <c r="E16" s="19"/>
      <c r="F16" s="17">
        <f t="shared" si="0"/>
        <v>23745</v>
      </c>
    </row>
    <row r="17" ht="15.75" spans="1:6">
      <c r="A17" s="17" t="s">
        <v>829</v>
      </c>
      <c r="B17" s="19" t="s">
        <v>1371</v>
      </c>
      <c r="C17" s="72" t="s">
        <v>1364</v>
      </c>
      <c r="D17" s="17"/>
      <c r="E17" s="19">
        <v>1875</v>
      </c>
      <c r="F17" s="17">
        <f t="shared" si="0"/>
        <v>25620</v>
      </c>
    </row>
    <row r="18" ht="15.75" spans="1:6">
      <c r="A18" s="17" t="s">
        <v>277</v>
      </c>
      <c r="B18" s="19" t="s">
        <v>253</v>
      </c>
      <c r="C18" s="72" t="s">
        <v>313</v>
      </c>
      <c r="D18" s="17">
        <v>1850</v>
      </c>
      <c r="E18" s="19"/>
      <c r="F18" s="17">
        <f t="shared" si="0"/>
        <v>23770</v>
      </c>
    </row>
    <row r="19" s="76" customFormat="1" ht="15.75" spans="1:6">
      <c r="A19" s="73" t="s">
        <v>281</v>
      </c>
      <c r="B19" s="17" t="s">
        <v>1372</v>
      </c>
      <c r="C19" s="19" t="s">
        <v>230</v>
      </c>
      <c r="D19" s="17"/>
      <c r="E19" s="17">
        <v>450</v>
      </c>
      <c r="F19" s="17">
        <f t="shared" si="0"/>
        <v>24220</v>
      </c>
    </row>
    <row r="20" ht="15.75" spans="1:6">
      <c r="A20" s="73" t="s">
        <v>294</v>
      </c>
      <c r="B20" s="17" t="s">
        <v>1373</v>
      </c>
      <c r="C20" s="17" t="s">
        <v>1364</v>
      </c>
      <c r="D20" s="17"/>
      <c r="E20" s="17">
        <v>1875</v>
      </c>
      <c r="F20" s="17">
        <f t="shared" si="0"/>
        <v>26095</v>
      </c>
    </row>
    <row r="21" ht="15.75" spans="1:6">
      <c r="A21" s="73" t="s">
        <v>1374</v>
      </c>
      <c r="B21" s="17" t="s">
        <v>1375</v>
      </c>
      <c r="C21" s="17" t="s">
        <v>1364</v>
      </c>
      <c r="D21" s="17"/>
      <c r="E21" s="19">
        <v>3382</v>
      </c>
      <c r="F21" s="17">
        <f t="shared" si="0"/>
        <v>29477</v>
      </c>
    </row>
    <row r="22" ht="15.75" spans="1:6">
      <c r="A22" s="73" t="s">
        <v>1376</v>
      </c>
      <c r="B22" s="17" t="s">
        <v>253</v>
      </c>
      <c r="C22" s="17" t="s">
        <v>313</v>
      </c>
      <c r="D22" s="17">
        <v>3250</v>
      </c>
      <c r="E22" s="19"/>
      <c r="F22" s="17">
        <f t="shared" si="0"/>
        <v>26227</v>
      </c>
    </row>
    <row r="23" ht="15.75" spans="1:6">
      <c r="A23" s="75">
        <v>45750</v>
      </c>
      <c r="B23" s="17" t="s">
        <v>1377</v>
      </c>
      <c r="C23" s="17" t="s">
        <v>1378</v>
      </c>
      <c r="D23" s="17"/>
      <c r="E23" s="19">
        <v>800</v>
      </c>
      <c r="F23" s="17">
        <f t="shared" si="0"/>
        <v>27027</v>
      </c>
    </row>
    <row r="24" ht="15.75" spans="1:6">
      <c r="A24" s="75">
        <v>45872</v>
      </c>
      <c r="B24" s="17" t="s">
        <v>1379</v>
      </c>
      <c r="C24" s="17" t="s">
        <v>1380</v>
      </c>
      <c r="D24" s="17"/>
      <c r="E24" s="19">
        <v>2220</v>
      </c>
      <c r="F24" s="17">
        <f t="shared" si="0"/>
        <v>29247</v>
      </c>
    </row>
    <row r="25" ht="15.75" spans="1:6">
      <c r="A25" s="73" t="s">
        <v>377</v>
      </c>
      <c r="B25" s="17" t="s">
        <v>1381</v>
      </c>
      <c r="C25" s="17" t="s">
        <v>1382</v>
      </c>
      <c r="D25" s="17"/>
      <c r="E25" s="19">
        <v>1890</v>
      </c>
      <c r="F25" s="17">
        <f t="shared" si="0"/>
        <v>31137</v>
      </c>
    </row>
    <row r="26" ht="15.75" spans="1:6">
      <c r="A26" s="75">
        <v>45813</v>
      </c>
      <c r="B26" s="17"/>
      <c r="C26" s="17" t="s">
        <v>313</v>
      </c>
      <c r="D26" s="17">
        <v>20000</v>
      </c>
      <c r="E26" s="19"/>
      <c r="F26" s="17">
        <f t="shared" si="0"/>
        <v>11137</v>
      </c>
    </row>
    <row r="27" ht="15.75" spans="1:6">
      <c r="A27" s="75">
        <v>45935</v>
      </c>
      <c r="B27" s="17" t="s">
        <v>253</v>
      </c>
      <c r="C27" s="17" t="s">
        <v>313</v>
      </c>
      <c r="D27" s="17">
        <v>2460</v>
      </c>
      <c r="E27" s="19"/>
      <c r="F27" s="17">
        <f t="shared" si="0"/>
        <v>8677</v>
      </c>
    </row>
    <row r="28" ht="15.75" spans="1:6">
      <c r="A28" s="75"/>
      <c r="B28" s="17"/>
      <c r="C28" s="17"/>
      <c r="D28" s="17"/>
      <c r="E28" s="19"/>
      <c r="F28" s="17">
        <f t="shared" si="0"/>
        <v>8677</v>
      </c>
    </row>
    <row r="29" ht="15.75" spans="1:6">
      <c r="A29" s="75"/>
      <c r="B29" s="17"/>
      <c r="C29" s="17"/>
      <c r="D29" s="17"/>
      <c r="E29" s="19"/>
      <c r="F29" s="17">
        <f t="shared" si="0"/>
        <v>8677</v>
      </c>
    </row>
    <row r="30" ht="15.75" spans="1:6">
      <c r="A30" s="75"/>
      <c r="B30" s="17"/>
      <c r="C30" s="17"/>
      <c r="D30" s="17"/>
      <c r="E30" s="19"/>
      <c r="F30" s="17">
        <f t="shared" si="0"/>
        <v>8677</v>
      </c>
    </row>
    <row r="31" ht="15.75" spans="1:6">
      <c r="A31" s="75"/>
      <c r="B31" s="17"/>
      <c r="C31" s="17"/>
      <c r="D31" s="17"/>
      <c r="E31" s="19"/>
      <c r="F31" s="17">
        <f t="shared" si="0"/>
        <v>8677</v>
      </c>
    </row>
    <row r="32" ht="15.75" spans="1:6">
      <c r="A32" s="75"/>
      <c r="B32" s="17"/>
      <c r="C32" s="17"/>
      <c r="D32" s="17"/>
      <c r="E32" s="19"/>
      <c r="F32" s="17">
        <f t="shared" si="0"/>
        <v>8677</v>
      </c>
    </row>
    <row r="33" ht="15.75" spans="1:6">
      <c r="A33" s="75"/>
      <c r="B33" s="17"/>
      <c r="C33" s="17"/>
      <c r="D33" s="17"/>
      <c r="E33" s="19"/>
      <c r="F33" s="17">
        <f t="shared" si="0"/>
        <v>8677</v>
      </c>
    </row>
    <row r="34" ht="15.75" spans="1:6">
      <c r="A34" s="75"/>
      <c r="B34" s="17"/>
      <c r="C34" s="17"/>
      <c r="D34" s="17"/>
      <c r="E34" s="19"/>
      <c r="F34" s="17">
        <f t="shared" si="0"/>
        <v>8677</v>
      </c>
    </row>
    <row r="35" ht="15.75" spans="1:6">
      <c r="A35" s="73"/>
      <c r="B35" s="17"/>
      <c r="C35" s="17"/>
      <c r="D35" s="17"/>
      <c r="E35" s="19"/>
      <c r="F35" s="17">
        <f t="shared" si="0"/>
        <v>8677</v>
      </c>
    </row>
    <row r="36" ht="18.75" spans="1:6">
      <c r="A36" s="7" t="s">
        <v>303</v>
      </c>
      <c r="B36" s="8"/>
      <c r="C36" s="8"/>
      <c r="D36" s="8"/>
      <c r="E36" s="9"/>
      <c r="F36" s="17">
        <f t="shared" si="0"/>
        <v>8677</v>
      </c>
    </row>
  </sheetData>
  <mergeCells count="6">
    <mergeCell ref="A3:C3"/>
    <mergeCell ref="D3:F3"/>
    <mergeCell ref="A4:B4"/>
    <mergeCell ref="C4:F4"/>
    <mergeCell ref="A36:E36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F8"/>
  <sheetViews>
    <sheetView workbookViewId="0">
      <selection activeCell="A8" sqref="A8:E8"/>
    </sheetView>
  </sheetViews>
  <sheetFormatPr defaultColWidth="9" defaultRowHeight="15" outlineLevelRow="7" outlineLevelCol="5"/>
  <cols>
    <col min="1" max="1" width="11.7142857142857" customWidth="1"/>
    <col min="2" max="2" width="12.2857142857143" customWidth="1"/>
    <col min="3" max="3" width="16.8571428571429" customWidth="1"/>
    <col min="4" max="4" width="18.5714285714286" customWidth="1"/>
    <col min="5" max="5" width="12.4285714285714" customWidth="1"/>
    <col min="6" max="6" width="12.2857142857143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55</v>
      </c>
      <c r="E3" s="11"/>
      <c r="F3" s="12"/>
    </row>
    <row r="4" ht="22.5" customHeight="1" spans="1:6">
      <c r="A4" s="13" t="s">
        <v>84</v>
      </c>
      <c r="B4" s="13"/>
      <c r="C4" s="14" t="s">
        <v>1383</v>
      </c>
      <c r="D4" s="15"/>
      <c r="E4" s="15"/>
      <c r="F4" s="16"/>
    </row>
    <row r="5" ht="30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23.25" customHeight="1" spans="1:6">
      <c r="A6" s="17"/>
      <c r="B6" s="17"/>
      <c r="C6" s="17" t="s">
        <v>305</v>
      </c>
      <c r="D6" s="17"/>
      <c r="E6" s="17">
        <v>429389</v>
      </c>
      <c r="F6" s="17">
        <f>E6-D6</f>
        <v>429389</v>
      </c>
    </row>
    <row r="7" ht="22.5" customHeight="1" spans="1:6">
      <c r="A7" s="17"/>
      <c r="B7" s="17"/>
      <c r="C7" s="17"/>
      <c r="D7" s="17"/>
      <c r="E7" s="17"/>
      <c r="F7" s="17">
        <f>F6-D7+E7</f>
        <v>429389</v>
      </c>
    </row>
    <row r="8" ht="28.5" customHeight="1" spans="1:6">
      <c r="A8" s="7" t="s">
        <v>303</v>
      </c>
      <c r="B8" s="8"/>
      <c r="C8" s="8"/>
      <c r="D8" s="8"/>
      <c r="E8" s="9"/>
      <c r="F8" s="17">
        <f>F7-D8+E8</f>
        <v>429389</v>
      </c>
    </row>
  </sheetData>
  <mergeCells count="6">
    <mergeCell ref="A3:C3"/>
    <mergeCell ref="D3:F3"/>
    <mergeCell ref="A4:B4"/>
    <mergeCell ref="C4:F4"/>
    <mergeCell ref="A8:E8"/>
    <mergeCell ref="A1:F2"/>
  </mergeCells>
  <printOptions horizontalCentered="1" verticalCentered="1"/>
  <pageMargins left="0.7" right="0.7" top="0.75" bottom="0.75" header="0.3" footer="0.3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F15"/>
  <sheetViews>
    <sheetView topLeftCell="A3" workbookViewId="0">
      <selection activeCell="H15" sqref="H15"/>
    </sheetView>
  </sheetViews>
  <sheetFormatPr defaultColWidth="9" defaultRowHeight="15" outlineLevelCol="5"/>
  <cols>
    <col min="1" max="1" width="11.7142857142857" customWidth="1"/>
    <col min="2" max="2" width="11.2857142857143" customWidth="1"/>
    <col min="3" max="3" width="25.7142857142857" customWidth="1"/>
    <col min="4" max="4" width="12.8571428571429" customWidth="1"/>
    <col min="5" max="5" width="14.2857142857143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1384</v>
      </c>
      <c r="E3" s="11"/>
      <c r="F3" s="12"/>
    </row>
    <row r="4" ht="22.5" customHeight="1" spans="1:6">
      <c r="A4" s="13" t="s">
        <v>84</v>
      </c>
      <c r="B4" s="13"/>
      <c r="C4" s="14" t="s">
        <v>1385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1386</v>
      </c>
      <c r="B6" s="17"/>
      <c r="C6" s="17" t="s">
        <v>305</v>
      </c>
      <c r="D6" s="17"/>
      <c r="E6" s="17">
        <v>73050</v>
      </c>
      <c r="F6" s="17">
        <f>E6-D6</f>
        <v>73050</v>
      </c>
    </row>
    <row r="7" ht="15.75" spans="1:6">
      <c r="A7" s="17" t="s">
        <v>1387</v>
      </c>
      <c r="B7" s="17"/>
      <c r="C7" s="17" t="s">
        <v>157</v>
      </c>
      <c r="D7" s="17">
        <v>50000</v>
      </c>
      <c r="E7" s="17"/>
      <c r="F7" s="17">
        <f>F6-D7+E7</f>
        <v>23050</v>
      </c>
    </row>
    <row r="8" ht="15.75" spans="1:6">
      <c r="A8" s="17" t="s">
        <v>741</v>
      </c>
      <c r="B8" s="17" t="s">
        <v>1388</v>
      </c>
      <c r="C8" s="17" t="s">
        <v>1389</v>
      </c>
      <c r="D8" s="17"/>
      <c r="E8" s="17">
        <v>10000</v>
      </c>
      <c r="F8" s="17">
        <f t="shared" ref="F8:F15" si="0">F7-D8+E8</f>
        <v>33050</v>
      </c>
    </row>
    <row r="9" ht="15.75" spans="1:6">
      <c r="A9" s="17" t="s">
        <v>605</v>
      </c>
      <c r="B9" s="17" t="s">
        <v>1390</v>
      </c>
      <c r="C9" s="17" t="s">
        <v>1391</v>
      </c>
      <c r="D9" s="17"/>
      <c r="E9" s="17">
        <v>40500</v>
      </c>
      <c r="F9" s="17">
        <f t="shared" si="0"/>
        <v>73550</v>
      </c>
    </row>
    <row r="10" ht="15.75" spans="1:6">
      <c r="A10" s="17" t="s">
        <v>1392</v>
      </c>
      <c r="B10" s="17"/>
      <c r="C10" s="17" t="s">
        <v>101</v>
      </c>
      <c r="D10" s="17">
        <v>65000</v>
      </c>
      <c r="E10" s="17"/>
      <c r="F10" s="17">
        <f t="shared" si="0"/>
        <v>8550</v>
      </c>
    </row>
    <row r="11" ht="15.75" spans="1:6">
      <c r="A11" s="357" t="s">
        <v>1392</v>
      </c>
      <c r="B11" s="357"/>
      <c r="C11" s="357" t="s">
        <v>1393</v>
      </c>
      <c r="D11" s="357">
        <v>8550</v>
      </c>
      <c r="E11" s="357"/>
      <c r="F11" s="357">
        <f t="shared" si="0"/>
        <v>0</v>
      </c>
    </row>
    <row r="12" ht="15.75" spans="1:6">
      <c r="A12" s="82" t="s">
        <v>622</v>
      </c>
      <c r="B12" s="82" t="s">
        <v>1394</v>
      </c>
      <c r="C12" s="82" t="s">
        <v>1395</v>
      </c>
      <c r="D12" s="82"/>
      <c r="E12" s="82">
        <v>75000</v>
      </c>
      <c r="F12" s="82">
        <f t="shared" si="0"/>
        <v>75000</v>
      </c>
    </row>
    <row r="13" ht="15.75" spans="1:6">
      <c r="A13" s="82" t="s">
        <v>901</v>
      </c>
      <c r="B13" s="82"/>
      <c r="C13" s="82" t="s">
        <v>157</v>
      </c>
      <c r="D13" s="82">
        <v>40000</v>
      </c>
      <c r="E13" s="82"/>
      <c r="F13" s="82">
        <f t="shared" si="0"/>
        <v>35000</v>
      </c>
    </row>
    <row r="14" ht="15.75" spans="1:6">
      <c r="A14" s="82"/>
      <c r="B14" s="82"/>
      <c r="C14" s="82" t="s">
        <v>157</v>
      </c>
      <c r="D14" s="82">
        <v>35000</v>
      </c>
      <c r="E14" s="82"/>
      <c r="F14" s="82">
        <f t="shared" si="0"/>
        <v>0</v>
      </c>
    </row>
    <row r="15" ht="18.75" spans="1:6">
      <c r="A15" s="7" t="s">
        <v>303</v>
      </c>
      <c r="B15" s="9"/>
      <c r="C15" s="358"/>
      <c r="D15" s="358"/>
      <c r="E15" s="358"/>
      <c r="F15" s="82">
        <f t="shared" si="0"/>
        <v>0</v>
      </c>
    </row>
  </sheetData>
  <mergeCells count="6">
    <mergeCell ref="A3:C3"/>
    <mergeCell ref="D3:F3"/>
    <mergeCell ref="A4:B4"/>
    <mergeCell ref="C4:F4"/>
    <mergeCell ref="A15:B15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H10"/>
  <sheetViews>
    <sheetView workbookViewId="0">
      <selection activeCell="A8" sqref="A8:E8"/>
    </sheetView>
  </sheetViews>
  <sheetFormatPr defaultColWidth="9" defaultRowHeight="15" outlineLevelCol="7"/>
  <cols>
    <col min="1" max="1" width="11.7142857142857" customWidth="1"/>
    <col min="2" max="2" width="12" customWidth="1"/>
    <col min="3" max="3" width="21.8571428571429" customWidth="1"/>
    <col min="4" max="4" width="15.7142857142857" customWidth="1"/>
    <col min="5" max="5" width="12.2857142857143" customWidth="1"/>
    <col min="6" max="6" width="11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1396</v>
      </c>
      <c r="E3" s="11"/>
      <c r="F3" s="12"/>
    </row>
    <row r="4" ht="22.5" customHeight="1" spans="1:6">
      <c r="A4" s="13" t="s">
        <v>84</v>
      </c>
      <c r="B4" s="13"/>
      <c r="C4" s="14" t="s">
        <v>1397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1398</v>
      </c>
      <c r="B6" s="17"/>
      <c r="C6" s="17" t="s">
        <v>1168</v>
      </c>
      <c r="D6" s="17"/>
      <c r="E6" s="17">
        <v>335115</v>
      </c>
      <c r="F6" s="17">
        <f>E6-D6</f>
        <v>335115</v>
      </c>
    </row>
    <row r="7" ht="15.75" spans="1:6">
      <c r="A7" s="17" t="s">
        <v>1399</v>
      </c>
      <c r="B7" s="17"/>
      <c r="C7" s="17" t="s">
        <v>101</v>
      </c>
      <c r="D7" s="17">
        <v>335115</v>
      </c>
      <c r="E7" s="17"/>
      <c r="F7" s="17">
        <f>F6-D7+E7</f>
        <v>0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0</v>
      </c>
    </row>
    <row r="10" spans="8:8">
      <c r="H10" t="s">
        <v>5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F15"/>
  <sheetViews>
    <sheetView workbookViewId="0">
      <selection activeCell="N17" sqref="N17"/>
    </sheetView>
  </sheetViews>
  <sheetFormatPr defaultColWidth="9" defaultRowHeight="15" outlineLevelCol="5"/>
  <cols>
    <col min="1" max="1" width="11.7142857142857" customWidth="1"/>
    <col min="2" max="2" width="12" customWidth="1"/>
    <col min="3" max="3" width="20.5714285714286" customWidth="1"/>
    <col min="4" max="4" width="14.1428571428571" customWidth="1"/>
    <col min="5" max="5" width="13.8571428571429" customWidth="1"/>
    <col min="6" max="6" width="11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59</v>
      </c>
      <c r="E3" s="11"/>
      <c r="F3" s="12"/>
    </row>
    <row r="4" ht="22.5" customHeight="1" spans="1:6">
      <c r="A4" s="13" t="s">
        <v>84</v>
      </c>
      <c r="B4" s="13"/>
      <c r="C4" s="14" t="s">
        <v>1400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1168</v>
      </c>
      <c r="D6" s="17"/>
      <c r="E6" s="17">
        <v>57300</v>
      </c>
      <c r="F6" s="17">
        <f>E6-D6</f>
        <v>57300</v>
      </c>
    </row>
    <row r="7" ht="15.75" spans="1:6">
      <c r="A7" s="18">
        <v>45387</v>
      </c>
      <c r="B7" s="17" t="s">
        <v>1401</v>
      </c>
      <c r="C7" s="17" t="s">
        <v>915</v>
      </c>
      <c r="D7" s="17"/>
      <c r="E7" s="17">
        <v>1200</v>
      </c>
      <c r="F7" s="17">
        <f>F6-D7+E7</f>
        <v>58500</v>
      </c>
    </row>
    <row r="8" ht="15.75" spans="1:6">
      <c r="A8" s="18" t="s">
        <v>5</v>
      </c>
      <c r="B8" s="17" t="s">
        <v>1401</v>
      </c>
      <c r="C8" s="72" t="s">
        <v>801</v>
      </c>
      <c r="D8" s="17">
        <v>1200</v>
      </c>
      <c r="E8" s="19"/>
      <c r="F8" s="17">
        <f t="shared" ref="F8" si="0">F7-D8+E8</f>
        <v>57300</v>
      </c>
    </row>
    <row r="9" ht="15.75" spans="1:6">
      <c r="A9" s="73"/>
      <c r="B9" s="17"/>
      <c r="C9" s="72"/>
      <c r="D9" s="17"/>
      <c r="E9" s="19"/>
      <c r="F9" s="17">
        <f>F8-D11+E9</f>
        <v>57300</v>
      </c>
    </row>
    <row r="10" ht="15.75" spans="1:6">
      <c r="A10" s="73"/>
      <c r="B10" s="17"/>
      <c r="C10" s="72"/>
      <c r="D10" s="17"/>
      <c r="E10" s="19"/>
      <c r="F10" s="17"/>
    </row>
    <row r="11" ht="15.75" spans="1:6">
      <c r="A11" s="73"/>
      <c r="B11" s="17"/>
      <c r="C11" s="72"/>
      <c r="D11" s="17"/>
      <c r="E11" s="19"/>
      <c r="F11" s="17"/>
    </row>
    <row r="12" ht="15.75" spans="1:6">
      <c r="A12" s="73"/>
      <c r="B12" s="17"/>
      <c r="C12" s="72"/>
      <c r="D12" s="17"/>
      <c r="E12" s="19"/>
      <c r="F12" s="17"/>
    </row>
    <row r="13" ht="15.75" spans="1:6">
      <c r="A13" s="73"/>
      <c r="B13" s="17"/>
      <c r="C13" s="72"/>
      <c r="D13" s="17"/>
      <c r="E13" s="19"/>
      <c r="F13" s="17"/>
    </row>
    <row r="14" ht="15.75" spans="1:6">
      <c r="A14" s="73"/>
      <c r="B14" s="17"/>
      <c r="C14" s="72"/>
      <c r="D14" s="17"/>
      <c r="E14" s="19"/>
      <c r="F14" s="17"/>
    </row>
    <row r="15" ht="18.75" spans="1:6">
      <c r="A15" s="7" t="s">
        <v>303</v>
      </c>
      <c r="B15" s="8"/>
      <c r="C15" s="8"/>
      <c r="D15" s="8"/>
      <c r="E15" s="9"/>
      <c r="F15" s="17">
        <f>F9-D15+E15</f>
        <v>57300</v>
      </c>
    </row>
  </sheetData>
  <mergeCells count="6">
    <mergeCell ref="A3:C3"/>
    <mergeCell ref="D3:F3"/>
    <mergeCell ref="A4:B4"/>
    <mergeCell ref="C4:F4"/>
    <mergeCell ref="A15:E15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F17"/>
  <sheetViews>
    <sheetView workbookViewId="0">
      <selection activeCell="A12" sqref="A12"/>
    </sheetView>
  </sheetViews>
  <sheetFormatPr defaultColWidth="9" defaultRowHeight="15" outlineLevelCol="5"/>
  <cols>
    <col min="1" max="1" width="11.7142857142857" customWidth="1"/>
    <col min="2" max="2" width="12.1428571428571" customWidth="1"/>
    <col min="3" max="3" width="18.1428571428571" customWidth="1"/>
    <col min="4" max="4" width="16.7142857142857" customWidth="1"/>
    <col min="5" max="5" width="13.5714285714286" customWidth="1"/>
    <col min="6" max="6" width="11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61</v>
      </c>
      <c r="E3" s="11"/>
      <c r="F3" s="12"/>
    </row>
    <row r="4" ht="22.5" customHeight="1" spans="1:6">
      <c r="A4" s="13" t="s">
        <v>84</v>
      </c>
      <c r="B4" s="13"/>
      <c r="C4" s="14" t="s">
        <v>1402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44572</v>
      </c>
      <c r="B6" s="17"/>
      <c r="C6" s="17" t="s">
        <v>558</v>
      </c>
      <c r="D6" s="17"/>
      <c r="E6" s="17">
        <v>12116</v>
      </c>
      <c r="F6" s="17">
        <f>E6-D6</f>
        <v>12116</v>
      </c>
    </row>
    <row r="7" ht="15.75" spans="1:6">
      <c r="A7" s="17" t="s">
        <v>107</v>
      </c>
      <c r="B7" s="17" t="s">
        <v>1403</v>
      </c>
      <c r="C7" s="17" t="s">
        <v>719</v>
      </c>
      <c r="D7" s="17">
        <v>12000</v>
      </c>
      <c r="E7" s="17"/>
      <c r="F7" s="17">
        <f>F6-D7+E7</f>
        <v>116</v>
      </c>
    </row>
    <row r="8" ht="15.75" spans="1:6">
      <c r="A8" s="73"/>
      <c r="B8" s="17"/>
      <c r="C8" s="17" t="s">
        <v>1393</v>
      </c>
      <c r="D8" s="17">
        <v>116</v>
      </c>
      <c r="E8" s="19"/>
      <c r="F8" s="17">
        <f t="shared" ref="F8:F17" si="0">F7-D8+E8</f>
        <v>0</v>
      </c>
    </row>
    <row r="9" ht="15.75" spans="1:6">
      <c r="A9" s="75">
        <v>45839</v>
      </c>
      <c r="B9" s="17" t="s">
        <v>1404</v>
      </c>
      <c r="C9" s="17" t="s">
        <v>1405</v>
      </c>
      <c r="D9" s="17"/>
      <c r="E9" s="19">
        <v>1500</v>
      </c>
      <c r="F9" s="17">
        <f t="shared" si="0"/>
        <v>1500</v>
      </c>
    </row>
    <row r="10" ht="15.75" spans="1:6">
      <c r="A10" s="75">
        <v>45812</v>
      </c>
      <c r="B10" s="17" t="s">
        <v>1406</v>
      </c>
      <c r="C10" s="71" t="s">
        <v>140</v>
      </c>
      <c r="D10" s="17"/>
      <c r="E10" s="19">
        <v>56600</v>
      </c>
      <c r="F10" s="17">
        <f t="shared" si="0"/>
        <v>58100</v>
      </c>
    </row>
    <row r="11" ht="15.75" spans="1:6">
      <c r="A11" s="18">
        <v>45813</v>
      </c>
      <c r="B11" s="72"/>
      <c r="C11" s="71" t="s">
        <v>719</v>
      </c>
      <c r="D11" s="17">
        <v>56600</v>
      </c>
      <c r="E11" s="19"/>
      <c r="F11" s="17">
        <f t="shared" si="0"/>
        <v>1500</v>
      </c>
    </row>
    <row r="12" ht="15.75" spans="1:6">
      <c r="A12" s="18"/>
      <c r="B12" s="72"/>
      <c r="C12" s="71"/>
      <c r="D12" s="17"/>
      <c r="E12" s="19"/>
      <c r="F12" s="17">
        <f t="shared" si="0"/>
        <v>1500</v>
      </c>
    </row>
    <row r="13" ht="15.75" spans="1:6">
      <c r="A13" s="18"/>
      <c r="B13" s="72"/>
      <c r="C13" s="71"/>
      <c r="D13" s="17"/>
      <c r="E13" s="19"/>
      <c r="F13" s="17">
        <f t="shared" si="0"/>
        <v>1500</v>
      </c>
    </row>
    <row r="14" ht="15.75" spans="1:6">
      <c r="A14" s="18"/>
      <c r="B14" s="72"/>
      <c r="C14" s="71"/>
      <c r="D14" s="17"/>
      <c r="E14" s="19"/>
      <c r="F14" s="17">
        <f t="shared" si="0"/>
        <v>1500</v>
      </c>
    </row>
    <row r="15" ht="15.75" spans="1:6">
      <c r="A15" s="18"/>
      <c r="B15" s="72"/>
      <c r="C15" s="71"/>
      <c r="D15" s="17"/>
      <c r="E15" s="19"/>
      <c r="F15" s="17">
        <f t="shared" si="0"/>
        <v>1500</v>
      </c>
    </row>
    <row r="16" ht="15.75" spans="1:6">
      <c r="A16" s="17"/>
      <c r="B16" s="72"/>
      <c r="C16" s="17"/>
      <c r="D16" s="17"/>
      <c r="E16" s="19"/>
      <c r="F16" s="17">
        <f t="shared" si="0"/>
        <v>1500</v>
      </c>
    </row>
    <row r="17" ht="18.75" spans="1:6">
      <c r="A17" s="7" t="s">
        <v>303</v>
      </c>
      <c r="B17" s="8"/>
      <c r="C17" s="8"/>
      <c r="D17" s="8"/>
      <c r="E17" s="9"/>
      <c r="F17" s="17">
        <f t="shared" si="0"/>
        <v>1500</v>
      </c>
    </row>
  </sheetData>
  <mergeCells count="6">
    <mergeCell ref="A3:C3"/>
    <mergeCell ref="D3:F3"/>
    <mergeCell ref="A4:B4"/>
    <mergeCell ref="C4:F4"/>
    <mergeCell ref="A17:E17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24"/>
  <sheetViews>
    <sheetView workbookViewId="0">
      <selection activeCell="I6" sqref="I6"/>
    </sheetView>
  </sheetViews>
  <sheetFormatPr defaultColWidth="9" defaultRowHeight="15" outlineLevelCol="5"/>
  <cols>
    <col min="1" max="1" width="11.7142857142857" customWidth="1"/>
    <col min="2" max="2" width="10.5714285714286" customWidth="1"/>
    <col min="3" max="3" width="30.7142857142857" customWidth="1"/>
    <col min="4" max="4" width="9.85714285714286" customWidth="1"/>
    <col min="5" max="5" width="14" customWidth="1"/>
    <col min="6" max="6" width="10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1407</v>
      </c>
      <c r="E3" s="11"/>
      <c r="F3" s="12"/>
    </row>
    <row r="4" ht="22.5" customHeight="1" spans="1:6">
      <c r="A4" s="13" t="s">
        <v>84</v>
      </c>
      <c r="B4" s="13"/>
      <c r="C4" s="14" t="s">
        <v>1408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1409</v>
      </c>
      <c r="B6" s="17"/>
      <c r="C6" s="17" t="s">
        <v>305</v>
      </c>
      <c r="D6" s="17"/>
      <c r="E6" s="17">
        <v>50115</v>
      </c>
      <c r="F6" s="17">
        <f>E6-D6</f>
        <v>50115</v>
      </c>
    </row>
    <row r="7" ht="15.75" spans="1:6">
      <c r="A7" s="18">
        <v>45328</v>
      </c>
      <c r="B7" s="17"/>
      <c r="C7" s="17" t="s">
        <v>101</v>
      </c>
      <c r="D7" s="17">
        <v>11500</v>
      </c>
      <c r="E7" s="17"/>
      <c r="F7" s="17">
        <f>F6-D7+E7</f>
        <v>38615</v>
      </c>
    </row>
    <row r="8" ht="15.75" spans="1:6">
      <c r="A8" s="102">
        <v>45418</v>
      </c>
      <c r="B8" s="17" t="s">
        <v>1410</v>
      </c>
      <c r="C8" s="17" t="s">
        <v>1411</v>
      </c>
      <c r="D8" s="17"/>
      <c r="E8" s="19">
        <v>6000</v>
      </c>
      <c r="F8" s="17">
        <f t="shared" ref="F8:F24" si="0">F7-D8+E8</f>
        <v>44615</v>
      </c>
    </row>
    <row r="9" ht="15.75" spans="1:6">
      <c r="A9" s="17" t="s">
        <v>1412</v>
      </c>
      <c r="B9" s="72" t="s">
        <v>1413</v>
      </c>
      <c r="C9" s="17" t="s">
        <v>1414</v>
      </c>
      <c r="D9" s="72"/>
      <c r="E9" s="17">
        <v>2675</v>
      </c>
      <c r="F9" s="17">
        <f t="shared" si="0"/>
        <v>47290</v>
      </c>
    </row>
    <row r="10" ht="15.75" spans="1:6">
      <c r="A10" s="17" t="s">
        <v>1415</v>
      </c>
      <c r="B10" s="72" t="s">
        <v>1416</v>
      </c>
      <c r="C10" s="17" t="s">
        <v>697</v>
      </c>
      <c r="D10" s="72"/>
      <c r="E10" s="17">
        <v>1500</v>
      </c>
      <c r="F10" s="17">
        <f t="shared" si="0"/>
        <v>48790</v>
      </c>
    </row>
    <row r="11" ht="15.75" spans="1:6">
      <c r="A11" s="18">
        <v>45422</v>
      </c>
      <c r="B11" s="72"/>
      <c r="C11" s="17" t="s">
        <v>694</v>
      </c>
      <c r="D11" s="72">
        <v>1500</v>
      </c>
      <c r="E11" s="17"/>
      <c r="F11" s="17">
        <f t="shared" si="0"/>
        <v>47290</v>
      </c>
    </row>
    <row r="12" ht="31.5" spans="1:6">
      <c r="A12" s="18" t="s">
        <v>988</v>
      </c>
      <c r="B12" s="72" t="s">
        <v>1417</v>
      </c>
      <c r="C12" s="71" t="s">
        <v>1418</v>
      </c>
      <c r="D12" s="72"/>
      <c r="E12" s="17">
        <v>139800</v>
      </c>
      <c r="F12" s="17">
        <f t="shared" si="0"/>
        <v>187090</v>
      </c>
    </row>
    <row r="13" ht="15.75" spans="1:6">
      <c r="A13" s="18" t="s">
        <v>988</v>
      </c>
      <c r="B13" s="72"/>
      <c r="C13" s="17" t="s">
        <v>694</v>
      </c>
      <c r="D13" s="72">
        <v>110000</v>
      </c>
      <c r="E13" s="17"/>
      <c r="F13" s="17">
        <f t="shared" si="0"/>
        <v>77090</v>
      </c>
    </row>
    <row r="14" ht="15.75" spans="1:6">
      <c r="A14" s="18" t="s">
        <v>1419</v>
      </c>
      <c r="B14" s="72" t="s">
        <v>1420</v>
      </c>
      <c r="C14" s="17" t="s">
        <v>1421</v>
      </c>
      <c r="D14" s="72"/>
      <c r="E14" s="17">
        <v>100</v>
      </c>
      <c r="F14" s="17">
        <f t="shared" si="0"/>
        <v>77190</v>
      </c>
    </row>
    <row r="15" ht="15.75" spans="1:6">
      <c r="A15" s="18">
        <v>45516</v>
      </c>
      <c r="B15" s="72" t="s">
        <v>1413</v>
      </c>
      <c r="C15" s="17" t="s">
        <v>1422</v>
      </c>
      <c r="D15" s="72">
        <v>2675</v>
      </c>
      <c r="E15" s="17"/>
      <c r="F15" s="17">
        <f t="shared" si="0"/>
        <v>74515</v>
      </c>
    </row>
    <row r="16" ht="15.75" spans="1:6">
      <c r="A16" s="18">
        <v>45516</v>
      </c>
      <c r="B16" s="72" t="s">
        <v>1423</v>
      </c>
      <c r="C16" s="17" t="s">
        <v>1422</v>
      </c>
      <c r="D16" s="72">
        <v>6000</v>
      </c>
      <c r="E16" s="17"/>
      <c r="F16" s="17">
        <f t="shared" si="0"/>
        <v>68515</v>
      </c>
    </row>
    <row r="17" ht="15.75" spans="1:6">
      <c r="A17" s="18">
        <v>45516</v>
      </c>
      <c r="B17" s="72"/>
      <c r="C17" s="17" t="s">
        <v>101</v>
      </c>
      <c r="D17" s="72">
        <v>45000</v>
      </c>
      <c r="E17" s="17"/>
      <c r="F17" s="17">
        <f t="shared" si="0"/>
        <v>23515</v>
      </c>
    </row>
    <row r="18" ht="15.75" spans="1:6">
      <c r="A18" s="18">
        <v>45516</v>
      </c>
      <c r="B18" s="72"/>
      <c r="C18" s="17" t="s">
        <v>1424</v>
      </c>
      <c r="D18" s="72">
        <v>2000</v>
      </c>
      <c r="E18" s="17"/>
      <c r="F18" s="17">
        <f t="shared" si="0"/>
        <v>21515</v>
      </c>
    </row>
    <row r="19" ht="15.75" spans="1:6">
      <c r="A19" s="18">
        <v>45812</v>
      </c>
      <c r="B19" s="17" t="s">
        <v>1425</v>
      </c>
      <c r="C19" s="17" t="s">
        <v>1421</v>
      </c>
      <c r="D19" s="17"/>
      <c r="E19" s="17">
        <v>550</v>
      </c>
      <c r="F19" s="17">
        <f t="shared" si="0"/>
        <v>22065</v>
      </c>
    </row>
    <row r="20" ht="15.75" spans="1:6">
      <c r="A20" s="18">
        <v>45967</v>
      </c>
      <c r="B20" s="17" t="s">
        <v>1426</v>
      </c>
      <c r="C20" s="17" t="s">
        <v>1411</v>
      </c>
      <c r="D20" s="17"/>
      <c r="E20" s="17">
        <v>8000</v>
      </c>
      <c r="F20" s="17">
        <f t="shared" si="0"/>
        <v>30065</v>
      </c>
    </row>
    <row r="21" ht="15.75" spans="1:6">
      <c r="A21" s="18">
        <v>45937</v>
      </c>
      <c r="B21" s="17"/>
      <c r="C21" s="17" t="s">
        <v>694</v>
      </c>
      <c r="D21" s="17">
        <v>8000</v>
      </c>
      <c r="E21" s="17"/>
      <c r="F21" s="17">
        <f t="shared" si="0"/>
        <v>22065</v>
      </c>
    </row>
    <row r="22" ht="15.75" spans="1:6">
      <c r="A22" s="18">
        <v>45969</v>
      </c>
      <c r="B22" s="17" t="s">
        <v>156</v>
      </c>
      <c r="C22" s="17" t="s">
        <v>694</v>
      </c>
      <c r="D22" s="17">
        <v>550</v>
      </c>
      <c r="E22" s="17"/>
      <c r="F22" s="17">
        <f t="shared" si="0"/>
        <v>21515</v>
      </c>
    </row>
    <row r="23" ht="15.75" spans="1:6">
      <c r="A23" s="75"/>
      <c r="B23" s="72"/>
      <c r="C23" s="72"/>
      <c r="D23" s="72"/>
      <c r="E23" s="19"/>
      <c r="F23" s="17">
        <f t="shared" si="0"/>
        <v>21515</v>
      </c>
    </row>
    <row r="24" ht="18.75" spans="1:6">
      <c r="A24" s="7" t="s">
        <v>303</v>
      </c>
      <c r="B24" s="8"/>
      <c r="C24" s="8"/>
      <c r="D24" s="8"/>
      <c r="E24" s="9"/>
      <c r="F24" s="17">
        <f t="shared" si="0"/>
        <v>21515</v>
      </c>
    </row>
  </sheetData>
  <mergeCells count="6">
    <mergeCell ref="A3:C3"/>
    <mergeCell ref="D3:F3"/>
    <mergeCell ref="A4:B4"/>
    <mergeCell ref="C4:F4"/>
    <mergeCell ref="A24:E24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74"/>
  <sheetViews>
    <sheetView topLeftCell="A51" workbookViewId="0">
      <selection activeCell="C71" sqref="C71"/>
    </sheetView>
  </sheetViews>
  <sheetFormatPr defaultColWidth="9" defaultRowHeight="15"/>
  <cols>
    <col min="1" max="1" width="11.7142857142857" customWidth="1"/>
    <col min="2" max="2" width="9.85714285714286" customWidth="1"/>
    <col min="3" max="3" width="35" customWidth="1"/>
    <col min="4" max="4" width="9.42857142857143" customWidth="1"/>
    <col min="5" max="5" width="11.2857142857143" style="36" customWidth="1"/>
    <col min="6" max="6" width="11.4285714285714" customWidth="1"/>
  </cols>
  <sheetData>
    <row r="1" ht="20.25" customHeight="1" spans="1:6">
      <c r="A1" s="349" t="s">
        <v>81</v>
      </c>
      <c r="B1" s="349"/>
      <c r="C1" s="349"/>
      <c r="D1" s="349"/>
      <c r="E1" s="349"/>
      <c r="F1" s="349"/>
    </row>
    <row r="2" ht="20.25" customHeight="1" spans="1:6">
      <c r="A2" s="349"/>
      <c r="B2" s="349"/>
      <c r="C2" s="349"/>
      <c r="D2" s="349"/>
      <c r="E2" s="349"/>
      <c r="F2" s="349"/>
    </row>
    <row r="3" ht="33" customHeight="1" spans="1:6">
      <c r="A3" s="350" t="s">
        <v>82</v>
      </c>
      <c r="B3" s="351"/>
      <c r="C3" s="351"/>
      <c r="D3" s="352" t="s">
        <v>1427</v>
      </c>
      <c r="E3" s="352"/>
      <c r="F3" s="352"/>
    </row>
    <row r="4" ht="22.5" customHeight="1" spans="1:6">
      <c r="A4" s="7" t="s">
        <v>84</v>
      </c>
      <c r="B4" s="9"/>
      <c r="C4" s="353">
        <v>15</v>
      </c>
      <c r="D4" s="354"/>
      <c r="E4" s="354"/>
      <c r="F4" s="355"/>
    </row>
    <row r="5" ht="18.75" customHeight="1" spans="1:8">
      <c r="A5" s="13" t="s">
        <v>86</v>
      </c>
      <c r="B5" s="13" t="s">
        <v>87</v>
      </c>
      <c r="C5" s="13" t="s">
        <v>88</v>
      </c>
      <c r="D5" s="7" t="s">
        <v>89</v>
      </c>
      <c r="E5" s="13" t="s">
        <v>90</v>
      </c>
      <c r="F5" s="9" t="s">
        <v>91</v>
      </c>
      <c r="H5" s="115"/>
    </row>
    <row r="6" ht="15.75" spans="1:6">
      <c r="A6" s="17"/>
      <c r="B6" s="17"/>
      <c r="C6" s="17" t="s">
        <v>714</v>
      </c>
      <c r="D6" s="73"/>
      <c r="E6" s="17">
        <v>40730</v>
      </c>
      <c r="F6" s="19">
        <f>E6-D6</f>
        <v>40730</v>
      </c>
    </row>
    <row r="7" ht="15.75" spans="1:9">
      <c r="A7" s="17" t="s">
        <v>605</v>
      </c>
      <c r="B7" s="17" t="s">
        <v>1428</v>
      </c>
      <c r="C7" s="17" t="s">
        <v>918</v>
      </c>
      <c r="D7" s="73"/>
      <c r="E7" s="17">
        <v>2100</v>
      </c>
      <c r="F7" s="19">
        <f t="shared" ref="F7:F38" si="0">F6-D7+E7</f>
        <v>42830</v>
      </c>
      <c r="I7" s="85"/>
    </row>
    <row r="8" ht="15.75" spans="1:11">
      <c r="A8" s="18">
        <v>45567</v>
      </c>
      <c r="B8" s="17" t="s">
        <v>1429</v>
      </c>
      <c r="C8" s="17" t="s">
        <v>918</v>
      </c>
      <c r="D8" s="73"/>
      <c r="E8" s="17">
        <v>1200</v>
      </c>
      <c r="F8" s="19">
        <f t="shared" si="0"/>
        <v>44030</v>
      </c>
      <c r="K8" s="76"/>
    </row>
    <row r="9" ht="15.75" spans="1:6">
      <c r="A9" s="17" t="s">
        <v>560</v>
      </c>
      <c r="B9" s="17"/>
      <c r="C9" s="78" t="s">
        <v>96</v>
      </c>
      <c r="D9" s="73">
        <v>10000</v>
      </c>
      <c r="E9" s="17"/>
      <c r="F9" s="19">
        <f t="shared" si="0"/>
        <v>34030</v>
      </c>
    </row>
    <row r="10" ht="15.75" spans="1:6">
      <c r="A10" s="17" t="s">
        <v>586</v>
      </c>
      <c r="B10" s="17" t="s">
        <v>1430</v>
      </c>
      <c r="C10" s="17" t="s">
        <v>697</v>
      </c>
      <c r="D10" s="73"/>
      <c r="E10" s="17">
        <v>1575</v>
      </c>
      <c r="F10" s="19">
        <f t="shared" si="0"/>
        <v>35605</v>
      </c>
    </row>
    <row r="11" ht="15.75" spans="1:6">
      <c r="A11" s="17" t="s">
        <v>622</v>
      </c>
      <c r="B11" s="17" t="s">
        <v>1431</v>
      </c>
      <c r="C11" s="17" t="s">
        <v>637</v>
      </c>
      <c r="D11" s="73"/>
      <c r="E11" s="17">
        <v>11050</v>
      </c>
      <c r="F11" s="19">
        <f t="shared" si="0"/>
        <v>46655</v>
      </c>
    </row>
    <row r="12" ht="15.75" spans="1:6">
      <c r="A12" s="17" t="s">
        <v>875</v>
      </c>
      <c r="B12" s="17" t="s">
        <v>1432</v>
      </c>
      <c r="C12" s="78" t="s">
        <v>99</v>
      </c>
      <c r="D12" s="73"/>
      <c r="E12" s="17">
        <v>2100</v>
      </c>
      <c r="F12" s="19">
        <f t="shared" si="0"/>
        <v>48755</v>
      </c>
    </row>
    <row r="13" ht="15.75" spans="1:6">
      <c r="A13" s="17" t="s">
        <v>875</v>
      </c>
      <c r="B13" s="17" t="s">
        <v>1432</v>
      </c>
      <c r="C13" s="17" t="s">
        <v>1433</v>
      </c>
      <c r="D13" s="73">
        <v>5300</v>
      </c>
      <c r="E13" s="17"/>
      <c r="F13" s="19">
        <f t="shared" si="0"/>
        <v>43455</v>
      </c>
    </row>
    <row r="14" ht="15.75" spans="1:6">
      <c r="A14" s="18">
        <v>45415</v>
      </c>
      <c r="B14" s="17" t="s">
        <v>1434</v>
      </c>
      <c r="C14" s="17" t="s">
        <v>1435</v>
      </c>
      <c r="D14" s="73"/>
      <c r="E14" s="17">
        <v>1000</v>
      </c>
      <c r="F14" s="19">
        <f t="shared" si="0"/>
        <v>44455</v>
      </c>
    </row>
    <row r="15" ht="15.75" spans="1:6">
      <c r="A15" s="18" t="s">
        <v>1436</v>
      </c>
      <c r="B15" s="17" t="s">
        <v>1437</v>
      </c>
      <c r="C15" s="17" t="s">
        <v>1438</v>
      </c>
      <c r="D15" s="73"/>
      <c r="E15" s="17">
        <v>1240</v>
      </c>
      <c r="F15" s="19">
        <f t="shared" si="0"/>
        <v>45695</v>
      </c>
    </row>
    <row r="16" ht="15.75" spans="1:6">
      <c r="A16" s="18" t="s">
        <v>1439</v>
      </c>
      <c r="B16" s="17" t="s">
        <v>1440</v>
      </c>
      <c r="C16" s="17" t="s">
        <v>697</v>
      </c>
      <c r="D16" s="73"/>
      <c r="E16" s="17">
        <v>1310</v>
      </c>
      <c r="F16" s="19">
        <f t="shared" si="0"/>
        <v>47005</v>
      </c>
    </row>
    <row r="17" ht="15.75" spans="1:6">
      <c r="A17" s="18">
        <v>45295</v>
      </c>
      <c r="B17" s="17" t="s">
        <v>1441</v>
      </c>
      <c r="C17" s="17" t="s">
        <v>1442</v>
      </c>
      <c r="D17" s="73"/>
      <c r="E17" s="17">
        <v>1350</v>
      </c>
      <c r="F17" s="19">
        <f t="shared" si="0"/>
        <v>48355</v>
      </c>
    </row>
    <row r="18" ht="15.75" spans="1:6">
      <c r="A18" s="18">
        <v>45508</v>
      </c>
      <c r="B18" s="17" t="s">
        <v>1443</v>
      </c>
      <c r="C18" s="17" t="s">
        <v>918</v>
      </c>
      <c r="D18" s="73"/>
      <c r="E18" s="17">
        <v>2250</v>
      </c>
      <c r="F18" s="19">
        <f t="shared" si="0"/>
        <v>50605</v>
      </c>
    </row>
    <row r="19" ht="15.75" spans="1:6">
      <c r="A19" s="18" t="s">
        <v>589</v>
      </c>
      <c r="B19" s="17" t="s">
        <v>1444</v>
      </c>
      <c r="C19" s="17" t="s">
        <v>918</v>
      </c>
      <c r="D19" s="73"/>
      <c r="E19" s="17">
        <v>1950</v>
      </c>
      <c r="F19" s="19">
        <f t="shared" si="0"/>
        <v>52555</v>
      </c>
    </row>
    <row r="20" ht="15.75" spans="1:12">
      <c r="A20" s="18" t="s">
        <v>913</v>
      </c>
      <c r="B20" s="17" t="s">
        <v>1445</v>
      </c>
      <c r="C20" s="17" t="s">
        <v>1446</v>
      </c>
      <c r="D20" s="73"/>
      <c r="E20" s="17">
        <v>12900</v>
      </c>
      <c r="F20" s="19">
        <f t="shared" si="0"/>
        <v>65455</v>
      </c>
      <c r="L20" t="s">
        <v>5</v>
      </c>
    </row>
    <row r="21" ht="15.75" spans="1:6">
      <c r="A21" s="18" t="s">
        <v>919</v>
      </c>
      <c r="B21" s="17" t="s">
        <v>1447</v>
      </c>
      <c r="C21" s="17" t="s">
        <v>918</v>
      </c>
      <c r="D21" s="73"/>
      <c r="E21" s="17">
        <v>2250</v>
      </c>
      <c r="F21" s="19">
        <f t="shared" si="0"/>
        <v>67705</v>
      </c>
    </row>
    <row r="22" ht="15.75" spans="1:6">
      <c r="A22" s="18">
        <v>45437</v>
      </c>
      <c r="B22" s="17" t="s">
        <v>1448</v>
      </c>
      <c r="C22" s="17" t="s">
        <v>918</v>
      </c>
      <c r="D22" s="73"/>
      <c r="E22" s="17">
        <v>2050</v>
      </c>
      <c r="F22" s="19">
        <f t="shared" si="0"/>
        <v>69755</v>
      </c>
    </row>
    <row r="23" ht="15.75" spans="1:6">
      <c r="A23" s="18">
        <v>45540</v>
      </c>
      <c r="B23" s="17" t="s">
        <v>1449</v>
      </c>
      <c r="C23" s="17" t="s">
        <v>918</v>
      </c>
      <c r="D23" s="73"/>
      <c r="E23" s="17">
        <v>2200</v>
      </c>
      <c r="F23" s="19">
        <f t="shared" si="0"/>
        <v>71955</v>
      </c>
    </row>
    <row r="24" ht="15.75" spans="1:6">
      <c r="A24" s="18" t="s">
        <v>691</v>
      </c>
      <c r="B24" s="17" t="s">
        <v>1450</v>
      </c>
      <c r="C24" s="17" t="s">
        <v>918</v>
      </c>
      <c r="D24" s="73"/>
      <c r="E24" s="17">
        <v>1600</v>
      </c>
      <c r="F24" s="19">
        <f t="shared" si="0"/>
        <v>73555</v>
      </c>
    </row>
    <row r="25" ht="15.75" spans="1:9">
      <c r="A25" s="18" t="s">
        <v>1451</v>
      </c>
      <c r="B25" s="17" t="s">
        <v>1452</v>
      </c>
      <c r="C25" s="17" t="s">
        <v>918</v>
      </c>
      <c r="D25" s="73"/>
      <c r="E25" s="17">
        <v>1200</v>
      </c>
      <c r="F25" s="19">
        <f t="shared" si="0"/>
        <v>74755</v>
      </c>
      <c r="I25" t="s">
        <v>5</v>
      </c>
    </row>
    <row r="26" ht="15.75" spans="1:6">
      <c r="A26" s="18" t="s">
        <v>1453</v>
      </c>
      <c r="B26" s="17" t="s">
        <v>1454</v>
      </c>
      <c r="C26" s="17" t="s">
        <v>918</v>
      </c>
      <c r="D26" s="73"/>
      <c r="E26" s="17">
        <v>4600</v>
      </c>
      <c r="F26" s="19">
        <f t="shared" si="0"/>
        <v>79355</v>
      </c>
    </row>
    <row r="27" ht="15.75" spans="1:6">
      <c r="A27" s="18"/>
      <c r="B27" s="17"/>
      <c r="C27" s="17" t="s">
        <v>101</v>
      </c>
      <c r="D27" s="73">
        <v>12900</v>
      </c>
      <c r="E27" s="17"/>
      <c r="F27" s="19">
        <f t="shared" si="0"/>
        <v>66455</v>
      </c>
    </row>
    <row r="28" ht="15.75" spans="1:6">
      <c r="A28" s="18" t="s">
        <v>1147</v>
      </c>
      <c r="B28" s="17" t="s">
        <v>1455</v>
      </c>
      <c r="C28" s="17" t="s">
        <v>1456</v>
      </c>
      <c r="D28" s="73"/>
      <c r="E28" s="17">
        <v>7700</v>
      </c>
      <c r="F28" s="19">
        <f t="shared" si="0"/>
        <v>74155</v>
      </c>
    </row>
    <row r="29" ht="15.75" spans="1:6">
      <c r="A29" s="18" t="s">
        <v>1147</v>
      </c>
      <c r="B29" s="17" t="s">
        <v>1457</v>
      </c>
      <c r="C29" s="17" t="s">
        <v>637</v>
      </c>
      <c r="D29" s="73"/>
      <c r="E29" s="17">
        <v>20250</v>
      </c>
      <c r="F29" s="19">
        <f t="shared" si="0"/>
        <v>94405</v>
      </c>
    </row>
    <row r="30" ht="15.75" spans="1:6">
      <c r="A30" s="18"/>
      <c r="B30" s="17"/>
      <c r="C30" s="17" t="s">
        <v>1458</v>
      </c>
      <c r="D30" s="73">
        <v>1700</v>
      </c>
      <c r="E30" s="17"/>
      <c r="F30" s="19">
        <f t="shared" si="0"/>
        <v>92705</v>
      </c>
    </row>
    <row r="31" ht="15.75" spans="1:6">
      <c r="A31" s="18" t="s">
        <v>97</v>
      </c>
      <c r="B31" s="17" t="s">
        <v>1459</v>
      </c>
      <c r="C31" s="17" t="s">
        <v>697</v>
      </c>
      <c r="D31" s="73"/>
      <c r="E31" s="17">
        <v>1900</v>
      </c>
      <c r="F31" s="19">
        <f t="shared" si="0"/>
        <v>94605</v>
      </c>
    </row>
    <row r="32" ht="15.75" spans="1:6">
      <c r="A32" s="18" t="s">
        <v>97</v>
      </c>
      <c r="B32" s="17" t="s">
        <v>1460</v>
      </c>
      <c r="C32" s="17" t="s">
        <v>437</v>
      </c>
      <c r="D32" s="73"/>
      <c r="E32" s="17">
        <v>6750</v>
      </c>
      <c r="F32" s="19">
        <f t="shared" si="0"/>
        <v>101355</v>
      </c>
    </row>
    <row r="33" ht="15.75" spans="1:6">
      <c r="A33" s="18"/>
      <c r="B33" s="17"/>
      <c r="C33" s="17" t="s">
        <v>1461</v>
      </c>
      <c r="D33" s="73">
        <v>1000</v>
      </c>
      <c r="E33" s="17"/>
      <c r="F33" s="19">
        <f t="shared" si="0"/>
        <v>100355</v>
      </c>
    </row>
    <row r="34" ht="15.75" spans="1:6">
      <c r="A34" s="18">
        <v>45418</v>
      </c>
      <c r="B34" s="17"/>
      <c r="C34" s="17" t="s">
        <v>688</v>
      </c>
      <c r="D34" s="73">
        <v>40000</v>
      </c>
      <c r="E34" s="17"/>
      <c r="F34" s="19">
        <f t="shared" si="0"/>
        <v>60355</v>
      </c>
    </row>
    <row r="35" ht="15.75" spans="1:6">
      <c r="A35" s="18">
        <v>45449</v>
      </c>
      <c r="B35" s="17" t="s">
        <v>1462</v>
      </c>
      <c r="C35" s="17" t="s">
        <v>918</v>
      </c>
      <c r="D35" s="73"/>
      <c r="E35" s="17">
        <v>2500</v>
      </c>
      <c r="F35" s="19">
        <f t="shared" si="0"/>
        <v>62855</v>
      </c>
    </row>
    <row r="36" ht="15.75" spans="1:6">
      <c r="A36" s="18">
        <v>45632</v>
      </c>
      <c r="B36" s="17" t="s">
        <v>1463</v>
      </c>
      <c r="C36" s="17" t="s">
        <v>918</v>
      </c>
      <c r="D36" s="73"/>
      <c r="E36" s="17">
        <v>2350</v>
      </c>
      <c r="F36" s="19">
        <f t="shared" si="0"/>
        <v>65205</v>
      </c>
    </row>
    <row r="37" ht="15.75" spans="1:6">
      <c r="A37" s="18" t="s">
        <v>110</v>
      </c>
      <c r="B37" s="17" t="s">
        <v>1464</v>
      </c>
      <c r="C37" s="17" t="s">
        <v>1465</v>
      </c>
      <c r="D37" s="73">
        <v>0</v>
      </c>
      <c r="E37" s="17">
        <v>1305</v>
      </c>
      <c r="F37" s="19">
        <f t="shared" si="0"/>
        <v>66510</v>
      </c>
    </row>
    <row r="38" ht="15.75" spans="1:6">
      <c r="A38" s="18" t="s">
        <v>118</v>
      </c>
      <c r="B38" s="17" t="s">
        <v>1466</v>
      </c>
      <c r="C38" s="17" t="s">
        <v>1467</v>
      </c>
      <c r="D38" s="73"/>
      <c r="E38" s="17">
        <v>2200</v>
      </c>
      <c r="F38" s="19">
        <f t="shared" si="0"/>
        <v>68710</v>
      </c>
    </row>
    <row r="39" ht="15.75" spans="1:6">
      <c r="A39" s="18" t="s">
        <v>122</v>
      </c>
      <c r="B39" s="17" t="s">
        <v>1468</v>
      </c>
      <c r="C39" s="17" t="s">
        <v>1469</v>
      </c>
      <c r="D39" s="73"/>
      <c r="E39" s="17">
        <v>2560</v>
      </c>
      <c r="F39" s="19">
        <f t="shared" ref="F39:F74" si="1">F38-D39+E39</f>
        <v>71270</v>
      </c>
    </row>
    <row r="40" ht="15.75" spans="1:6">
      <c r="A40" s="75">
        <v>45329</v>
      </c>
      <c r="B40" s="17" t="s">
        <v>1470</v>
      </c>
      <c r="C40" s="72" t="s">
        <v>1471</v>
      </c>
      <c r="D40" s="73"/>
      <c r="E40" s="17">
        <v>2850</v>
      </c>
      <c r="F40" s="19">
        <f t="shared" si="1"/>
        <v>74120</v>
      </c>
    </row>
    <row r="41" ht="15.75" spans="1:6">
      <c r="A41" s="75">
        <v>45603</v>
      </c>
      <c r="B41" s="17"/>
      <c r="C41" s="72" t="s">
        <v>1472</v>
      </c>
      <c r="D41" s="73">
        <v>18000</v>
      </c>
      <c r="E41" s="17"/>
      <c r="F41" s="19">
        <f t="shared" si="1"/>
        <v>56120</v>
      </c>
    </row>
    <row r="42" ht="15.75" spans="1:6">
      <c r="A42" s="75"/>
      <c r="B42" s="17"/>
      <c r="C42" s="72" t="s">
        <v>752</v>
      </c>
      <c r="D42" s="73">
        <v>350</v>
      </c>
      <c r="E42" s="17"/>
      <c r="F42" s="19">
        <f t="shared" si="1"/>
        <v>55770</v>
      </c>
    </row>
    <row r="43" ht="15.75" spans="1:6">
      <c r="A43" s="75"/>
      <c r="B43" s="17"/>
      <c r="C43" s="72" t="s">
        <v>752</v>
      </c>
      <c r="D43" s="73">
        <v>220</v>
      </c>
      <c r="E43" s="17"/>
      <c r="F43" s="19">
        <f t="shared" si="1"/>
        <v>55550</v>
      </c>
    </row>
    <row r="44" ht="15.75" spans="1:6">
      <c r="A44" s="75" t="s">
        <v>1473</v>
      </c>
      <c r="B44" s="17" t="s">
        <v>1474</v>
      </c>
      <c r="C44" s="72" t="s">
        <v>1475</v>
      </c>
      <c r="D44" s="73">
        <v>0</v>
      </c>
      <c r="E44" s="17">
        <v>3050</v>
      </c>
      <c r="F44" s="19">
        <f t="shared" si="1"/>
        <v>58600</v>
      </c>
    </row>
    <row r="45" ht="15.75" spans="1:6">
      <c r="A45" s="73" t="s">
        <v>1234</v>
      </c>
      <c r="B45" s="17" t="s">
        <v>1476</v>
      </c>
      <c r="C45" s="72" t="s">
        <v>1477</v>
      </c>
      <c r="D45" s="73"/>
      <c r="E45" s="17">
        <v>2000</v>
      </c>
      <c r="F45" s="19">
        <f t="shared" si="1"/>
        <v>60600</v>
      </c>
    </row>
    <row r="46" ht="15.75" spans="1:6">
      <c r="A46" s="73" t="s">
        <v>1478</v>
      </c>
      <c r="B46" s="17" t="s">
        <v>1479</v>
      </c>
      <c r="C46" s="72" t="s">
        <v>1480</v>
      </c>
      <c r="D46" s="73"/>
      <c r="E46" s="17">
        <v>3950</v>
      </c>
      <c r="F46" s="19">
        <f t="shared" si="1"/>
        <v>64550</v>
      </c>
    </row>
    <row r="47" ht="15.75" spans="1:6">
      <c r="A47" s="73" t="s">
        <v>939</v>
      </c>
      <c r="B47" s="17" t="s">
        <v>1481</v>
      </c>
      <c r="C47" s="72" t="s">
        <v>1482</v>
      </c>
      <c r="D47" s="73"/>
      <c r="E47" s="17">
        <v>9850</v>
      </c>
      <c r="F47" s="19">
        <f t="shared" si="1"/>
        <v>74400</v>
      </c>
    </row>
    <row r="48" ht="15.75" spans="1:6">
      <c r="A48" s="75">
        <v>45359</v>
      </c>
      <c r="B48" s="17" t="s">
        <v>1483</v>
      </c>
      <c r="C48" s="72" t="s">
        <v>1484</v>
      </c>
      <c r="D48" s="73"/>
      <c r="E48" s="17">
        <v>2250</v>
      </c>
      <c r="F48" s="19">
        <f t="shared" si="1"/>
        <v>76650</v>
      </c>
    </row>
    <row r="49" ht="15.75" spans="1:6">
      <c r="A49" s="75">
        <v>45420</v>
      </c>
      <c r="B49" s="17" t="s">
        <v>156</v>
      </c>
      <c r="C49" s="72" t="s">
        <v>1472</v>
      </c>
      <c r="D49" s="73">
        <v>9500</v>
      </c>
      <c r="E49" s="17"/>
      <c r="F49" s="19">
        <f t="shared" si="1"/>
        <v>67150</v>
      </c>
    </row>
    <row r="50" ht="15.75" spans="1:6">
      <c r="A50" s="75">
        <v>45573</v>
      </c>
      <c r="B50" s="17" t="s">
        <v>1485</v>
      </c>
      <c r="C50" s="72" t="s">
        <v>1486</v>
      </c>
      <c r="D50" s="73"/>
      <c r="E50" s="17">
        <v>1650</v>
      </c>
      <c r="F50" s="19">
        <f t="shared" si="1"/>
        <v>68800</v>
      </c>
    </row>
    <row r="51" ht="15.75" spans="1:6">
      <c r="A51" s="73" t="s">
        <v>663</v>
      </c>
      <c r="B51" s="17" t="s">
        <v>1487</v>
      </c>
      <c r="C51" s="72" t="s">
        <v>1488</v>
      </c>
      <c r="D51" s="73"/>
      <c r="E51" s="17">
        <v>2400</v>
      </c>
      <c r="F51" s="19">
        <f t="shared" si="1"/>
        <v>71200</v>
      </c>
    </row>
    <row r="52" ht="15.75" spans="1:6">
      <c r="A52" s="73" t="s">
        <v>1489</v>
      </c>
      <c r="B52" s="17" t="s">
        <v>1490</v>
      </c>
      <c r="C52" s="72" t="s">
        <v>1491</v>
      </c>
      <c r="D52" s="73"/>
      <c r="E52" s="17">
        <v>1850</v>
      </c>
      <c r="F52" s="19">
        <f t="shared" si="1"/>
        <v>73050</v>
      </c>
    </row>
    <row r="53" ht="15.75" spans="1:6">
      <c r="A53" s="75">
        <v>45360</v>
      </c>
      <c r="B53" s="17" t="s">
        <v>1492</v>
      </c>
      <c r="C53" s="72" t="s">
        <v>1493</v>
      </c>
      <c r="D53" s="73"/>
      <c r="E53" s="17">
        <v>2300</v>
      </c>
      <c r="F53" s="19">
        <f t="shared" si="1"/>
        <v>75350</v>
      </c>
    </row>
    <row r="54" ht="15.75" spans="1:6">
      <c r="A54" s="73" t="s">
        <v>1494</v>
      </c>
      <c r="B54" s="17" t="s">
        <v>1495</v>
      </c>
      <c r="C54" s="72" t="s">
        <v>1496</v>
      </c>
      <c r="D54" s="73"/>
      <c r="E54" s="17">
        <v>2150</v>
      </c>
      <c r="F54" s="19">
        <f t="shared" si="1"/>
        <v>77500</v>
      </c>
    </row>
    <row r="55" ht="15.75" spans="1:6">
      <c r="A55" s="75">
        <v>45422</v>
      </c>
      <c r="B55" s="17" t="s">
        <v>1497</v>
      </c>
      <c r="C55" s="72" t="s">
        <v>1498</v>
      </c>
      <c r="D55" s="73"/>
      <c r="E55" s="17">
        <v>1787</v>
      </c>
      <c r="F55" s="19">
        <f t="shared" si="1"/>
        <v>79287</v>
      </c>
    </row>
    <row r="56" ht="15.75" spans="1:6">
      <c r="A56" s="75">
        <v>45693</v>
      </c>
      <c r="B56" s="17"/>
      <c r="C56" s="72" t="s">
        <v>1499</v>
      </c>
      <c r="D56" s="73"/>
      <c r="E56" s="17">
        <v>1075</v>
      </c>
      <c r="F56" s="19">
        <f t="shared" si="1"/>
        <v>80362</v>
      </c>
    </row>
    <row r="57" ht="15.75" spans="1:6">
      <c r="A57" s="75">
        <v>45843</v>
      </c>
      <c r="B57" s="17" t="s">
        <v>1500</v>
      </c>
      <c r="C57" s="72" t="s">
        <v>1501</v>
      </c>
      <c r="D57" s="73"/>
      <c r="E57" s="17">
        <v>650</v>
      </c>
      <c r="F57" s="19">
        <f t="shared" si="1"/>
        <v>81012</v>
      </c>
    </row>
    <row r="58" ht="15.75" spans="1:6">
      <c r="A58" s="75">
        <v>45843</v>
      </c>
      <c r="B58" s="17" t="s">
        <v>156</v>
      </c>
      <c r="C58" s="72" t="s">
        <v>313</v>
      </c>
      <c r="D58" s="73">
        <v>35000</v>
      </c>
      <c r="E58" s="17"/>
      <c r="F58" s="19">
        <f t="shared" si="1"/>
        <v>46012</v>
      </c>
    </row>
    <row r="59" ht="15.75" spans="1:6">
      <c r="A59" s="73" t="s">
        <v>531</v>
      </c>
      <c r="B59" s="17" t="s">
        <v>1502</v>
      </c>
      <c r="C59" s="72" t="s">
        <v>1501</v>
      </c>
      <c r="D59" s="73"/>
      <c r="E59" s="17">
        <v>750</v>
      </c>
      <c r="F59" s="19">
        <f t="shared" si="1"/>
        <v>46762</v>
      </c>
    </row>
    <row r="60" ht="15.75" spans="1:6">
      <c r="A60" s="73" t="s">
        <v>1173</v>
      </c>
      <c r="B60" s="17" t="s">
        <v>1503</v>
      </c>
      <c r="C60" s="72" t="s">
        <v>1504</v>
      </c>
      <c r="D60" s="73"/>
      <c r="E60" s="17">
        <v>1600</v>
      </c>
      <c r="F60" s="19">
        <f t="shared" si="1"/>
        <v>48362</v>
      </c>
    </row>
    <row r="61" ht="15.75" spans="1:6">
      <c r="A61" s="73" t="s">
        <v>1180</v>
      </c>
      <c r="B61" s="17" t="s">
        <v>1505</v>
      </c>
      <c r="C61" s="72" t="s">
        <v>1506</v>
      </c>
      <c r="D61" s="73"/>
      <c r="E61" s="17">
        <v>1050</v>
      </c>
      <c r="F61" s="19">
        <f t="shared" si="1"/>
        <v>49412</v>
      </c>
    </row>
    <row r="62" ht="15.75" spans="1:6">
      <c r="A62" s="73" t="s">
        <v>1186</v>
      </c>
      <c r="B62" s="17" t="s">
        <v>156</v>
      </c>
      <c r="C62" s="72" t="s">
        <v>313</v>
      </c>
      <c r="D62" s="73">
        <v>10000</v>
      </c>
      <c r="E62" s="17"/>
      <c r="F62" s="19">
        <f t="shared" si="1"/>
        <v>39412</v>
      </c>
    </row>
    <row r="63" ht="15.75" spans="1:6">
      <c r="A63" s="75">
        <v>45845</v>
      </c>
      <c r="B63" s="17" t="s">
        <v>1507</v>
      </c>
      <c r="C63" s="72" t="s">
        <v>915</v>
      </c>
      <c r="D63" s="73"/>
      <c r="E63" s="17">
        <v>1250</v>
      </c>
      <c r="F63" s="19">
        <f t="shared" si="1"/>
        <v>40662</v>
      </c>
    </row>
    <row r="64" ht="15.75" spans="1:6">
      <c r="A64" s="75">
        <v>45937</v>
      </c>
      <c r="B64" s="17" t="s">
        <v>1508</v>
      </c>
      <c r="C64" s="72" t="s">
        <v>1509</v>
      </c>
      <c r="D64" s="73"/>
      <c r="E64" s="17">
        <v>4715</v>
      </c>
      <c r="F64" s="19">
        <f t="shared" si="1"/>
        <v>45377</v>
      </c>
    </row>
    <row r="65" ht="15.75" spans="1:6">
      <c r="A65" s="75" t="s">
        <v>1198</v>
      </c>
      <c r="B65" s="17"/>
      <c r="C65" s="72" t="s">
        <v>101</v>
      </c>
      <c r="D65" s="73">
        <v>10000</v>
      </c>
      <c r="E65" s="17"/>
      <c r="F65" s="19">
        <f t="shared" si="1"/>
        <v>35377</v>
      </c>
    </row>
    <row r="66" ht="15.75" spans="1:6">
      <c r="A66" s="75" t="s">
        <v>1510</v>
      </c>
      <c r="B66" s="17" t="s">
        <v>1511</v>
      </c>
      <c r="C66" s="72" t="s">
        <v>1512</v>
      </c>
      <c r="D66" s="73"/>
      <c r="E66" s="17">
        <v>2625</v>
      </c>
      <c r="F66" s="19">
        <f t="shared" si="1"/>
        <v>38002</v>
      </c>
    </row>
    <row r="67" ht="15.75" spans="1:6">
      <c r="A67" s="75" t="s">
        <v>1513</v>
      </c>
      <c r="B67" s="17" t="s">
        <v>156</v>
      </c>
      <c r="C67" s="72" t="s">
        <v>313</v>
      </c>
      <c r="D67" s="73">
        <v>10000</v>
      </c>
      <c r="E67" s="17"/>
      <c r="F67" s="19">
        <f t="shared" si="1"/>
        <v>28002</v>
      </c>
    </row>
    <row r="68" ht="15.75" spans="1:6">
      <c r="A68" s="356">
        <v>45757</v>
      </c>
      <c r="B68" s="189" t="s">
        <v>1514</v>
      </c>
      <c r="C68" s="163" t="s">
        <v>1515</v>
      </c>
      <c r="E68" s="100">
        <v>2500</v>
      </c>
      <c r="F68" s="19">
        <f t="shared" si="1"/>
        <v>30502</v>
      </c>
    </row>
    <row r="69" ht="15.75" spans="1:6">
      <c r="A69" s="75" t="s">
        <v>1516</v>
      </c>
      <c r="B69" s="17" t="s">
        <v>1517</v>
      </c>
      <c r="C69" s="72" t="s">
        <v>1518</v>
      </c>
      <c r="D69" s="73"/>
      <c r="E69" s="17">
        <v>550</v>
      </c>
      <c r="F69" s="19">
        <f t="shared" si="1"/>
        <v>31052</v>
      </c>
    </row>
    <row r="70" ht="15.75" customHeight="1" spans="1:6">
      <c r="A70" s="75" t="s">
        <v>1519</v>
      </c>
      <c r="B70" s="17"/>
      <c r="C70" s="72" t="s">
        <v>1520</v>
      </c>
      <c r="D70" s="73">
        <v>10000</v>
      </c>
      <c r="E70" s="17"/>
      <c r="F70" s="19">
        <f t="shared" si="1"/>
        <v>21052</v>
      </c>
    </row>
    <row r="71" ht="15.75" spans="1:6">
      <c r="A71" s="75"/>
      <c r="B71" s="17"/>
      <c r="C71" s="72"/>
      <c r="D71" s="73"/>
      <c r="E71" s="17"/>
      <c r="F71" s="19">
        <f t="shared" si="1"/>
        <v>21052</v>
      </c>
    </row>
    <row r="72" ht="15.75" spans="1:6">
      <c r="A72" s="75"/>
      <c r="B72" s="17"/>
      <c r="C72" s="72"/>
      <c r="D72" s="73"/>
      <c r="E72" s="17"/>
      <c r="F72" s="19">
        <f t="shared" si="1"/>
        <v>21052</v>
      </c>
    </row>
    <row r="73" ht="15.75" spans="1:6">
      <c r="A73" s="73"/>
      <c r="B73" s="17"/>
      <c r="C73" s="72"/>
      <c r="D73" s="73"/>
      <c r="E73" s="17"/>
      <c r="F73" s="19">
        <f t="shared" si="1"/>
        <v>21052</v>
      </c>
    </row>
    <row r="74" ht="18.75" spans="1:6">
      <c r="A74" s="7" t="s">
        <v>303</v>
      </c>
      <c r="B74" s="8"/>
      <c r="C74" s="8"/>
      <c r="D74" s="8"/>
      <c r="E74" s="9"/>
      <c r="F74" s="19">
        <f t="shared" si="1"/>
        <v>21052</v>
      </c>
    </row>
  </sheetData>
  <mergeCells count="5">
    <mergeCell ref="A3:C3"/>
    <mergeCell ref="D3:F3"/>
    <mergeCell ref="A4:B4"/>
    <mergeCell ref="A74:E74"/>
    <mergeCell ref="A1:F2"/>
  </mergeCells>
  <pageMargins left="0.7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4"/>
  <sheetViews>
    <sheetView workbookViewId="0">
      <selection activeCell="A8" sqref="A8:E8"/>
    </sheetView>
  </sheetViews>
  <sheetFormatPr defaultColWidth="9" defaultRowHeight="15" outlineLevelCol="5"/>
  <cols>
    <col min="1" max="1" width="11.7142857142857" customWidth="1"/>
    <col min="2" max="2" width="11.2857142857143" customWidth="1"/>
    <col min="3" max="3" width="19.1428571428571" customWidth="1"/>
    <col min="4" max="4" width="16.4285714285714" customWidth="1"/>
    <col min="5" max="5" width="15.5714285714286" customWidth="1"/>
    <col min="6" max="6" width="10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67</v>
      </c>
      <c r="E3" s="11"/>
      <c r="F3" s="12"/>
    </row>
    <row r="4" ht="22.5" customHeight="1" spans="1:6">
      <c r="A4" s="13" t="s">
        <v>84</v>
      </c>
      <c r="B4" s="13"/>
      <c r="C4" s="14" t="s">
        <v>1521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31.5" spans="1:6">
      <c r="A6" s="18">
        <v>45445</v>
      </c>
      <c r="B6" s="17" t="s">
        <v>1522</v>
      </c>
      <c r="C6" s="71" t="s">
        <v>1523</v>
      </c>
      <c r="D6" s="17"/>
      <c r="E6" s="17">
        <v>1500</v>
      </c>
      <c r="F6" s="17">
        <f>E6-D6</f>
        <v>1500</v>
      </c>
    </row>
    <row r="7" ht="15.75" spans="1:6">
      <c r="A7" s="18">
        <v>45696</v>
      </c>
      <c r="B7" s="17" t="s">
        <v>1524</v>
      </c>
      <c r="C7" s="17" t="s">
        <v>1525</v>
      </c>
      <c r="D7" s="17"/>
      <c r="E7" s="17">
        <v>1000</v>
      </c>
      <c r="F7" s="17">
        <f>F6-D7+E7</f>
        <v>2500</v>
      </c>
    </row>
    <row r="8" ht="18.75" spans="1:6">
      <c r="A8" s="7" t="s">
        <v>303</v>
      </c>
      <c r="B8" s="8"/>
      <c r="C8" s="8"/>
      <c r="D8" s="8"/>
      <c r="E8" s="9"/>
      <c r="F8" s="17">
        <f>F7-D8+E8</f>
        <v>2500</v>
      </c>
    </row>
    <row r="14" spans="5:5">
      <c r="E14" t="s">
        <v>5</v>
      </c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K9"/>
  <sheetViews>
    <sheetView workbookViewId="0">
      <selection activeCell="K16" sqref="K16"/>
    </sheetView>
  </sheetViews>
  <sheetFormatPr defaultColWidth="9" defaultRowHeight="15"/>
  <cols>
    <col min="1" max="1" width="11.7142857142857" customWidth="1"/>
    <col min="2" max="2" width="9.14285714285714" customWidth="1"/>
    <col min="3" max="3" width="25.8571428571429" customWidth="1"/>
    <col min="4" max="4" width="13" customWidth="1"/>
    <col min="5" max="5" width="13.1428571428571" customWidth="1"/>
    <col min="6" max="6" width="12.8571428571429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69</v>
      </c>
      <c r="E3" s="11"/>
      <c r="F3" s="12"/>
    </row>
    <row r="4" ht="22.5" customHeight="1" spans="1:6">
      <c r="A4" s="13" t="s">
        <v>84</v>
      </c>
      <c r="B4" s="13"/>
      <c r="C4" s="14" t="s">
        <v>1526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45053</v>
      </c>
      <c r="B6" s="17" t="s">
        <v>1527</v>
      </c>
      <c r="C6" s="17" t="s">
        <v>1168</v>
      </c>
      <c r="D6" s="17"/>
      <c r="E6" s="17">
        <v>37572</v>
      </c>
      <c r="F6" s="17">
        <f>E6-D6</f>
        <v>37572</v>
      </c>
    </row>
    <row r="7" ht="15.75" spans="1:6">
      <c r="A7" s="18"/>
      <c r="B7" s="17"/>
      <c r="C7" s="17" t="s">
        <v>1528</v>
      </c>
      <c r="D7" s="17"/>
      <c r="E7" s="17">
        <v>4500</v>
      </c>
      <c r="F7" s="17">
        <f>E7-D7+F6</f>
        <v>42072</v>
      </c>
    </row>
    <row r="8" ht="15.75" spans="1:11">
      <c r="A8" s="17"/>
      <c r="B8" s="17"/>
      <c r="C8" s="17" t="s">
        <v>1529</v>
      </c>
      <c r="D8" s="17">
        <v>6300</v>
      </c>
      <c r="E8" s="17"/>
      <c r="F8" s="17">
        <f>E8-D8+F7</f>
        <v>35772</v>
      </c>
      <c r="K8" t="s">
        <v>1530</v>
      </c>
    </row>
    <row r="9" ht="18.75" spans="1:6">
      <c r="A9" s="7" t="s">
        <v>303</v>
      </c>
      <c r="B9" s="8"/>
      <c r="C9" s="8"/>
      <c r="D9" s="8"/>
      <c r="E9" s="9"/>
      <c r="F9" s="17">
        <f>E9-D9+F8</f>
        <v>35772</v>
      </c>
    </row>
  </sheetData>
  <mergeCells count="6">
    <mergeCell ref="A3:C3"/>
    <mergeCell ref="D3:F3"/>
    <mergeCell ref="A4:B4"/>
    <mergeCell ref="C4:F4"/>
    <mergeCell ref="A9:E9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H71"/>
  <sheetViews>
    <sheetView topLeftCell="A52" workbookViewId="0">
      <selection activeCell="C12" sqref="C12"/>
    </sheetView>
  </sheetViews>
  <sheetFormatPr defaultColWidth="9" defaultRowHeight="15" outlineLevelCol="7"/>
  <cols>
    <col min="1" max="1" width="10.8571428571429" customWidth="1"/>
    <col min="3" max="3" width="21.8571428571429" customWidth="1"/>
    <col min="6" max="7" width="10.7142857142857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1531</v>
      </c>
      <c r="E3" s="11"/>
      <c r="F3" s="12"/>
    </row>
    <row r="4" ht="18.75" spans="1:6">
      <c r="A4" s="13" t="s">
        <v>84</v>
      </c>
      <c r="B4" s="13"/>
      <c r="C4" s="14" t="s">
        <v>1532</v>
      </c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 t="s">
        <v>377</v>
      </c>
      <c r="B6" s="17" t="s">
        <v>1533</v>
      </c>
      <c r="C6" s="71" t="s">
        <v>419</v>
      </c>
      <c r="D6" s="17"/>
      <c r="E6" s="17">
        <v>3690</v>
      </c>
      <c r="F6" s="17">
        <f>E6-D6</f>
        <v>3690</v>
      </c>
    </row>
    <row r="7" ht="15.75" spans="1:6">
      <c r="A7" s="18">
        <v>45720</v>
      </c>
      <c r="B7" s="17" t="s">
        <v>1534</v>
      </c>
      <c r="C7" s="71" t="s">
        <v>1535</v>
      </c>
      <c r="D7" s="17"/>
      <c r="E7" s="17">
        <v>1615</v>
      </c>
      <c r="F7" s="17">
        <f>E7-D7+F6</f>
        <v>5305</v>
      </c>
    </row>
    <row r="8" ht="15.75" spans="1:6">
      <c r="A8" s="18" t="s">
        <v>372</v>
      </c>
      <c r="B8" s="17" t="s">
        <v>1536</v>
      </c>
      <c r="C8" s="71" t="s">
        <v>96</v>
      </c>
      <c r="D8" s="17"/>
      <c r="E8" s="17">
        <v>1100</v>
      </c>
      <c r="F8" s="17">
        <f t="shared" ref="F8:F71" si="0">E8-D8+F7</f>
        <v>6405</v>
      </c>
    </row>
    <row r="9" ht="31.5" spans="1:6">
      <c r="A9" s="18">
        <v>45812</v>
      </c>
      <c r="B9" s="17" t="s">
        <v>1537</v>
      </c>
      <c r="C9" s="71" t="s">
        <v>1538</v>
      </c>
      <c r="D9" s="17"/>
      <c r="E9" s="17">
        <v>9515</v>
      </c>
      <c r="F9" s="17">
        <f t="shared" si="0"/>
        <v>15920</v>
      </c>
    </row>
    <row r="10" ht="15.75" spans="1:6">
      <c r="A10" s="18">
        <v>45842</v>
      </c>
      <c r="B10" s="17" t="s">
        <v>1539</v>
      </c>
      <c r="C10" s="71" t="s">
        <v>1540</v>
      </c>
      <c r="D10" s="17"/>
      <c r="E10" s="17">
        <v>4790</v>
      </c>
      <c r="F10" s="17">
        <f t="shared" si="0"/>
        <v>20710</v>
      </c>
    </row>
    <row r="11" ht="15.75" spans="1:6">
      <c r="A11" s="18" t="s">
        <v>398</v>
      </c>
      <c r="B11" s="17" t="s">
        <v>1541</v>
      </c>
      <c r="C11" s="71" t="s">
        <v>1542</v>
      </c>
      <c r="D11" s="17"/>
      <c r="E11" s="17">
        <v>5890</v>
      </c>
      <c r="F11" s="17">
        <f t="shared" si="0"/>
        <v>26600</v>
      </c>
    </row>
    <row r="12" ht="15.75" spans="1:6">
      <c r="A12" s="18">
        <v>45842</v>
      </c>
      <c r="B12" s="17" t="s">
        <v>101</v>
      </c>
      <c r="C12" s="71" t="s">
        <v>313</v>
      </c>
      <c r="D12" s="17">
        <v>20710</v>
      </c>
      <c r="E12" s="17"/>
      <c r="F12" s="17">
        <f t="shared" si="0"/>
        <v>5890</v>
      </c>
    </row>
    <row r="13" ht="15.75" spans="1:6">
      <c r="A13" s="18" t="s">
        <v>1543</v>
      </c>
      <c r="B13" s="17" t="s">
        <v>1544</v>
      </c>
      <c r="C13" s="71" t="s">
        <v>1545</v>
      </c>
      <c r="D13" s="17"/>
      <c r="E13" s="17">
        <v>1250</v>
      </c>
      <c r="F13" s="17">
        <f t="shared" si="0"/>
        <v>7140</v>
      </c>
    </row>
    <row r="14" ht="15.75" spans="1:6">
      <c r="A14" s="18" t="s">
        <v>415</v>
      </c>
      <c r="B14" s="17" t="s">
        <v>1546</v>
      </c>
      <c r="C14" s="71" t="s">
        <v>1540</v>
      </c>
      <c r="D14" s="17"/>
      <c r="E14" s="17">
        <v>13082</v>
      </c>
      <c r="F14" s="17">
        <f t="shared" si="0"/>
        <v>20222</v>
      </c>
    </row>
    <row r="15" ht="31.5" spans="1:6">
      <c r="A15" s="18" t="s">
        <v>432</v>
      </c>
      <c r="B15" s="17" t="s">
        <v>1547</v>
      </c>
      <c r="C15" s="71" t="s">
        <v>1548</v>
      </c>
      <c r="D15" s="17"/>
      <c r="E15" s="17">
        <v>6920</v>
      </c>
      <c r="F15" s="17">
        <f t="shared" si="0"/>
        <v>27142</v>
      </c>
    </row>
    <row r="16" ht="15.75" spans="1:6">
      <c r="A16" s="18" t="s">
        <v>438</v>
      </c>
      <c r="B16" s="17" t="s">
        <v>1549</v>
      </c>
      <c r="C16" s="71" t="s">
        <v>1550</v>
      </c>
      <c r="D16" s="17"/>
      <c r="E16" s="17">
        <v>12700</v>
      </c>
      <c r="F16" s="17">
        <f t="shared" si="0"/>
        <v>39842</v>
      </c>
    </row>
    <row r="17" ht="15.75" spans="1:6">
      <c r="A17" s="18" t="s">
        <v>438</v>
      </c>
      <c r="B17" s="17"/>
      <c r="C17" s="71" t="s">
        <v>101</v>
      </c>
      <c r="D17" s="17">
        <v>15000</v>
      </c>
      <c r="E17" s="17"/>
      <c r="F17" s="17">
        <f t="shared" si="0"/>
        <v>24842</v>
      </c>
    </row>
    <row r="18" ht="31.5" spans="1:6">
      <c r="A18" s="18" t="s">
        <v>441</v>
      </c>
      <c r="B18" s="17" t="s">
        <v>1551</v>
      </c>
      <c r="C18" s="71" t="s">
        <v>1552</v>
      </c>
      <c r="D18" s="17"/>
      <c r="E18" s="17">
        <v>13075</v>
      </c>
      <c r="F18" s="17">
        <f t="shared" si="0"/>
        <v>37917</v>
      </c>
    </row>
    <row r="19" ht="15.75" spans="1:6">
      <c r="A19" s="18" t="s">
        <v>444</v>
      </c>
      <c r="B19" s="17" t="s">
        <v>1553</v>
      </c>
      <c r="C19" s="71" t="s">
        <v>96</v>
      </c>
      <c r="D19" s="17"/>
      <c r="E19" s="17">
        <v>1100</v>
      </c>
      <c r="F19" s="17">
        <f t="shared" si="0"/>
        <v>39017</v>
      </c>
    </row>
    <row r="20" ht="15.75" spans="1:6">
      <c r="A20" s="18" t="s">
        <v>453</v>
      </c>
      <c r="B20" s="17" t="s">
        <v>1554</v>
      </c>
      <c r="C20" s="71" t="s">
        <v>466</v>
      </c>
      <c r="D20" s="17"/>
      <c r="E20" s="17">
        <v>1100</v>
      </c>
      <c r="F20" s="17">
        <f t="shared" si="0"/>
        <v>40117</v>
      </c>
    </row>
    <row r="21" ht="15.75" spans="1:6">
      <c r="A21" s="18">
        <v>45662</v>
      </c>
      <c r="B21" s="17" t="s">
        <v>1555</v>
      </c>
      <c r="C21" s="71" t="s">
        <v>402</v>
      </c>
      <c r="D21" s="17"/>
      <c r="E21" s="17">
        <v>1750</v>
      </c>
      <c r="F21" s="17">
        <f t="shared" si="0"/>
        <v>41867</v>
      </c>
    </row>
    <row r="22" ht="15.75" spans="1:6">
      <c r="A22" s="18" t="s">
        <v>415</v>
      </c>
      <c r="B22" s="17"/>
      <c r="C22" s="71" t="s">
        <v>101</v>
      </c>
      <c r="D22" s="17">
        <v>10000</v>
      </c>
      <c r="E22" s="17"/>
      <c r="F22" s="17">
        <f t="shared" si="0"/>
        <v>31867</v>
      </c>
    </row>
    <row r="23" ht="15.75" spans="1:6">
      <c r="A23" s="18" t="s">
        <v>432</v>
      </c>
      <c r="B23" s="17"/>
      <c r="C23" s="71" t="s">
        <v>101</v>
      </c>
      <c r="D23" s="17">
        <v>4500</v>
      </c>
      <c r="E23" s="17"/>
      <c r="F23" s="17">
        <f t="shared" si="0"/>
        <v>27367</v>
      </c>
    </row>
    <row r="24" ht="15.75" spans="1:6">
      <c r="A24" s="18">
        <v>45721</v>
      </c>
      <c r="B24" s="17" t="s">
        <v>1556</v>
      </c>
      <c r="C24" s="71" t="s">
        <v>114</v>
      </c>
      <c r="D24" s="17"/>
      <c r="E24" s="17">
        <v>4500</v>
      </c>
      <c r="F24" s="17">
        <f t="shared" si="0"/>
        <v>31867</v>
      </c>
    </row>
    <row r="25" ht="31.5" spans="1:6">
      <c r="A25" s="18">
        <v>45782</v>
      </c>
      <c r="B25" s="17" t="s">
        <v>1557</v>
      </c>
      <c r="C25" s="71" t="s">
        <v>1558</v>
      </c>
      <c r="D25" s="17"/>
      <c r="E25" s="17">
        <v>2200</v>
      </c>
      <c r="F25" s="17">
        <f t="shared" si="0"/>
        <v>34067</v>
      </c>
    </row>
    <row r="26" ht="31.5" spans="1:6">
      <c r="A26" s="18">
        <v>45813</v>
      </c>
      <c r="B26" s="17" t="s">
        <v>1559</v>
      </c>
      <c r="C26" s="71" t="s">
        <v>1560</v>
      </c>
      <c r="D26" s="17"/>
      <c r="E26" s="17">
        <v>3550</v>
      </c>
      <c r="F26" s="17">
        <f t="shared" si="0"/>
        <v>37617</v>
      </c>
    </row>
    <row r="27" ht="15.75" spans="1:6">
      <c r="A27" s="18">
        <v>45843</v>
      </c>
      <c r="B27" s="17"/>
      <c r="C27" s="71" t="s">
        <v>1561</v>
      </c>
      <c r="D27" s="17">
        <v>10000</v>
      </c>
      <c r="E27" s="17"/>
      <c r="F27" s="17">
        <f t="shared" si="0"/>
        <v>27617</v>
      </c>
    </row>
    <row r="28" ht="31.5" spans="1:6">
      <c r="A28" s="18">
        <v>45874</v>
      </c>
      <c r="B28" s="17" t="s">
        <v>1562</v>
      </c>
      <c r="C28" s="71" t="s">
        <v>1563</v>
      </c>
      <c r="D28" s="17"/>
      <c r="E28" s="17">
        <v>1275</v>
      </c>
      <c r="F28" s="17">
        <f t="shared" si="0"/>
        <v>28892</v>
      </c>
    </row>
    <row r="29" ht="31.5" spans="1:6">
      <c r="A29" s="18" t="s">
        <v>510</v>
      </c>
      <c r="B29" s="17" t="s">
        <v>1564</v>
      </c>
      <c r="C29" s="71" t="s">
        <v>1565</v>
      </c>
      <c r="D29" s="17"/>
      <c r="E29" s="17">
        <v>2300</v>
      </c>
      <c r="F29" s="17">
        <f t="shared" si="0"/>
        <v>31192</v>
      </c>
    </row>
    <row r="30" ht="15.75" spans="1:6">
      <c r="A30" s="347" t="s">
        <v>1566</v>
      </c>
      <c r="B30" s="17" t="s">
        <v>1567</v>
      </c>
      <c r="C30" s="71" t="s">
        <v>101</v>
      </c>
      <c r="D30" s="170">
        <v>65000</v>
      </c>
      <c r="E30" s="17"/>
      <c r="F30" s="17">
        <f t="shared" si="0"/>
        <v>-33808</v>
      </c>
    </row>
    <row r="31" ht="18.75" spans="1:7">
      <c r="A31" s="18" t="s">
        <v>515</v>
      </c>
      <c r="B31" s="17"/>
      <c r="C31" s="71" t="s">
        <v>1568</v>
      </c>
      <c r="D31" s="17"/>
      <c r="E31" s="17">
        <v>67500</v>
      </c>
      <c r="F31" s="17">
        <f t="shared" si="0"/>
        <v>33692</v>
      </c>
      <c r="G31" s="348" t="s">
        <v>1569</v>
      </c>
    </row>
    <row r="32" ht="31.5" spans="1:6">
      <c r="A32" s="18" t="s">
        <v>515</v>
      </c>
      <c r="B32" s="17" t="s">
        <v>1570</v>
      </c>
      <c r="C32" s="71" t="s">
        <v>1571</v>
      </c>
      <c r="D32" s="17"/>
      <c r="E32" s="17">
        <v>13860</v>
      </c>
      <c r="F32" s="17">
        <f t="shared" si="0"/>
        <v>47552</v>
      </c>
    </row>
    <row r="33" ht="63" spans="1:6">
      <c r="A33" s="18" t="s">
        <v>328</v>
      </c>
      <c r="B33" s="17" t="s">
        <v>1572</v>
      </c>
      <c r="C33" s="71" t="s">
        <v>1573</v>
      </c>
      <c r="D33" s="17"/>
      <c r="E33" s="17">
        <v>18395</v>
      </c>
      <c r="F33" s="17">
        <f t="shared" si="0"/>
        <v>65947</v>
      </c>
    </row>
    <row r="34" ht="31.5" spans="1:6">
      <c r="A34" s="18" t="s">
        <v>520</v>
      </c>
      <c r="B34" s="17" t="s">
        <v>1574</v>
      </c>
      <c r="C34" s="71" t="s">
        <v>1575</v>
      </c>
      <c r="D34" s="17"/>
      <c r="E34" s="17">
        <v>6880</v>
      </c>
      <c r="F34" s="17">
        <f t="shared" si="0"/>
        <v>72827</v>
      </c>
    </row>
    <row r="35" ht="15.75" spans="1:6">
      <c r="A35" s="18" t="s">
        <v>520</v>
      </c>
      <c r="B35" s="17"/>
      <c r="C35" s="71" t="s">
        <v>101</v>
      </c>
      <c r="D35" s="17">
        <v>3000</v>
      </c>
      <c r="E35" s="17"/>
      <c r="F35" s="17">
        <f t="shared" si="0"/>
        <v>69827</v>
      </c>
    </row>
    <row r="36" ht="31.5" spans="1:6">
      <c r="A36" s="18" t="s">
        <v>1576</v>
      </c>
      <c r="B36" s="17"/>
      <c r="C36" s="71" t="s">
        <v>1577</v>
      </c>
      <c r="D36" s="17">
        <v>10000</v>
      </c>
      <c r="E36" s="17"/>
      <c r="F36" s="17">
        <f t="shared" si="0"/>
        <v>59827</v>
      </c>
    </row>
    <row r="37" ht="15.75" spans="1:6">
      <c r="A37" s="18" t="s">
        <v>528</v>
      </c>
      <c r="B37" s="17"/>
      <c r="C37" s="71" t="s">
        <v>101</v>
      </c>
      <c r="D37" s="17">
        <v>10000</v>
      </c>
      <c r="E37" s="17"/>
      <c r="F37" s="17">
        <f t="shared" si="0"/>
        <v>49827</v>
      </c>
    </row>
    <row r="38" ht="15.75" spans="1:6">
      <c r="A38" s="18" t="s">
        <v>531</v>
      </c>
      <c r="B38" s="17" t="s">
        <v>1578</v>
      </c>
      <c r="C38" s="71" t="s">
        <v>1579</v>
      </c>
      <c r="D38" s="17"/>
      <c r="E38" s="17">
        <v>3000</v>
      </c>
      <c r="F38" s="17">
        <f t="shared" si="0"/>
        <v>52827</v>
      </c>
    </row>
    <row r="39" ht="31.5" spans="1:6">
      <c r="A39" s="18" t="s">
        <v>1580</v>
      </c>
      <c r="B39" s="17" t="s">
        <v>1581</v>
      </c>
      <c r="C39" s="71" t="s">
        <v>1582</v>
      </c>
      <c r="D39" s="17"/>
      <c r="E39" s="17">
        <v>8750</v>
      </c>
      <c r="F39" s="17">
        <f t="shared" si="0"/>
        <v>61577</v>
      </c>
    </row>
    <row r="40" ht="15.75" spans="1:6">
      <c r="A40" s="18" t="s">
        <v>537</v>
      </c>
      <c r="B40" s="17" t="s">
        <v>1583</v>
      </c>
      <c r="C40" s="71" t="s">
        <v>1584</v>
      </c>
      <c r="D40" s="17"/>
      <c r="E40" s="17">
        <v>2890</v>
      </c>
      <c r="F40" s="17">
        <f t="shared" si="0"/>
        <v>64467</v>
      </c>
    </row>
    <row r="41" ht="31.5" spans="1:6">
      <c r="A41" s="347" t="s">
        <v>537</v>
      </c>
      <c r="B41" s="17" t="s">
        <v>1585</v>
      </c>
      <c r="C41" s="71" t="s">
        <v>1586</v>
      </c>
      <c r="D41" s="17"/>
      <c r="E41" s="17">
        <v>4100</v>
      </c>
      <c r="F41" s="17">
        <f t="shared" si="0"/>
        <v>68567</v>
      </c>
    </row>
    <row r="42" ht="15.75" spans="1:6">
      <c r="A42" s="18" t="s">
        <v>1587</v>
      </c>
      <c r="B42" s="17"/>
      <c r="C42" s="71" t="s">
        <v>101</v>
      </c>
      <c r="D42" s="17">
        <v>10000</v>
      </c>
      <c r="E42" s="17"/>
      <c r="F42" s="17">
        <f t="shared" si="0"/>
        <v>58567</v>
      </c>
    </row>
    <row r="43" ht="31.5" spans="1:6">
      <c r="A43" s="18">
        <v>45694</v>
      </c>
      <c r="B43" s="17" t="s">
        <v>1588</v>
      </c>
      <c r="C43" s="71" t="s">
        <v>1589</v>
      </c>
      <c r="D43" s="17"/>
      <c r="E43" s="17">
        <v>5925</v>
      </c>
      <c r="F43" s="17">
        <f t="shared" si="0"/>
        <v>64492</v>
      </c>
    </row>
    <row r="44" ht="15.75" spans="1:6">
      <c r="A44" s="18">
        <v>45997</v>
      </c>
      <c r="B44" s="17" t="s">
        <v>1590</v>
      </c>
      <c r="C44" s="71" t="s">
        <v>1591</v>
      </c>
      <c r="D44" s="17"/>
      <c r="E44" s="17">
        <v>1500</v>
      </c>
      <c r="F44" s="17">
        <f t="shared" si="0"/>
        <v>65992</v>
      </c>
    </row>
    <row r="45" ht="31.5" spans="1:6">
      <c r="A45" s="18">
        <v>45997</v>
      </c>
      <c r="B45" s="17" t="s">
        <v>1592</v>
      </c>
      <c r="C45" s="71" t="s">
        <v>1593</v>
      </c>
      <c r="D45" s="17"/>
      <c r="E45" s="17">
        <v>7074</v>
      </c>
      <c r="F45" s="17">
        <f t="shared" si="0"/>
        <v>73066</v>
      </c>
    </row>
    <row r="46" ht="15.75" spans="1:6">
      <c r="A46" s="18">
        <v>45997</v>
      </c>
      <c r="B46" s="17"/>
      <c r="C46" s="71" t="s">
        <v>101</v>
      </c>
      <c r="D46" s="17">
        <v>20000</v>
      </c>
      <c r="E46" s="17"/>
      <c r="F46" s="17">
        <f t="shared" si="0"/>
        <v>53066</v>
      </c>
    </row>
    <row r="47" ht="15.75" spans="1:6">
      <c r="A47" s="18" t="s">
        <v>1173</v>
      </c>
      <c r="B47" s="17"/>
      <c r="C47" s="71" t="s">
        <v>101</v>
      </c>
      <c r="D47" s="17">
        <v>9000</v>
      </c>
      <c r="E47" s="17"/>
      <c r="F47" s="17">
        <f t="shared" si="0"/>
        <v>44066</v>
      </c>
    </row>
    <row r="48" ht="15.75" spans="1:6">
      <c r="A48" s="18" t="s">
        <v>1594</v>
      </c>
      <c r="B48" s="17"/>
      <c r="C48" s="71" t="s">
        <v>101</v>
      </c>
      <c r="D48" s="17">
        <v>4000</v>
      </c>
      <c r="E48" s="17"/>
      <c r="F48" s="17">
        <f t="shared" si="0"/>
        <v>40066</v>
      </c>
    </row>
    <row r="49" ht="15.75" spans="1:6">
      <c r="A49" s="18" t="s">
        <v>1180</v>
      </c>
      <c r="B49" s="17" t="s">
        <v>1595</v>
      </c>
      <c r="C49" s="71" t="s">
        <v>140</v>
      </c>
      <c r="D49" s="17"/>
      <c r="E49" s="17">
        <v>300</v>
      </c>
      <c r="F49" s="17">
        <f t="shared" si="0"/>
        <v>40366</v>
      </c>
    </row>
    <row r="50" ht="15.75" spans="1:6">
      <c r="A50" s="18" t="s">
        <v>1183</v>
      </c>
      <c r="B50" s="17" t="s">
        <v>1596</v>
      </c>
      <c r="C50" s="71" t="s">
        <v>140</v>
      </c>
      <c r="D50" s="17"/>
      <c r="E50" s="17">
        <v>7080</v>
      </c>
      <c r="F50" s="17">
        <f t="shared" si="0"/>
        <v>47446</v>
      </c>
    </row>
    <row r="51" ht="15.75" spans="1:6">
      <c r="A51" s="18" t="s">
        <v>1597</v>
      </c>
      <c r="B51" s="17"/>
      <c r="C51" s="71" t="s">
        <v>101</v>
      </c>
      <c r="D51" s="17">
        <v>7000</v>
      </c>
      <c r="E51" s="17"/>
      <c r="F51" s="17">
        <f t="shared" si="0"/>
        <v>40446</v>
      </c>
    </row>
    <row r="52" ht="47.25" spans="1:6">
      <c r="A52" s="18" t="s">
        <v>1598</v>
      </c>
      <c r="B52" s="17" t="s">
        <v>1599</v>
      </c>
      <c r="C52" s="71" t="s">
        <v>1600</v>
      </c>
      <c r="D52" s="17"/>
      <c r="E52" s="17">
        <v>8137</v>
      </c>
      <c r="F52" s="17">
        <f t="shared" si="0"/>
        <v>48583</v>
      </c>
    </row>
    <row r="53" ht="15.75" spans="1:6">
      <c r="A53" s="18" t="s">
        <v>1601</v>
      </c>
      <c r="B53" s="17" t="s">
        <v>1602</v>
      </c>
      <c r="C53" s="71" t="s">
        <v>1603</v>
      </c>
      <c r="D53" s="17"/>
      <c r="E53" s="17">
        <v>1800</v>
      </c>
      <c r="F53" s="17">
        <f t="shared" si="0"/>
        <v>50383</v>
      </c>
    </row>
    <row r="54" ht="15.75" spans="1:6">
      <c r="A54" s="18">
        <v>45846</v>
      </c>
      <c r="B54" s="17" t="s">
        <v>1604</v>
      </c>
      <c r="C54" s="71" t="s">
        <v>1605</v>
      </c>
      <c r="D54" s="17"/>
      <c r="E54" s="17">
        <v>337</v>
      </c>
      <c r="F54" s="17">
        <f t="shared" si="0"/>
        <v>50720</v>
      </c>
    </row>
    <row r="55" ht="15.75" spans="1:6">
      <c r="A55" s="18" t="s">
        <v>547</v>
      </c>
      <c r="B55" s="17" t="s">
        <v>1606</v>
      </c>
      <c r="C55" s="71" t="s">
        <v>1607</v>
      </c>
      <c r="D55" s="17"/>
      <c r="E55" s="17">
        <v>218</v>
      </c>
      <c r="F55" s="17">
        <f t="shared" si="0"/>
        <v>50938</v>
      </c>
    </row>
    <row r="56" ht="15.75" spans="1:6">
      <c r="A56" s="18">
        <v>45999</v>
      </c>
      <c r="B56" s="17" t="s">
        <v>1608</v>
      </c>
      <c r="C56" s="71" t="s">
        <v>313</v>
      </c>
      <c r="D56" s="17">
        <v>5725</v>
      </c>
      <c r="E56" s="17"/>
      <c r="F56" s="17">
        <f t="shared" si="0"/>
        <v>45213</v>
      </c>
    </row>
    <row r="57" ht="15.75" spans="1:6">
      <c r="A57" s="18" t="s">
        <v>1609</v>
      </c>
      <c r="B57" s="17" t="s">
        <v>1610</v>
      </c>
      <c r="C57" s="71" t="s">
        <v>1611</v>
      </c>
      <c r="D57" s="17"/>
      <c r="E57" s="17">
        <v>1274</v>
      </c>
      <c r="F57" s="17">
        <f t="shared" si="0"/>
        <v>46487</v>
      </c>
    </row>
    <row r="58" ht="15.75" spans="1:6">
      <c r="A58" s="18" t="s">
        <v>1612</v>
      </c>
      <c r="B58" s="17" t="s">
        <v>1608</v>
      </c>
      <c r="C58" s="71" t="s">
        <v>313</v>
      </c>
      <c r="D58" s="17">
        <v>1000</v>
      </c>
      <c r="E58" s="17"/>
      <c r="F58" s="17">
        <f t="shared" si="0"/>
        <v>45487</v>
      </c>
    </row>
    <row r="59" ht="15.75" spans="1:6">
      <c r="A59" s="18" t="s">
        <v>1510</v>
      </c>
      <c r="B59" s="17" t="s">
        <v>1613</v>
      </c>
      <c r="C59" s="71" t="s">
        <v>1614</v>
      </c>
      <c r="D59" s="17"/>
      <c r="E59" s="17">
        <v>1050</v>
      </c>
      <c r="F59" s="17">
        <f t="shared" si="0"/>
        <v>46537</v>
      </c>
    </row>
    <row r="60" ht="15.75" spans="1:6">
      <c r="A60" s="17" t="s">
        <v>1513</v>
      </c>
      <c r="B60" s="17" t="s">
        <v>1615</v>
      </c>
      <c r="C60" s="17" t="s">
        <v>1616</v>
      </c>
      <c r="D60" s="17"/>
      <c r="E60" s="19">
        <v>13498</v>
      </c>
      <c r="F60" s="17">
        <f t="shared" si="0"/>
        <v>60035</v>
      </c>
    </row>
    <row r="61" ht="15.75" spans="1:8">
      <c r="A61" s="17" t="s">
        <v>549</v>
      </c>
      <c r="B61" s="17" t="s">
        <v>1617</v>
      </c>
      <c r="C61" s="17" t="s">
        <v>1616</v>
      </c>
      <c r="D61" s="17"/>
      <c r="E61" s="19">
        <v>3027</v>
      </c>
      <c r="F61" s="17">
        <f t="shared" si="0"/>
        <v>63062</v>
      </c>
      <c r="H61" s="239"/>
    </row>
    <row r="62" ht="15.75" spans="1:6">
      <c r="A62" s="17" t="s">
        <v>1618</v>
      </c>
      <c r="B62" s="17" t="s">
        <v>1619</v>
      </c>
      <c r="C62" s="17" t="s">
        <v>1620</v>
      </c>
      <c r="D62" s="17"/>
      <c r="E62" s="19">
        <v>1970</v>
      </c>
      <c r="F62" s="17">
        <f t="shared" si="0"/>
        <v>65032</v>
      </c>
    </row>
    <row r="63" ht="15.75" spans="1:6">
      <c r="A63" s="17" t="s">
        <v>1621</v>
      </c>
      <c r="B63" s="17"/>
      <c r="C63" s="17" t="s">
        <v>1622</v>
      </c>
      <c r="D63" s="17">
        <v>35000</v>
      </c>
      <c r="E63" s="19"/>
      <c r="F63" s="17">
        <f t="shared" si="0"/>
        <v>30032</v>
      </c>
    </row>
    <row r="64" ht="15.75" spans="1:6">
      <c r="A64" s="17"/>
      <c r="B64" s="17"/>
      <c r="C64" s="17"/>
      <c r="D64" s="17"/>
      <c r="E64" s="19"/>
      <c r="F64" s="17">
        <f t="shared" si="0"/>
        <v>30032</v>
      </c>
    </row>
    <row r="65" ht="15.75" spans="1:6">
      <c r="A65" s="17"/>
      <c r="B65" s="17"/>
      <c r="C65" s="17"/>
      <c r="D65" s="17"/>
      <c r="E65" s="19"/>
      <c r="F65" s="17">
        <f t="shared" si="0"/>
        <v>30032</v>
      </c>
    </row>
    <row r="66" ht="15.75" spans="1:6">
      <c r="A66" s="17"/>
      <c r="B66" s="17"/>
      <c r="C66" s="17"/>
      <c r="D66" s="17"/>
      <c r="E66" s="19"/>
      <c r="F66" s="17">
        <f t="shared" si="0"/>
        <v>30032</v>
      </c>
    </row>
    <row r="67" ht="15.75" spans="1:6">
      <c r="A67" s="17"/>
      <c r="B67" s="17"/>
      <c r="C67" s="17"/>
      <c r="D67" s="17"/>
      <c r="E67" s="19"/>
      <c r="F67" s="17">
        <f t="shared" si="0"/>
        <v>30032</v>
      </c>
    </row>
    <row r="68" ht="15.75" spans="1:6">
      <c r="A68" s="17"/>
      <c r="B68" s="17"/>
      <c r="C68" s="17"/>
      <c r="D68" s="17"/>
      <c r="E68" s="19"/>
      <c r="F68" s="17">
        <f t="shared" si="0"/>
        <v>30032</v>
      </c>
    </row>
    <row r="69" ht="15.75" spans="1:6">
      <c r="A69" s="17"/>
      <c r="B69" s="17"/>
      <c r="C69" s="17"/>
      <c r="D69" s="17"/>
      <c r="E69" s="19"/>
      <c r="F69" s="17">
        <f t="shared" si="0"/>
        <v>30032</v>
      </c>
    </row>
    <row r="70" ht="15.75" spans="1:6">
      <c r="A70" s="17"/>
      <c r="B70" s="17"/>
      <c r="C70" s="17"/>
      <c r="D70" s="17"/>
      <c r="E70" s="19"/>
      <c r="F70" s="17">
        <f t="shared" si="0"/>
        <v>30032</v>
      </c>
    </row>
    <row r="71" ht="18.75" spans="1:6">
      <c r="A71" s="7" t="s">
        <v>303</v>
      </c>
      <c r="B71" s="8"/>
      <c r="C71" s="8"/>
      <c r="D71" s="8"/>
      <c r="E71" s="9"/>
      <c r="F71" s="17">
        <f t="shared" si="0"/>
        <v>30032</v>
      </c>
    </row>
  </sheetData>
  <mergeCells count="6">
    <mergeCell ref="A3:C3"/>
    <mergeCell ref="D3:F3"/>
    <mergeCell ref="A4:B4"/>
    <mergeCell ref="C4:F4"/>
    <mergeCell ref="A71:E71"/>
    <mergeCell ref="A1:F2"/>
  </mergeCells>
  <printOptions horizontalCentered="1" verticalCentered="1"/>
  <pageMargins left="0.7" right="0.7" top="0.75" bottom="0.75" header="0.3" footer="0.3"/>
  <pageSetup paperSize="9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F58"/>
  <sheetViews>
    <sheetView zoomScale="80" zoomScaleNormal="80" topLeftCell="A44" workbookViewId="0">
      <selection activeCell="B50" sqref="B50"/>
    </sheetView>
  </sheetViews>
  <sheetFormatPr defaultColWidth="9" defaultRowHeight="15" outlineLevelCol="5"/>
  <cols>
    <col min="1" max="2" width="11.7142857142857" customWidth="1"/>
    <col min="3" max="3" width="24.8571428571429" customWidth="1"/>
    <col min="4" max="4" width="12.2857142857143" customWidth="1"/>
    <col min="5" max="5" width="13.8571428571429" customWidth="1"/>
    <col min="6" max="6" width="11.2857142857143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70</v>
      </c>
      <c r="E3" s="11"/>
      <c r="F3" s="12"/>
    </row>
    <row r="4" ht="22.5" customHeight="1" spans="1:6">
      <c r="A4" s="13" t="s">
        <v>84</v>
      </c>
      <c r="B4" s="13"/>
      <c r="C4" s="14" t="s">
        <v>1623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45505</v>
      </c>
      <c r="B6" s="17"/>
      <c r="C6" s="17" t="s">
        <v>1168</v>
      </c>
      <c r="D6" s="17"/>
      <c r="E6" s="17">
        <v>6160</v>
      </c>
      <c r="F6" s="17">
        <f>E6-D6</f>
        <v>6160</v>
      </c>
    </row>
    <row r="7" ht="15.75" spans="1:6">
      <c r="A7" s="18" t="s">
        <v>1624</v>
      </c>
      <c r="B7" s="17" t="s">
        <v>1625</v>
      </c>
      <c r="C7" s="17" t="s">
        <v>1626</v>
      </c>
      <c r="D7" s="17"/>
      <c r="E7" s="17">
        <v>1260</v>
      </c>
      <c r="F7" s="17">
        <f>F6-D7+E7</f>
        <v>7420</v>
      </c>
    </row>
    <row r="8" ht="15.75" spans="1:6">
      <c r="A8" s="17" t="s">
        <v>1216</v>
      </c>
      <c r="B8" s="17"/>
      <c r="C8" s="17" t="s">
        <v>101</v>
      </c>
      <c r="D8" s="17">
        <v>5000</v>
      </c>
      <c r="E8" s="17"/>
      <c r="F8" s="17">
        <f t="shared" ref="F8:F48" si="0">F7-D8+E8</f>
        <v>2420</v>
      </c>
    </row>
    <row r="9" ht="15.75" spans="1:6">
      <c r="A9" s="17" t="s">
        <v>1230</v>
      </c>
      <c r="B9" s="17" t="s">
        <v>1627</v>
      </c>
      <c r="C9" s="17" t="s">
        <v>1628</v>
      </c>
      <c r="D9" s="17"/>
      <c r="E9" s="17">
        <v>360</v>
      </c>
      <c r="F9" s="17">
        <f t="shared" si="0"/>
        <v>2780</v>
      </c>
    </row>
    <row r="10" ht="15.75" spans="1:6">
      <c r="A10" s="18">
        <v>45353</v>
      </c>
      <c r="B10" s="17" t="s">
        <v>1629</v>
      </c>
      <c r="C10" s="17" t="s">
        <v>1628</v>
      </c>
      <c r="D10" s="17"/>
      <c r="E10" s="17">
        <v>180</v>
      </c>
      <c r="F10" s="17">
        <f t="shared" si="0"/>
        <v>2960</v>
      </c>
    </row>
    <row r="11" ht="15.75" spans="1:6">
      <c r="A11" s="18">
        <v>45445</v>
      </c>
      <c r="B11" s="17" t="s">
        <v>1630</v>
      </c>
      <c r="C11" s="17" t="s">
        <v>1628</v>
      </c>
      <c r="D11" s="17"/>
      <c r="E11" s="17">
        <v>180</v>
      </c>
      <c r="F11" s="17">
        <f t="shared" si="0"/>
        <v>3140</v>
      </c>
    </row>
    <row r="12" ht="15.75" spans="1:6">
      <c r="A12" s="18" t="s">
        <v>1631</v>
      </c>
      <c r="B12" s="17" t="s">
        <v>1632</v>
      </c>
      <c r="C12" s="17" t="s">
        <v>1628</v>
      </c>
      <c r="D12" s="17"/>
      <c r="E12" s="17">
        <v>200</v>
      </c>
      <c r="F12" s="17">
        <f t="shared" si="0"/>
        <v>3340</v>
      </c>
    </row>
    <row r="13" ht="15.75" spans="1:6">
      <c r="A13" s="17" t="s">
        <v>566</v>
      </c>
      <c r="B13" s="17" t="s">
        <v>1633</v>
      </c>
      <c r="C13" s="17" t="s">
        <v>1634</v>
      </c>
      <c r="D13" s="17"/>
      <c r="E13" s="17">
        <v>80</v>
      </c>
      <c r="F13" s="17">
        <f t="shared" si="0"/>
        <v>3420</v>
      </c>
    </row>
    <row r="14" ht="15.75" spans="1:6">
      <c r="A14" s="17" t="s">
        <v>1635</v>
      </c>
      <c r="B14" s="17" t="s">
        <v>1636</v>
      </c>
      <c r="C14" s="17" t="s">
        <v>1637</v>
      </c>
      <c r="D14" s="17"/>
      <c r="E14" s="17">
        <v>180</v>
      </c>
      <c r="F14" s="17">
        <f t="shared" si="0"/>
        <v>3600</v>
      </c>
    </row>
    <row r="15" ht="15.75" spans="1:6">
      <c r="A15" s="18" t="s">
        <v>1638</v>
      </c>
      <c r="B15" s="17" t="s">
        <v>1639</v>
      </c>
      <c r="C15" s="17" t="s">
        <v>1637</v>
      </c>
      <c r="D15" s="17"/>
      <c r="E15" s="17">
        <v>180</v>
      </c>
      <c r="F15" s="17">
        <f t="shared" si="0"/>
        <v>3780</v>
      </c>
    </row>
    <row r="16" ht="15.75" spans="1:6">
      <c r="A16" s="18">
        <v>45385</v>
      </c>
      <c r="B16" s="17" t="s">
        <v>1640</v>
      </c>
      <c r="C16" s="17" t="s">
        <v>1637</v>
      </c>
      <c r="D16" s="17"/>
      <c r="E16" s="17">
        <v>180</v>
      </c>
      <c r="F16" s="17">
        <f t="shared" si="0"/>
        <v>3960</v>
      </c>
    </row>
    <row r="17" ht="15.75" spans="1:6">
      <c r="A17" s="18">
        <v>45476</v>
      </c>
      <c r="B17" s="17" t="s">
        <v>1641</v>
      </c>
      <c r="C17" s="17" t="s">
        <v>1637</v>
      </c>
      <c r="D17" s="17"/>
      <c r="E17" s="17">
        <v>180</v>
      </c>
      <c r="F17" s="17">
        <f t="shared" si="0"/>
        <v>4140</v>
      </c>
    </row>
    <row r="18" ht="15.75" spans="1:6">
      <c r="A18" s="18" t="s">
        <v>1642</v>
      </c>
      <c r="B18" s="17" t="s">
        <v>1643</v>
      </c>
      <c r="C18" s="17" t="s">
        <v>1644</v>
      </c>
      <c r="D18" s="17"/>
      <c r="E18" s="17">
        <v>1520</v>
      </c>
      <c r="F18" s="17">
        <f t="shared" si="0"/>
        <v>5660</v>
      </c>
    </row>
    <row r="19" ht="15.75" spans="1:6">
      <c r="A19" s="18" t="s">
        <v>748</v>
      </c>
      <c r="B19" s="17" t="s">
        <v>1645</v>
      </c>
      <c r="C19" s="17" t="s">
        <v>1646</v>
      </c>
      <c r="D19" s="17"/>
      <c r="E19" s="17">
        <v>180</v>
      </c>
      <c r="F19" s="17">
        <f t="shared" si="0"/>
        <v>5840</v>
      </c>
    </row>
    <row r="20" ht="15.75" spans="1:6">
      <c r="A20" s="18">
        <v>45295</v>
      </c>
      <c r="B20" s="17" t="s">
        <v>1647</v>
      </c>
      <c r="C20" s="17" t="s">
        <v>1648</v>
      </c>
      <c r="D20" s="17"/>
      <c r="E20" s="17">
        <v>1500</v>
      </c>
      <c r="F20" s="17">
        <f t="shared" si="0"/>
        <v>7340</v>
      </c>
    </row>
    <row r="21" ht="15.75" spans="1:6">
      <c r="A21" s="18">
        <v>45326</v>
      </c>
      <c r="B21" s="17" t="s">
        <v>253</v>
      </c>
      <c r="C21" s="17" t="s">
        <v>1649</v>
      </c>
      <c r="D21" s="17">
        <v>5000</v>
      </c>
      <c r="E21" s="17"/>
      <c r="F21" s="17">
        <f t="shared" si="0"/>
        <v>2340</v>
      </c>
    </row>
    <row r="22" ht="15.75" spans="1:6">
      <c r="A22" s="18">
        <v>45326</v>
      </c>
      <c r="B22" s="17" t="s">
        <v>1650</v>
      </c>
      <c r="C22" s="17" t="s">
        <v>1637</v>
      </c>
      <c r="D22" s="17"/>
      <c r="E22" s="17">
        <v>180</v>
      </c>
      <c r="F22" s="17">
        <f t="shared" si="0"/>
        <v>2520</v>
      </c>
    </row>
    <row r="23" ht="15.75" spans="1:6">
      <c r="A23" s="18">
        <v>45326</v>
      </c>
      <c r="B23" s="17" t="s">
        <v>1651</v>
      </c>
      <c r="C23" s="17" t="s">
        <v>1652</v>
      </c>
      <c r="D23" s="17"/>
      <c r="E23" s="17">
        <v>1500</v>
      </c>
      <c r="F23" s="17">
        <f t="shared" si="0"/>
        <v>4020</v>
      </c>
    </row>
    <row r="24" ht="15.75" spans="1:6">
      <c r="A24" s="18">
        <v>45416</v>
      </c>
      <c r="B24" s="17" t="s">
        <v>1653</v>
      </c>
      <c r="C24" s="17" t="s">
        <v>1654</v>
      </c>
      <c r="D24" s="17"/>
      <c r="E24" s="17">
        <v>2025</v>
      </c>
      <c r="F24" s="17">
        <f t="shared" si="0"/>
        <v>6045</v>
      </c>
    </row>
    <row r="25" ht="15.75" spans="1:6">
      <c r="A25" s="18">
        <v>45601</v>
      </c>
      <c r="B25" s="17" t="s">
        <v>1655</v>
      </c>
      <c r="C25" s="17" t="s">
        <v>1628</v>
      </c>
      <c r="D25" s="17"/>
      <c r="E25" s="17">
        <v>180</v>
      </c>
      <c r="F25" s="17">
        <f t="shared" si="0"/>
        <v>6225</v>
      </c>
    </row>
    <row r="26" ht="15.75" spans="1:6">
      <c r="A26" s="18">
        <v>45571</v>
      </c>
      <c r="B26" s="17" t="s">
        <v>1656</v>
      </c>
      <c r="C26" s="17" t="s">
        <v>1648</v>
      </c>
      <c r="D26" s="17"/>
      <c r="E26" s="17">
        <v>1500</v>
      </c>
      <c r="F26" s="17">
        <f t="shared" si="0"/>
        <v>7725</v>
      </c>
    </row>
    <row r="27" ht="15.75" spans="1:6">
      <c r="A27" s="18">
        <v>45450</v>
      </c>
      <c r="B27" s="17"/>
      <c r="C27" s="17" t="s">
        <v>101</v>
      </c>
      <c r="D27" s="17">
        <v>5000</v>
      </c>
      <c r="E27" s="17"/>
      <c r="F27" s="17">
        <f t="shared" si="0"/>
        <v>2725</v>
      </c>
    </row>
    <row r="28" ht="15.75" spans="1:6">
      <c r="A28" s="17" t="s">
        <v>572</v>
      </c>
      <c r="B28" s="17" t="s">
        <v>1657</v>
      </c>
      <c r="C28" s="17" t="s">
        <v>831</v>
      </c>
      <c r="D28" s="17"/>
      <c r="E28" s="17">
        <v>1500</v>
      </c>
      <c r="F28" s="17">
        <f t="shared" si="0"/>
        <v>4225</v>
      </c>
    </row>
    <row r="29" ht="15.75" spans="1:6">
      <c r="A29" s="75">
        <v>45573</v>
      </c>
      <c r="B29" s="17" t="s">
        <v>1658</v>
      </c>
      <c r="C29" s="72" t="s">
        <v>831</v>
      </c>
      <c r="D29" s="17"/>
      <c r="E29" s="19">
        <v>1500</v>
      </c>
      <c r="F29" s="17">
        <f t="shared" si="0"/>
        <v>5725</v>
      </c>
    </row>
    <row r="30" ht="15.75" spans="1:6">
      <c r="A30" s="75">
        <v>45360</v>
      </c>
      <c r="B30" s="17" t="s">
        <v>1659</v>
      </c>
      <c r="C30" s="72" t="s">
        <v>1660</v>
      </c>
      <c r="D30" s="17"/>
      <c r="E30" s="19">
        <v>1500</v>
      </c>
      <c r="F30" s="17">
        <f t="shared" si="0"/>
        <v>7225</v>
      </c>
    </row>
    <row r="31" ht="15.75" spans="1:6">
      <c r="A31" s="75">
        <v>45513</v>
      </c>
      <c r="B31" s="17" t="s">
        <v>1661</v>
      </c>
      <c r="C31" s="72" t="s">
        <v>1662</v>
      </c>
      <c r="D31" s="17"/>
      <c r="E31" s="19">
        <v>500</v>
      </c>
      <c r="F31" s="17">
        <f t="shared" si="0"/>
        <v>7725</v>
      </c>
    </row>
    <row r="32" ht="15.75" spans="1:6">
      <c r="A32" s="73" t="s">
        <v>1663</v>
      </c>
      <c r="B32" s="17" t="s">
        <v>1664</v>
      </c>
      <c r="C32" s="72" t="s">
        <v>1660</v>
      </c>
      <c r="D32" s="17"/>
      <c r="E32" s="19">
        <v>1540</v>
      </c>
      <c r="F32" s="17">
        <f t="shared" si="0"/>
        <v>9265</v>
      </c>
    </row>
    <row r="33" ht="15.75" spans="1:6">
      <c r="A33" s="73" t="s">
        <v>1494</v>
      </c>
      <c r="B33" s="17" t="s">
        <v>1665</v>
      </c>
      <c r="C33" s="72" t="s">
        <v>1666</v>
      </c>
      <c r="D33" s="17"/>
      <c r="E33" s="19">
        <v>5400</v>
      </c>
      <c r="F33" s="17">
        <f t="shared" si="0"/>
        <v>14665</v>
      </c>
    </row>
    <row r="34" ht="15.75" spans="1:6">
      <c r="A34" s="73" t="s">
        <v>1101</v>
      </c>
      <c r="B34" s="17"/>
      <c r="C34" s="72" t="s">
        <v>694</v>
      </c>
      <c r="D34" s="17">
        <v>5000</v>
      </c>
      <c r="E34" s="19"/>
      <c r="F34" s="17">
        <f t="shared" si="0"/>
        <v>9665</v>
      </c>
    </row>
    <row r="35" ht="15.75" spans="1:6">
      <c r="A35" s="73" t="s">
        <v>1153</v>
      </c>
      <c r="B35" s="17" t="s">
        <v>1667</v>
      </c>
      <c r="C35" s="72" t="s">
        <v>831</v>
      </c>
      <c r="D35" s="17"/>
      <c r="E35" s="19">
        <v>1500</v>
      </c>
      <c r="F35" s="17">
        <f t="shared" si="0"/>
        <v>11165</v>
      </c>
    </row>
    <row r="36" ht="15.75" spans="1:6">
      <c r="A36" s="73" t="s">
        <v>1668</v>
      </c>
      <c r="B36" s="17"/>
      <c r="C36" s="72" t="s">
        <v>101</v>
      </c>
      <c r="D36" s="17">
        <v>6000</v>
      </c>
      <c r="E36" s="19"/>
      <c r="F36" s="17">
        <f t="shared" si="0"/>
        <v>5165</v>
      </c>
    </row>
    <row r="37" ht="15.75" spans="1:6">
      <c r="A37" s="75">
        <v>45660</v>
      </c>
      <c r="B37" s="17" t="s">
        <v>1669</v>
      </c>
      <c r="C37" s="72" t="s">
        <v>1670</v>
      </c>
      <c r="D37" s="17"/>
      <c r="E37" s="19">
        <v>1900</v>
      </c>
      <c r="F37" s="17">
        <f t="shared" si="0"/>
        <v>7065</v>
      </c>
    </row>
    <row r="38" ht="31.5" spans="1:6">
      <c r="A38" s="73"/>
      <c r="B38" s="17"/>
      <c r="C38" s="74" t="s">
        <v>1671</v>
      </c>
      <c r="D38" s="17"/>
      <c r="E38" s="19">
        <v>1440</v>
      </c>
      <c r="F38" s="17">
        <f t="shared" si="0"/>
        <v>8505</v>
      </c>
    </row>
    <row r="39" ht="31.5" spans="1:6">
      <c r="A39" s="73" t="s">
        <v>516</v>
      </c>
      <c r="B39" s="17" t="s">
        <v>1672</v>
      </c>
      <c r="C39" s="74" t="s">
        <v>1673</v>
      </c>
      <c r="D39" s="17"/>
      <c r="E39" s="19">
        <v>1800</v>
      </c>
      <c r="F39" s="17">
        <f t="shared" si="0"/>
        <v>10305</v>
      </c>
    </row>
    <row r="40" ht="31.5" spans="1:6">
      <c r="A40" s="73" t="s">
        <v>1309</v>
      </c>
      <c r="B40" s="17" t="s">
        <v>1674</v>
      </c>
      <c r="C40" s="74" t="s">
        <v>1675</v>
      </c>
      <c r="D40" s="17"/>
      <c r="E40" s="19">
        <v>11400</v>
      </c>
      <c r="F40" s="17">
        <f t="shared" si="0"/>
        <v>21705</v>
      </c>
    </row>
    <row r="41" ht="15.75" spans="1:6">
      <c r="A41" s="75">
        <v>45724</v>
      </c>
      <c r="B41" s="17">
        <v>588</v>
      </c>
      <c r="C41" s="74" t="s">
        <v>1676</v>
      </c>
      <c r="D41" s="17"/>
      <c r="E41" s="19">
        <v>800</v>
      </c>
      <c r="F41" s="17">
        <f t="shared" si="0"/>
        <v>22505</v>
      </c>
    </row>
    <row r="42" ht="15.75" spans="1:6">
      <c r="A42" s="75">
        <v>45846</v>
      </c>
      <c r="B42" s="17" t="s">
        <v>1677</v>
      </c>
      <c r="C42" s="74" t="s">
        <v>1678</v>
      </c>
      <c r="D42" s="17"/>
      <c r="E42" s="19">
        <v>1500</v>
      </c>
      <c r="F42" s="17">
        <f t="shared" si="0"/>
        <v>24005</v>
      </c>
    </row>
    <row r="43" ht="15.75" spans="1:6">
      <c r="A43" s="75">
        <v>45969</v>
      </c>
      <c r="B43" s="17" t="s">
        <v>1679</v>
      </c>
      <c r="C43" s="74" t="s">
        <v>1680</v>
      </c>
      <c r="D43" s="17"/>
      <c r="E43" s="19">
        <v>600</v>
      </c>
      <c r="F43" s="17">
        <f t="shared" si="0"/>
        <v>24605</v>
      </c>
    </row>
    <row r="44" ht="15.75" spans="1:6">
      <c r="A44" s="75">
        <v>45817</v>
      </c>
      <c r="B44" s="17" t="s">
        <v>1681</v>
      </c>
      <c r="C44" s="74" t="s">
        <v>1628</v>
      </c>
      <c r="D44" s="17"/>
      <c r="E44" s="19">
        <v>1000</v>
      </c>
      <c r="F44" s="17">
        <f t="shared" si="0"/>
        <v>25605</v>
      </c>
    </row>
    <row r="45" ht="15.75" spans="1:6">
      <c r="A45" s="73" t="s">
        <v>1682</v>
      </c>
      <c r="B45" s="17" t="s">
        <v>1683</v>
      </c>
      <c r="C45" s="74" t="s">
        <v>1684</v>
      </c>
      <c r="D45" s="17"/>
      <c r="E45" s="19">
        <v>1900</v>
      </c>
      <c r="F45" s="17">
        <f t="shared" si="0"/>
        <v>27505</v>
      </c>
    </row>
    <row r="46" ht="15.75" spans="1:6">
      <c r="A46" s="75">
        <v>46055</v>
      </c>
      <c r="B46" s="17" t="s">
        <v>1685</v>
      </c>
      <c r="C46" s="72" t="s">
        <v>1684</v>
      </c>
      <c r="D46" s="17"/>
      <c r="E46" s="19">
        <v>1900</v>
      </c>
      <c r="F46" s="17">
        <f t="shared" si="0"/>
        <v>29405</v>
      </c>
    </row>
    <row r="47" ht="15.75" spans="1:6">
      <c r="A47" s="75" t="s">
        <v>702</v>
      </c>
      <c r="B47" s="17"/>
      <c r="C47" s="72" t="s">
        <v>1686</v>
      </c>
      <c r="D47" s="17">
        <v>10000</v>
      </c>
      <c r="E47" s="19"/>
      <c r="F47" s="17">
        <f t="shared" ref="F47:F58" si="1">F46-D47+E47</f>
        <v>19405</v>
      </c>
    </row>
    <row r="48" ht="15.75" spans="1:6">
      <c r="A48" s="75"/>
      <c r="B48" s="17"/>
      <c r="C48" s="72"/>
      <c r="D48" s="17"/>
      <c r="E48" s="19"/>
      <c r="F48" s="17">
        <f t="shared" si="1"/>
        <v>19405</v>
      </c>
    </row>
    <row r="49" ht="15.75" spans="1:6">
      <c r="A49" s="75"/>
      <c r="B49" s="17"/>
      <c r="C49" s="72"/>
      <c r="D49" s="17"/>
      <c r="E49" s="19"/>
      <c r="F49" s="17">
        <f t="shared" si="1"/>
        <v>19405</v>
      </c>
    </row>
    <row r="50" ht="15.75" spans="1:6">
      <c r="A50" s="75"/>
      <c r="B50" s="17"/>
      <c r="C50" s="72"/>
      <c r="D50" s="17"/>
      <c r="E50" s="19"/>
      <c r="F50" s="17">
        <f t="shared" si="1"/>
        <v>19405</v>
      </c>
    </row>
    <row r="51" ht="15.75" spans="1:6">
      <c r="A51" s="75"/>
      <c r="B51" s="17"/>
      <c r="C51" s="72"/>
      <c r="D51" s="17"/>
      <c r="E51" s="19"/>
      <c r="F51" s="17">
        <f t="shared" si="1"/>
        <v>19405</v>
      </c>
    </row>
    <row r="52" ht="15.75" spans="1:6">
      <c r="A52" s="75"/>
      <c r="B52" s="17"/>
      <c r="C52" s="72"/>
      <c r="D52" s="17"/>
      <c r="E52" s="19"/>
      <c r="F52" s="17">
        <f t="shared" si="1"/>
        <v>19405</v>
      </c>
    </row>
    <row r="53" ht="15.75" spans="1:6">
      <c r="A53" s="75"/>
      <c r="B53" s="17"/>
      <c r="C53" s="72"/>
      <c r="D53" s="17"/>
      <c r="E53" s="19"/>
      <c r="F53" s="17">
        <f t="shared" si="1"/>
        <v>19405</v>
      </c>
    </row>
    <row r="54" ht="15.75" spans="1:6">
      <c r="A54" s="75"/>
      <c r="B54" s="17"/>
      <c r="C54" s="72"/>
      <c r="D54" s="17"/>
      <c r="E54" s="19"/>
      <c r="F54" s="17">
        <f t="shared" si="1"/>
        <v>19405</v>
      </c>
    </row>
    <row r="55" ht="15.75" spans="1:6">
      <c r="A55" s="75"/>
      <c r="B55" s="17"/>
      <c r="C55" s="72"/>
      <c r="D55" s="17"/>
      <c r="E55" s="19"/>
      <c r="F55" s="17">
        <f t="shared" si="1"/>
        <v>19405</v>
      </c>
    </row>
    <row r="56" ht="15.75" spans="1:6">
      <c r="A56" s="75"/>
      <c r="B56" s="17"/>
      <c r="C56" s="72"/>
      <c r="D56" s="17"/>
      <c r="E56" s="19"/>
      <c r="F56" s="17">
        <f t="shared" si="1"/>
        <v>19405</v>
      </c>
    </row>
    <row r="57" ht="15.75" spans="1:6">
      <c r="A57" s="73"/>
      <c r="B57" s="17"/>
      <c r="C57" s="72"/>
      <c r="D57" s="17"/>
      <c r="E57" s="19"/>
      <c r="F57" s="17">
        <f t="shared" si="1"/>
        <v>19405</v>
      </c>
    </row>
    <row r="58" ht="18.75" spans="1:6">
      <c r="A58" s="7" t="s">
        <v>303</v>
      </c>
      <c r="B58" s="8"/>
      <c r="C58" s="8"/>
      <c r="D58" s="8"/>
      <c r="E58" s="9"/>
      <c r="F58" s="17">
        <f t="shared" si="1"/>
        <v>19405</v>
      </c>
    </row>
  </sheetData>
  <mergeCells count="6">
    <mergeCell ref="A3:C3"/>
    <mergeCell ref="D3:F3"/>
    <mergeCell ref="A4:B4"/>
    <mergeCell ref="C4:F4"/>
    <mergeCell ref="A58:E5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F10"/>
  <sheetViews>
    <sheetView workbookViewId="0">
      <selection activeCell="H5" sqref="H5"/>
    </sheetView>
  </sheetViews>
  <sheetFormatPr defaultColWidth="9" defaultRowHeight="15" outlineLevelCol="5"/>
  <cols>
    <col min="1" max="1" width="11.7142857142857" customWidth="1"/>
    <col min="2" max="2" width="8.42857142857143" customWidth="1"/>
    <col min="3" max="3" width="18.1428571428571" customWidth="1"/>
    <col min="4" max="4" width="14" customWidth="1"/>
    <col min="5" max="5" width="16.4285714285714" customWidth="1"/>
    <col min="6" max="6" width="12.4285714285714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1687</v>
      </c>
      <c r="E3" s="11"/>
      <c r="F3" s="12"/>
    </row>
    <row r="4" ht="22.5" customHeight="1" spans="1:6">
      <c r="A4" s="13" t="s">
        <v>84</v>
      </c>
      <c r="B4" s="13"/>
      <c r="C4" s="14" t="s">
        <v>1688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6.5" customHeight="1" spans="1:6">
      <c r="A6" s="18">
        <v>44657</v>
      </c>
      <c r="B6" s="17"/>
      <c r="C6" s="17" t="s">
        <v>305</v>
      </c>
      <c r="D6" s="17"/>
      <c r="E6" s="17"/>
      <c r="F6" s="17">
        <v>266338</v>
      </c>
    </row>
    <row r="7" ht="47.25" spans="1:6">
      <c r="A7" s="17"/>
      <c r="B7" s="17"/>
      <c r="C7" s="71" t="s">
        <v>1689</v>
      </c>
      <c r="D7" s="17">
        <v>35000</v>
      </c>
      <c r="E7" s="17"/>
      <c r="F7" s="17">
        <f>F6-D7+E7</f>
        <v>231338</v>
      </c>
    </row>
    <row r="8" ht="15.75" spans="1:6">
      <c r="A8" s="17"/>
      <c r="B8" s="17"/>
      <c r="C8" s="17"/>
      <c r="D8" s="17"/>
      <c r="E8" s="17"/>
      <c r="F8" s="17">
        <f t="shared" ref="F8:F9" si="0">F7-D8+E8</f>
        <v>231338</v>
      </c>
    </row>
    <row r="9" ht="15.75" spans="1:6">
      <c r="A9" s="17"/>
      <c r="B9" s="17"/>
      <c r="C9" s="17"/>
      <c r="D9" s="17"/>
      <c r="E9" s="17"/>
      <c r="F9" s="17">
        <f t="shared" si="0"/>
        <v>231338</v>
      </c>
    </row>
    <row r="10" ht="18.75" spans="1:6">
      <c r="A10" s="7" t="s">
        <v>303</v>
      </c>
      <c r="B10" s="8"/>
      <c r="C10" s="8"/>
      <c r="D10" s="8"/>
      <c r="E10" s="9"/>
      <c r="F10" s="17">
        <f t="shared" ref="F10" si="1">F9-D10+E10</f>
        <v>231338</v>
      </c>
    </row>
  </sheetData>
  <mergeCells count="6">
    <mergeCell ref="A3:C3"/>
    <mergeCell ref="D3:F3"/>
    <mergeCell ref="A4:B4"/>
    <mergeCell ref="C4:F4"/>
    <mergeCell ref="A10:E10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F11"/>
  <sheetViews>
    <sheetView workbookViewId="0">
      <selection activeCell="E14" sqref="E14"/>
    </sheetView>
  </sheetViews>
  <sheetFormatPr defaultColWidth="9" defaultRowHeight="15" outlineLevelCol="5"/>
  <cols>
    <col min="1" max="1" width="11.7142857142857" customWidth="1"/>
    <col min="2" max="2" width="10" customWidth="1"/>
    <col min="3" max="3" width="24.1428571428571" customWidth="1"/>
    <col min="4" max="4" width="14.4285714285714" customWidth="1"/>
    <col min="5" max="5" width="15.2857142857143" customWidth="1"/>
    <col min="6" max="6" width="11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1690</v>
      </c>
      <c r="E3" s="11"/>
      <c r="F3" s="12"/>
    </row>
    <row r="4" ht="22.5" customHeight="1" spans="1:6">
      <c r="A4" s="13" t="s">
        <v>84</v>
      </c>
      <c r="B4" s="13"/>
      <c r="C4" s="14" t="s">
        <v>1691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7" t="s">
        <v>305</v>
      </c>
      <c r="D6" s="17"/>
      <c r="E6" s="17">
        <v>52000</v>
      </c>
      <c r="F6" s="17">
        <f>E6-D6</f>
        <v>52000</v>
      </c>
    </row>
    <row r="7" ht="15.75" spans="1:6">
      <c r="A7" s="18">
        <v>45510</v>
      </c>
      <c r="B7" s="17" t="s">
        <v>779</v>
      </c>
      <c r="C7" s="17" t="s">
        <v>1692</v>
      </c>
      <c r="D7" s="17">
        <v>23000</v>
      </c>
      <c r="E7" s="17"/>
      <c r="F7" s="17">
        <f>F6-D7+E7</f>
        <v>29000</v>
      </c>
    </row>
    <row r="8" ht="15.75" spans="1:6">
      <c r="A8" s="17" t="s">
        <v>1693</v>
      </c>
      <c r="B8" s="17" t="s">
        <v>1694</v>
      </c>
      <c r="C8" s="17" t="s">
        <v>1695</v>
      </c>
      <c r="D8" s="17"/>
      <c r="E8" s="17">
        <v>40800</v>
      </c>
      <c r="F8" s="17">
        <f t="shared" ref="F8:F11" si="0">F7-D8+E8</f>
        <v>69800</v>
      </c>
    </row>
    <row r="9" ht="15.75" spans="1:6">
      <c r="A9" s="17" t="s">
        <v>300</v>
      </c>
      <c r="B9" s="17"/>
      <c r="C9" s="17" t="s">
        <v>101</v>
      </c>
      <c r="D9" s="17">
        <v>40800</v>
      </c>
      <c r="E9" s="17"/>
      <c r="F9" s="17">
        <f t="shared" si="0"/>
        <v>29000</v>
      </c>
    </row>
    <row r="10" ht="15.75" spans="1:6">
      <c r="A10" s="17"/>
      <c r="B10" s="17"/>
      <c r="C10" s="17"/>
      <c r="D10" s="17"/>
      <c r="E10" s="17"/>
      <c r="F10" s="17">
        <f t="shared" si="0"/>
        <v>29000</v>
      </c>
    </row>
    <row r="11" ht="18.75" spans="1:6">
      <c r="A11" s="7" t="s">
        <v>303</v>
      </c>
      <c r="B11" s="8"/>
      <c r="C11" s="8"/>
      <c r="D11" s="8"/>
      <c r="E11" s="9"/>
      <c r="F11" s="17">
        <f t="shared" si="0"/>
        <v>29000</v>
      </c>
    </row>
  </sheetData>
  <mergeCells count="6">
    <mergeCell ref="A3:C3"/>
    <mergeCell ref="D3:F3"/>
    <mergeCell ref="A4:B4"/>
    <mergeCell ref="C4:F4"/>
    <mergeCell ref="A11:E11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F9"/>
  <sheetViews>
    <sheetView workbookViewId="0">
      <selection activeCell="K15" sqref="K15"/>
    </sheetView>
  </sheetViews>
  <sheetFormatPr defaultColWidth="9" defaultRowHeight="15" outlineLevelCol="5"/>
  <cols>
    <col min="1" max="1" width="11.7142857142857" customWidth="1"/>
    <col min="2" max="2" width="10" customWidth="1"/>
    <col min="3" max="3" width="22.1428571428571" customWidth="1"/>
    <col min="4" max="4" width="14.4285714285714" customWidth="1"/>
    <col min="5" max="5" width="15.2857142857143" customWidth="1"/>
    <col min="6" max="6" width="11.7142857142857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74</v>
      </c>
      <c r="E3" s="11"/>
      <c r="F3" s="12"/>
    </row>
    <row r="4" ht="22.5" customHeight="1" spans="1:6">
      <c r="A4" s="13" t="s">
        <v>84</v>
      </c>
      <c r="B4" s="13"/>
      <c r="C4" s="14" t="s">
        <v>1696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7"/>
      <c r="C6" s="193"/>
      <c r="D6" s="17"/>
      <c r="E6" s="17">
        <v>195000</v>
      </c>
      <c r="F6" s="17">
        <v>195000</v>
      </c>
    </row>
    <row r="7" ht="15.75" spans="1:6">
      <c r="A7" s="17"/>
      <c r="B7" s="17"/>
      <c r="C7" s="17"/>
      <c r="D7" s="17"/>
      <c r="E7" s="17"/>
      <c r="F7" s="17">
        <f t="shared" ref="F7:F8" si="0">E7-D7</f>
        <v>0</v>
      </c>
    </row>
    <row r="8" ht="18.75" spans="1:6">
      <c r="A8" s="344"/>
      <c r="B8" s="345"/>
      <c r="C8" s="345"/>
      <c r="D8" s="345"/>
      <c r="E8" s="346"/>
      <c r="F8" s="17">
        <f t="shared" si="0"/>
        <v>0</v>
      </c>
    </row>
    <row r="9" ht="15.75" spans="6:6">
      <c r="F9" s="17"/>
    </row>
  </sheetData>
  <mergeCells count="6">
    <mergeCell ref="A3:C3"/>
    <mergeCell ref="D3:F3"/>
    <mergeCell ref="A4:B4"/>
    <mergeCell ref="C4:F4"/>
    <mergeCell ref="A8:E8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/>
  <dimension ref="A1:F11"/>
  <sheetViews>
    <sheetView workbookViewId="0">
      <selection activeCell="J9" sqref="J9"/>
    </sheetView>
  </sheetViews>
  <sheetFormatPr defaultColWidth="9" defaultRowHeight="15" outlineLevelCol="5"/>
  <cols>
    <col min="1" max="1" width="10.1428571428571" customWidth="1"/>
    <col min="2" max="2" width="10.2857142857143" customWidth="1"/>
    <col min="3" max="3" width="14.8571428571429" customWidth="1"/>
    <col min="6" max="6" width="12.8571428571429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1697</v>
      </c>
      <c r="E3" s="11"/>
      <c r="F3" s="12"/>
    </row>
    <row r="4" ht="18.75" spans="1:6">
      <c r="A4" s="13" t="s">
        <v>84</v>
      </c>
      <c r="B4" s="13"/>
      <c r="C4" s="14"/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45992</v>
      </c>
      <c r="B6" s="17" t="s">
        <v>1698</v>
      </c>
      <c r="C6" s="17" t="s">
        <v>1082</v>
      </c>
      <c r="D6" s="17"/>
      <c r="E6" s="17">
        <v>2050</v>
      </c>
      <c r="F6" s="17">
        <f>E6-D6</f>
        <v>2050</v>
      </c>
    </row>
    <row r="7" ht="15.75" spans="1:6">
      <c r="A7" s="18">
        <v>45904</v>
      </c>
      <c r="B7" s="17" t="s">
        <v>1699</v>
      </c>
      <c r="C7" s="17" t="s">
        <v>1700</v>
      </c>
      <c r="D7" s="17"/>
      <c r="E7" s="17">
        <v>1900</v>
      </c>
      <c r="F7" s="17">
        <f>E7-D7+F6</f>
        <v>3950</v>
      </c>
    </row>
    <row r="8" ht="78.75" spans="1:6">
      <c r="A8" s="17" t="s">
        <v>537</v>
      </c>
      <c r="B8" s="17" t="s">
        <v>1701</v>
      </c>
      <c r="C8" s="71" t="s">
        <v>1702</v>
      </c>
      <c r="D8" s="17"/>
      <c r="E8" s="17">
        <v>10900</v>
      </c>
      <c r="F8" s="17">
        <f t="shared" ref="F8:F11" si="0">E8-D8+F7</f>
        <v>14850</v>
      </c>
    </row>
    <row r="9" ht="63" spans="1:6">
      <c r="A9" s="18">
        <v>45845</v>
      </c>
      <c r="B9" s="17" t="s">
        <v>1703</v>
      </c>
      <c r="C9" s="71" t="s">
        <v>1704</v>
      </c>
      <c r="D9" s="17"/>
      <c r="E9" s="17">
        <v>2550</v>
      </c>
      <c r="F9" s="17">
        <f t="shared" si="0"/>
        <v>17400</v>
      </c>
    </row>
    <row r="10" ht="15.75" spans="1:6">
      <c r="A10" s="17"/>
      <c r="B10" s="17"/>
      <c r="C10" s="17"/>
      <c r="D10" s="17"/>
      <c r="E10" s="17"/>
      <c r="F10" s="17">
        <f t="shared" si="0"/>
        <v>17400</v>
      </c>
    </row>
    <row r="11" ht="18.75" spans="1:6">
      <c r="A11" s="7" t="s">
        <v>303</v>
      </c>
      <c r="B11" s="8"/>
      <c r="C11" s="8"/>
      <c r="D11" s="8"/>
      <c r="E11" s="9"/>
      <c r="F11" s="17">
        <f t="shared" si="0"/>
        <v>17400</v>
      </c>
    </row>
  </sheetData>
  <mergeCells count="6">
    <mergeCell ref="A3:C3"/>
    <mergeCell ref="D3:F3"/>
    <mergeCell ref="A4:B4"/>
    <mergeCell ref="C4:F4"/>
    <mergeCell ref="A11:E11"/>
    <mergeCell ref="A1:F2"/>
  </mergeCells>
  <pageMargins left="0.7" right="0.7" top="0.75" bottom="0.75" header="0.3" footer="0.3"/>
  <pageSetup paperSize="9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K44"/>
  <sheetViews>
    <sheetView topLeftCell="A19" workbookViewId="0">
      <selection activeCell="N42" sqref="N42"/>
    </sheetView>
  </sheetViews>
  <sheetFormatPr defaultColWidth="9" defaultRowHeight="12.75"/>
  <cols>
    <col min="1" max="1" width="0.571428571428571" style="325" customWidth="1"/>
    <col min="2" max="2" width="0.571428571428571" style="325" hidden="1" customWidth="1"/>
    <col min="3" max="3" width="13.2857142857143" style="325" customWidth="1"/>
    <col min="4" max="4" width="10" style="325" customWidth="1"/>
    <col min="5" max="5" width="0.285714285714286" style="325" hidden="1" customWidth="1"/>
    <col min="6" max="6" width="0.857142857142857" style="325" hidden="1" customWidth="1"/>
    <col min="7" max="7" width="24.7142857142857" style="325" customWidth="1"/>
    <col min="8" max="8" width="10.1428571428571" style="325" customWidth="1"/>
    <col min="9" max="9" width="11.4285714285714" style="325" customWidth="1"/>
    <col min="10" max="10" width="11.8571428571429" style="325" customWidth="1"/>
    <col min="11" max="16384" width="9" style="325"/>
  </cols>
  <sheetData>
    <row r="1" ht="35.85" customHeight="1" spans="1:10">
      <c r="A1" s="326"/>
      <c r="B1" s="327" t="s">
        <v>81</v>
      </c>
      <c r="C1" s="327"/>
      <c r="D1" s="327"/>
      <c r="E1" s="327"/>
      <c r="F1" s="327"/>
      <c r="G1" s="327"/>
      <c r="H1" s="327"/>
      <c r="I1" s="327"/>
      <c r="J1" s="327"/>
    </row>
    <row r="2" ht="29.45" customHeight="1" spans="1:11">
      <c r="A2" s="326"/>
      <c r="B2" s="328" t="s">
        <v>82</v>
      </c>
      <c r="C2" s="328"/>
      <c r="D2" s="328"/>
      <c r="E2" s="328"/>
      <c r="F2" s="328"/>
      <c r="G2" s="328"/>
      <c r="H2" s="329" t="s">
        <v>71</v>
      </c>
      <c r="I2" s="329"/>
      <c r="J2" s="329"/>
      <c r="K2" s="339"/>
    </row>
    <row r="3" ht="20.1" customHeight="1" spans="1:11">
      <c r="A3" s="326"/>
      <c r="B3" s="328" t="s">
        <v>84</v>
      </c>
      <c r="C3" s="328"/>
      <c r="D3" s="328"/>
      <c r="E3" s="328"/>
      <c r="F3" s="328"/>
      <c r="G3" s="330" t="s">
        <v>1705</v>
      </c>
      <c r="H3" s="330"/>
      <c r="I3" s="330"/>
      <c r="J3" s="330"/>
      <c r="K3" s="339"/>
    </row>
    <row r="4" ht="16.7" customHeight="1" spans="1:11">
      <c r="A4" s="326"/>
      <c r="B4" s="328" t="s">
        <v>86</v>
      </c>
      <c r="C4" s="328"/>
      <c r="D4" s="328" t="s">
        <v>87</v>
      </c>
      <c r="E4" s="328"/>
      <c r="F4" s="328"/>
      <c r="G4" s="328" t="s">
        <v>88</v>
      </c>
      <c r="H4" s="328" t="s">
        <v>89</v>
      </c>
      <c r="I4" s="328" t="s">
        <v>90</v>
      </c>
      <c r="J4" s="342" t="s">
        <v>91</v>
      </c>
      <c r="K4" s="339"/>
    </row>
    <row r="5" ht="14.1" customHeight="1" spans="1:11">
      <c r="A5" s="326"/>
      <c r="B5" s="331"/>
      <c r="C5" s="331"/>
      <c r="D5" s="331"/>
      <c r="E5" s="331"/>
      <c r="F5" s="331"/>
      <c r="G5" s="332" t="s">
        <v>1706</v>
      </c>
      <c r="H5" s="331"/>
      <c r="I5" s="334">
        <v>10305</v>
      </c>
      <c r="J5" s="343">
        <v>10305</v>
      </c>
      <c r="K5" s="339"/>
    </row>
    <row r="6" ht="14.1" customHeight="1" spans="1:11">
      <c r="A6" s="326"/>
      <c r="B6" s="333" t="s">
        <v>843</v>
      </c>
      <c r="C6" s="333"/>
      <c r="D6" s="333" t="s">
        <v>1707</v>
      </c>
      <c r="E6" s="333"/>
      <c r="F6" s="333"/>
      <c r="G6" s="333" t="s">
        <v>1708</v>
      </c>
      <c r="H6" s="331"/>
      <c r="I6" s="334">
        <v>7270</v>
      </c>
      <c r="J6" s="343">
        <f>J5+I6-H6</f>
        <v>17575</v>
      </c>
      <c r="K6" s="339"/>
    </row>
    <row r="7" ht="14.1" customHeight="1" spans="1:11">
      <c r="A7" s="326"/>
      <c r="B7" s="331"/>
      <c r="C7" s="331"/>
      <c r="D7" s="333" t="s">
        <v>1709</v>
      </c>
      <c r="E7" s="333"/>
      <c r="F7" s="333"/>
      <c r="G7" s="333"/>
      <c r="H7" s="334">
        <v>755</v>
      </c>
      <c r="I7" s="331"/>
      <c r="J7" s="343">
        <f t="shared" ref="J7:J39" si="0">J6+I7-H7</f>
        <v>16820</v>
      </c>
      <c r="K7" s="339"/>
    </row>
    <row r="8" ht="14.1" customHeight="1" spans="1:11">
      <c r="A8" s="326"/>
      <c r="B8" s="333" t="s">
        <v>741</v>
      </c>
      <c r="C8" s="333"/>
      <c r="D8" s="333" t="s">
        <v>1710</v>
      </c>
      <c r="E8" s="333"/>
      <c r="F8" s="333"/>
      <c r="G8" s="333" t="s">
        <v>717</v>
      </c>
      <c r="H8" s="331"/>
      <c r="I8" s="334">
        <v>7400</v>
      </c>
      <c r="J8" s="343">
        <f t="shared" si="0"/>
        <v>24220</v>
      </c>
      <c r="K8" s="339"/>
    </row>
    <row r="9" ht="14.1" customHeight="1" spans="1:11">
      <c r="A9" s="326"/>
      <c r="B9" s="333" t="s">
        <v>1711</v>
      </c>
      <c r="C9" s="333"/>
      <c r="D9" s="333" t="s">
        <v>1712</v>
      </c>
      <c r="E9" s="333"/>
      <c r="F9" s="333"/>
      <c r="G9" s="333" t="s">
        <v>717</v>
      </c>
      <c r="H9" s="331"/>
      <c r="I9" s="334">
        <v>15900</v>
      </c>
      <c r="J9" s="343">
        <f t="shared" si="0"/>
        <v>40120</v>
      </c>
      <c r="K9" s="339"/>
    </row>
    <row r="10" ht="14.1" customHeight="1" spans="1:11">
      <c r="A10" s="326"/>
      <c r="B10" s="333" t="s">
        <v>1713</v>
      </c>
      <c r="C10" s="333"/>
      <c r="D10" s="333" t="s">
        <v>1714</v>
      </c>
      <c r="E10" s="333"/>
      <c r="F10" s="333"/>
      <c r="G10" s="333" t="s">
        <v>927</v>
      </c>
      <c r="H10" s="331"/>
      <c r="I10" s="334">
        <v>6600</v>
      </c>
      <c r="J10" s="343">
        <f t="shared" si="0"/>
        <v>46720</v>
      </c>
      <c r="K10" s="339"/>
    </row>
    <row r="11" ht="14.1" customHeight="1" spans="1:11">
      <c r="A11" s="326"/>
      <c r="B11" s="333" t="s">
        <v>871</v>
      </c>
      <c r="C11" s="333"/>
      <c r="D11" s="333" t="s">
        <v>1715</v>
      </c>
      <c r="E11" s="333"/>
      <c r="F11" s="333"/>
      <c r="G11" s="333" t="s">
        <v>918</v>
      </c>
      <c r="H11" s="331"/>
      <c r="I11" s="334">
        <v>8800</v>
      </c>
      <c r="J11" s="343">
        <f t="shared" si="0"/>
        <v>55520</v>
      </c>
      <c r="K11" s="339"/>
    </row>
    <row r="12" ht="14.1" customHeight="1" spans="1:11">
      <c r="A12" s="326"/>
      <c r="B12" s="333" t="s">
        <v>1716</v>
      </c>
      <c r="C12" s="333"/>
      <c r="D12" s="333" t="s">
        <v>1717</v>
      </c>
      <c r="E12" s="333"/>
      <c r="F12" s="333"/>
      <c r="G12" s="333" t="s">
        <v>922</v>
      </c>
      <c r="H12" s="331"/>
      <c r="I12" s="334">
        <v>16170</v>
      </c>
      <c r="J12" s="343">
        <f t="shared" si="0"/>
        <v>71690</v>
      </c>
      <c r="K12" s="339"/>
    </row>
    <row r="13" ht="14.1" customHeight="1" spans="1:11">
      <c r="A13" s="326"/>
      <c r="B13" s="333" t="s">
        <v>1718</v>
      </c>
      <c r="C13" s="333"/>
      <c r="D13" s="333" t="s">
        <v>1719</v>
      </c>
      <c r="E13" s="333"/>
      <c r="F13" s="333"/>
      <c r="G13" s="333" t="s">
        <v>1720</v>
      </c>
      <c r="H13" s="331"/>
      <c r="I13" s="334">
        <v>10600</v>
      </c>
      <c r="J13" s="343">
        <f t="shared" si="0"/>
        <v>82290</v>
      </c>
      <c r="K13" s="339"/>
    </row>
    <row r="14" ht="14.1" customHeight="1" spans="1:11">
      <c r="A14" s="326"/>
      <c r="B14" s="333" t="s">
        <v>1721</v>
      </c>
      <c r="C14" s="333"/>
      <c r="D14" s="333" t="s">
        <v>1722</v>
      </c>
      <c r="E14" s="333"/>
      <c r="F14" s="333"/>
      <c r="G14" s="333" t="s">
        <v>927</v>
      </c>
      <c r="H14" s="331"/>
      <c r="I14" s="334">
        <v>6600</v>
      </c>
      <c r="J14" s="343">
        <f t="shared" si="0"/>
        <v>88890</v>
      </c>
      <c r="K14" s="339"/>
    </row>
    <row r="15" ht="14.1" customHeight="1" spans="1:11">
      <c r="A15" s="326"/>
      <c r="B15" s="333" t="s">
        <v>1723</v>
      </c>
      <c r="C15" s="333"/>
      <c r="D15" s="331"/>
      <c r="E15" s="331"/>
      <c r="F15" s="331"/>
      <c r="G15" s="333" t="s">
        <v>101</v>
      </c>
      <c r="H15" s="334">
        <v>40000</v>
      </c>
      <c r="I15" s="331"/>
      <c r="J15" s="343">
        <f t="shared" si="0"/>
        <v>48890</v>
      </c>
      <c r="K15" s="339"/>
    </row>
    <row r="16" ht="14.1" customHeight="1" spans="1:11">
      <c r="A16" s="326"/>
      <c r="B16" s="333" t="s">
        <v>1258</v>
      </c>
      <c r="C16" s="333"/>
      <c r="D16" s="333" t="s">
        <v>1724</v>
      </c>
      <c r="E16" s="333"/>
      <c r="F16" s="333"/>
      <c r="G16" s="333" t="s">
        <v>1725</v>
      </c>
      <c r="H16" s="331"/>
      <c r="I16" s="334">
        <v>26650</v>
      </c>
      <c r="J16" s="343">
        <f t="shared" si="0"/>
        <v>75540</v>
      </c>
      <c r="K16" s="339"/>
    </row>
    <row r="17" ht="14.1" customHeight="1" spans="1:11">
      <c r="A17" s="326"/>
      <c r="B17" s="333" t="s">
        <v>1262</v>
      </c>
      <c r="C17" s="333"/>
      <c r="D17" s="333" t="s">
        <v>1726</v>
      </c>
      <c r="E17" s="333"/>
      <c r="F17" s="333"/>
      <c r="G17" s="333" t="s">
        <v>1727</v>
      </c>
      <c r="H17" s="331"/>
      <c r="I17" s="334">
        <v>14150</v>
      </c>
      <c r="J17" s="343">
        <f t="shared" si="0"/>
        <v>89690</v>
      </c>
      <c r="K17" s="339"/>
    </row>
    <row r="18" ht="14.1" customHeight="1" spans="1:11">
      <c r="A18" s="326"/>
      <c r="B18" s="333" t="s">
        <v>1262</v>
      </c>
      <c r="C18" s="333"/>
      <c r="D18" s="331"/>
      <c r="E18" s="331"/>
      <c r="F18" s="331"/>
      <c r="G18" s="333" t="s">
        <v>101</v>
      </c>
      <c r="H18" s="334">
        <v>20000</v>
      </c>
      <c r="I18" s="331"/>
      <c r="J18" s="343">
        <f t="shared" si="0"/>
        <v>69690</v>
      </c>
      <c r="K18" s="339"/>
    </row>
    <row r="19" ht="14.1" customHeight="1" spans="1:11">
      <c r="A19" s="326"/>
      <c r="B19" s="333" t="s">
        <v>1728</v>
      </c>
      <c r="C19" s="333"/>
      <c r="D19" s="333" t="s">
        <v>1729</v>
      </c>
      <c r="E19" s="333"/>
      <c r="F19" s="333"/>
      <c r="G19" s="333" t="s">
        <v>1730</v>
      </c>
      <c r="H19" s="331"/>
      <c r="I19" s="334">
        <v>30500</v>
      </c>
      <c r="J19" s="343">
        <f t="shared" si="0"/>
        <v>100190</v>
      </c>
      <c r="K19" s="339"/>
    </row>
    <row r="20" ht="14.1" customHeight="1" spans="1:11">
      <c r="A20" s="326"/>
      <c r="B20" s="333" t="s">
        <v>1333</v>
      </c>
      <c r="C20" s="333"/>
      <c r="D20" s="331"/>
      <c r="E20" s="331"/>
      <c r="F20" s="331"/>
      <c r="G20" s="333" t="s">
        <v>101</v>
      </c>
      <c r="H20" s="334">
        <v>30000</v>
      </c>
      <c r="I20" s="331"/>
      <c r="J20" s="343">
        <f t="shared" si="0"/>
        <v>70190</v>
      </c>
      <c r="K20" s="339"/>
    </row>
    <row r="21" ht="14.1" customHeight="1" spans="1:11">
      <c r="A21" s="326"/>
      <c r="B21" s="333" t="s">
        <v>898</v>
      </c>
      <c r="C21" s="333"/>
      <c r="D21" s="333" t="s">
        <v>1731</v>
      </c>
      <c r="E21" s="333"/>
      <c r="F21" s="333"/>
      <c r="G21" s="333" t="s">
        <v>922</v>
      </c>
      <c r="H21" s="331"/>
      <c r="I21" s="334">
        <v>20550</v>
      </c>
      <c r="J21" s="343">
        <f t="shared" si="0"/>
        <v>90740</v>
      </c>
      <c r="K21" s="339"/>
    </row>
    <row r="22" ht="14.1" customHeight="1" spans="1:11">
      <c r="A22" s="326"/>
      <c r="B22" s="333" t="s">
        <v>898</v>
      </c>
      <c r="C22" s="333"/>
      <c r="D22" s="333" t="s">
        <v>1731</v>
      </c>
      <c r="E22" s="333"/>
      <c r="F22" s="333"/>
      <c r="G22" s="333" t="s">
        <v>1732</v>
      </c>
      <c r="H22" s="334">
        <v>13000</v>
      </c>
      <c r="I22" s="331"/>
      <c r="J22" s="343">
        <f t="shared" si="0"/>
        <v>77740</v>
      </c>
      <c r="K22" s="339"/>
    </row>
    <row r="23" ht="14.1" customHeight="1" spans="1:11">
      <c r="A23" s="326"/>
      <c r="B23" s="333" t="s">
        <v>1733</v>
      </c>
      <c r="C23" s="333"/>
      <c r="D23" s="333" t="s">
        <v>1734</v>
      </c>
      <c r="E23" s="333"/>
      <c r="F23" s="333"/>
      <c r="G23" s="333" t="s">
        <v>1501</v>
      </c>
      <c r="H23" s="331"/>
      <c r="I23" s="334">
        <v>1350</v>
      </c>
      <c r="J23" s="343">
        <f t="shared" si="0"/>
        <v>79090</v>
      </c>
      <c r="K23" s="339"/>
    </row>
    <row r="24" ht="14.1" customHeight="1" spans="1:11">
      <c r="A24" s="326"/>
      <c r="B24" s="333" t="s">
        <v>1735</v>
      </c>
      <c r="C24" s="333"/>
      <c r="D24" s="333" t="s">
        <v>253</v>
      </c>
      <c r="E24" s="333"/>
      <c r="F24" s="333"/>
      <c r="G24" s="333" t="s">
        <v>157</v>
      </c>
      <c r="H24" s="334">
        <v>30000</v>
      </c>
      <c r="I24" s="331"/>
      <c r="J24" s="343">
        <f t="shared" si="0"/>
        <v>49090</v>
      </c>
      <c r="K24" s="339"/>
    </row>
    <row r="25" ht="14.1" customHeight="1" spans="1:11">
      <c r="A25" s="326"/>
      <c r="B25" s="333" t="s">
        <v>1735</v>
      </c>
      <c r="C25" s="333"/>
      <c r="D25" s="333" t="s">
        <v>1736</v>
      </c>
      <c r="E25" s="333"/>
      <c r="F25" s="333"/>
      <c r="G25" s="333" t="s">
        <v>1708</v>
      </c>
      <c r="H25" s="331"/>
      <c r="I25" s="334">
        <v>20800</v>
      </c>
      <c r="J25" s="343">
        <f t="shared" si="0"/>
        <v>69890</v>
      </c>
      <c r="K25" s="339"/>
    </row>
    <row r="26" ht="14.1" customHeight="1" spans="1:11">
      <c r="A26" s="326"/>
      <c r="B26" s="333" t="s">
        <v>1735</v>
      </c>
      <c r="C26" s="333"/>
      <c r="D26" s="333" t="s">
        <v>1737</v>
      </c>
      <c r="E26" s="333"/>
      <c r="F26" s="333"/>
      <c r="G26" s="333" t="s">
        <v>1708</v>
      </c>
      <c r="H26" s="331"/>
      <c r="I26" s="334">
        <v>6300</v>
      </c>
      <c r="J26" s="343">
        <f t="shared" si="0"/>
        <v>76190</v>
      </c>
      <c r="K26" s="339"/>
    </row>
    <row r="27" ht="14.1" customHeight="1" spans="1:11">
      <c r="A27" s="326"/>
      <c r="B27" s="333" t="s">
        <v>919</v>
      </c>
      <c r="C27" s="333"/>
      <c r="D27" s="333" t="s">
        <v>1738</v>
      </c>
      <c r="E27" s="333"/>
      <c r="F27" s="333"/>
      <c r="G27" s="333" t="s">
        <v>1739</v>
      </c>
      <c r="H27" s="331"/>
      <c r="I27" s="334">
        <v>5000</v>
      </c>
      <c r="J27" s="343">
        <f t="shared" si="0"/>
        <v>81190</v>
      </c>
      <c r="K27" s="339"/>
    </row>
    <row r="28" ht="14.1" customHeight="1" spans="1:11">
      <c r="A28" s="326"/>
      <c r="B28" s="333" t="s">
        <v>1740</v>
      </c>
      <c r="C28" s="333"/>
      <c r="D28" s="333" t="s">
        <v>1741</v>
      </c>
      <c r="E28" s="333"/>
      <c r="F28" s="333"/>
      <c r="G28" s="333" t="s">
        <v>1742</v>
      </c>
      <c r="H28" s="331"/>
      <c r="I28" s="334">
        <v>5950</v>
      </c>
      <c r="J28" s="343">
        <f t="shared" si="0"/>
        <v>87140</v>
      </c>
      <c r="K28" s="339"/>
    </row>
    <row r="29" ht="14.1" customHeight="1" spans="1:11">
      <c r="A29" s="326"/>
      <c r="B29" s="333" t="s">
        <v>1743</v>
      </c>
      <c r="C29" s="333"/>
      <c r="D29" s="333" t="s">
        <v>1744</v>
      </c>
      <c r="E29" s="333"/>
      <c r="F29" s="333"/>
      <c r="G29" s="333" t="s">
        <v>1745</v>
      </c>
      <c r="H29" s="331"/>
      <c r="I29" s="334">
        <v>13200</v>
      </c>
      <c r="J29" s="343">
        <f t="shared" si="0"/>
        <v>100340</v>
      </c>
      <c r="K29" s="339"/>
    </row>
    <row r="30" ht="14.1" customHeight="1" spans="1:11">
      <c r="A30" s="326"/>
      <c r="B30" s="333" t="s">
        <v>1746</v>
      </c>
      <c r="C30" s="333"/>
      <c r="D30" s="333" t="s">
        <v>1747</v>
      </c>
      <c r="E30" s="333"/>
      <c r="F30" s="333"/>
      <c r="G30" s="333" t="s">
        <v>1438</v>
      </c>
      <c r="H30" s="331"/>
      <c r="I30" s="334">
        <v>900</v>
      </c>
      <c r="J30" s="343">
        <f t="shared" si="0"/>
        <v>101240</v>
      </c>
      <c r="K30" s="339"/>
    </row>
    <row r="31" ht="14.1" customHeight="1" spans="1:11">
      <c r="A31" s="326"/>
      <c r="B31" s="333" t="s">
        <v>1748</v>
      </c>
      <c r="C31" s="333"/>
      <c r="D31" s="333" t="s">
        <v>1749</v>
      </c>
      <c r="E31" s="333"/>
      <c r="F31" s="333"/>
      <c r="G31" s="333" t="s">
        <v>1750</v>
      </c>
      <c r="H31" s="331"/>
      <c r="I31" s="334">
        <v>2150</v>
      </c>
      <c r="J31" s="343">
        <f t="shared" si="0"/>
        <v>103390</v>
      </c>
      <c r="K31" s="339"/>
    </row>
    <row r="32" ht="14.1" customHeight="1" spans="1:11">
      <c r="A32" s="326"/>
      <c r="B32" s="333"/>
      <c r="C32" s="335">
        <v>45418</v>
      </c>
      <c r="D32" s="336"/>
      <c r="E32" s="336"/>
      <c r="F32" s="336"/>
      <c r="G32" s="333" t="s">
        <v>101</v>
      </c>
      <c r="H32" s="331">
        <v>63000</v>
      </c>
      <c r="I32" s="334"/>
      <c r="J32" s="343">
        <f t="shared" si="0"/>
        <v>40390</v>
      </c>
      <c r="K32" s="339"/>
    </row>
    <row r="33" ht="14.1" customHeight="1" spans="1:11">
      <c r="A33" s="326"/>
      <c r="B33" s="333"/>
      <c r="C33" s="337">
        <v>45449</v>
      </c>
      <c r="D33" s="336" t="s">
        <v>1751</v>
      </c>
      <c r="E33" s="336"/>
      <c r="F33" s="336"/>
      <c r="G33" s="333" t="s">
        <v>1438</v>
      </c>
      <c r="H33" s="331"/>
      <c r="I33" s="334">
        <v>100</v>
      </c>
      <c r="J33" s="343">
        <f t="shared" si="0"/>
        <v>40490</v>
      </c>
      <c r="K33" s="339"/>
    </row>
    <row r="34" ht="14.1" customHeight="1" spans="1:11">
      <c r="A34" s="326"/>
      <c r="B34" s="333"/>
      <c r="C34" s="337">
        <v>45510</v>
      </c>
      <c r="D34" s="336" t="s">
        <v>1752</v>
      </c>
      <c r="E34" s="336"/>
      <c r="F34" s="336"/>
      <c r="G34" s="333" t="s">
        <v>1501</v>
      </c>
      <c r="H34" s="331"/>
      <c r="I34" s="334">
        <v>250</v>
      </c>
      <c r="J34" s="343">
        <f t="shared" si="0"/>
        <v>40740</v>
      </c>
      <c r="K34" s="339"/>
    </row>
    <row r="35" ht="14.1" customHeight="1" spans="1:11">
      <c r="A35" s="326"/>
      <c r="B35" s="333"/>
      <c r="C35" s="337">
        <v>45605</v>
      </c>
      <c r="D35" s="336"/>
      <c r="E35" s="336"/>
      <c r="F35" s="336"/>
      <c r="G35" s="333" t="s">
        <v>101</v>
      </c>
      <c r="H35" s="331">
        <v>20000</v>
      </c>
      <c r="I35" s="334"/>
      <c r="J35" s="343">
        <f t="shared" si="0"/>
        <v>20740</v>
      </c>
      <c r="K35" s="339"/>
    </row>
    <row r="36" ht="14.1" customHeight="1" spans="1:11">
      <c r="A36" s="326"/>
      <c r="B36" s="333"/>
      <c r="C36" s="333" t="s">
        <v>1753</v>
      </c>
      <c r="D36" s="336"/>
      <c r="E36" s="336"/>
      <c r="F36" s="336"/>
      <c r="G36" s="333" t="s">
        <v>1754</v>
      </c>
      <c r="H36" s="331">
        <v>7000</v>
      </c>
      <c r="I36" s="334"/>
      <c r="J36" s="343">
        <f t="shared" si="0"/>
        <v>13740</v>
      </c>
      <c r="K36" s="339"/>
    </row>
    <row r="37" ht="14.1" customHeight="1" spans="1:11">
      <c r="A37" s="326"/>
      <c r="B37" s="333"/>
      <c r="C37" s="333" t="s">
        <v>1755</v>
      </c>
      <c r="D37" s="336"/>
      <c r="E37" s="336"/>
      <c r="F37" s="336"/>
      <c r="G37" s="333" t="s">
        <v>157</v>
      </c>
      <c r="H37" s="331">
        <v>13740</v>
      </c>
      <c r="I37" s="334"/>
      <c r="J37" s="343">
        <f t="shared" si="0"/>
        <v>0</v>
      </c>
      <c r="K37" s="339"/>
    </row>
    <row r="38" ht="14.1" customHeight="1" spans="1:11">
      <c r="A38" s="326"/>
      <c r="B38" s="331"/>
      <c r="C38" s="331"/>
      <c r="D38" s="331"/>
      <c r="E38" s="331"/>
      <c r="F38" s="331"/>
      <c r="G38" s="331"/>
      <c r="H38" s="331"/>
      <c r="I38" s="331"/>
      <c r="J38" s="343">
        <f t="shared" si="0"/>
        <v>0</v>
      </c>
      <c r="K38" s="339"/>
    </row>
    <row r="39" ht="16.7" customHeight="1" spans="1:11">
      <c r="A39" s="326"/>
      <c r="B39" s="338" t="s">
        <v>303</v>
      </c>
      <c r="C39" s="338"/>
      <c r="D39" s="338"/>
      <c r="E39" s="338"/>
      <c r="F39" s="338"/>
      <c r="G39" s="338"/>
      <c r="H39" s="338"/>
      <c r="I39" s="338"/>
      <c r="J39" s="343">
        <f t="shared" si="0"/>
        <v>0</v>
      </c>
      <c r="K39" s="339"/>
    </row>
    <row r="40" spans="2:10">
      <c r="B40" s="339"/>
      <c r="C40" s="339"/>
      <c r="D40" s="339"/>
      <c r="E40" s="339"/>
      <c r="F40" s="339"/>
      <c r="G40" s="339"/>
      <c r="H40" s="339"/>
      <c r="I40" s="339"/>
      <c r="J40" s="339"/>
    </row>
    <row r="41" ht="6" customHeight="1" spans="1:5">
      <c r="A41" s="326"/>
      <c r="B41" s="326"/>
      <c r="C41" s="340"/>
      <c r="D41" s="340"/>
      <c r="E41" s="326"/>
    </row>
    <row r="42" ht="22.35" customHeight="1" spans="1:5">
      <c r="A42" s="326"/>
      <c r="B42" s="341"/>
      <c r="C42" s="340"/>
      <c r="D42" s="340"/>
      <c r="E42" s="326"/>
    </row>
    <row r="43" ht="5.1" customHeight="1" spans="1:5">
      <c r="A43" s="326"/>
      <c r="B43" s="326"/>
      <c r="C43" s="340"/>
      <c r="D43" s="340"/>
      <c r="E43" s="326"/>
    </row>
    <row r="44" spans="3:4">
      <c r="C44" s="339"/>
      <c r="D44" s="339"/>
    </row>
  </sheetData>
  <mergeCells count="69">
    <mergeCell ref="B1:J1"/>
    <mergeCell ref="B2:G2"/>
    <mergeCell ref="H2:J2"/>
    <mergeCell ref="B3:F3"/>
    <mergeCell ref="G3:J3"/>
    <mergeCell ref="B4:C4"/>
    <mergeCell ref="D4:F4"/>
    <mergeCell ref="B5:C5"/>
    <mergeCell ref="D5:F5"/>
    <mergeCell ref="B6:C6"/>
    <mergeCell ref="D6:F6"/>
    <mergeCell ref="B7:C7"/>
    <mergeCell ref="D7:G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8:C38"/>
    <mergeCell ref="D38:F38"/>
    <mergeCell ref="B39:I39"/>
    <mergeCell ref="A41:B41"/>
    <mergeCell ref="A43:B43"/>
    <mergeCell ref="A1:A39"/>
    <mergeCell ref="E41:E43"/>
    <mergeCell ref="C41:D43"/>
  </mergeCells>
  <printOptions gridLines="1"/>
  <pageMargins left="0.75" right="0.75" top="1" bottom="1" header="0.511811023622047" footer="0.511811023622047"/>
  <pageSetup paperSize="1" orientation="portrait" horizontalDpi="300" verticalDpi="300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/>
  <dimension ref="A1:O434"/>
  <sheetViews>
    <sheetView zoomScale="235" zoomScaleNormal="235" topLeftCell="A4" workbookViewId="0">
      <selection activeCell="C4" sqref="C4"/>
    </sheetView>
  </sheetViews>
  <sheetFormatPr defaultColWidth="9" defaultRowHeight="15"/>
  <cols>
    <col min="1" max="1" width="11.5714285714286" customWidth="1"/>
    <col min="2" max="2" width="10.2857142857143" customWidth="1"/>
    <col min="3" max="3" width="32.1428571428571" style="163" customWidth="1"/>
    <col min="4" max="4" width="9.14285714285714" customWidth="1"/>
    <col min="5" max="5" width="10.5714285714286" customWidth="1"/>
    <col min="6" max="6" width="10" customWidth="1"/>
    <col min="7" max="7" width="19.7142857142857" customWidth="1"/>
    <col min="8" max="8" width="16.2857142857143" customWidth="1"/>
    <col min="9" max="9" width="10.8571428571429" customWidth="1"/>
    <col min="10" max="10" width="11.1428571428571" customWidth="1"/>
    <col min="11" max="11" width="26" customWidth="1"/>
    <col min="12" max="12" width="11.1428571428571" customWidth="1"/>
    <col min="13" max="13" width="10.5714285714286" customWidth="1"/>
    <col min="14" max="14" width="9.57142857142857" customWidth="1"/>
  </cols>
  <sheetData>
    <row r="1" ht="20.25" customHeight="1" spans="1:14">
      <c r="A1" s="1" t="s">
        <v>1756</v>
      </c>
      <c r="B1" s="2"/>
      <c r="C1" s="2"/>
      <c r="D1" s="2"/>
      <c r="E1" s="2"/>
      <c r="F1" s="3"/>
      <c r="G1" s="36"/>
      <c r="H1" s="36"/>
      <c r="I1" s="130" t="s">
        <v>1757</v>
      </c>
      <c r="J1" s="130"/>
      <c r="K1" s="130"/>
      <c r="L1" s="130"/>
      <c r="M1" s="130"/>
      <c r="N1" s="130"/>
    </row>
    <row r="2" ht="20.25" customHeight="1" spans="1:14">
      <c r="A2" s="129"/>
      <c r="B2" s="130"/>
      <c r="C2" s="130"/>
      <c r="D2" s="130"/>
      <c r="E2" s="130"/>
      <c r="F2" s="131"/>
      <c r="G2" s="254"/>
      <c r="H2" s="254"/>
      <c r="I2" s="130"/>
      <c r="J2" s="130"/>
      <c r="K2" s="130"/>
      <c r="L2" s="130"/>
      <c r="M2" s="130"/>
      <c r="N2" s="130"/>
    </row>
    <row r="3" ht="20.25" customHeight="1" spans="1:14">
      <c r="A3" s="4"/>
      <c r="B3" s="5"/>
      <c r="C3" s="5"/>
      <c r="D3" s="5"/>
      <c r="E3" s="5"/>
      <c r="F3" s="6"/>
      <c r="G3" s="254"/>
      <c r="H3" s="254"/>
      <c r="I3" s="260"/>
      <c r="J3" s="260"/>
      <c r="K3" s="260"/>
      <c r="L3" s="260"/>
      <c r="M3" s="260"/>
      <c r="N3" s="260"/>
    </row>
    <row r="4" ht="18.75" customHeight="1" spans="1:14">
      <c r="A4" s="13" t="s">
        <v>86</v>
      </c>
      <c r="B4" s="13" t="s">
        <v>87</v>
      </c>
      <c r="C4" s="88" t="s">
        <v>1758</v>
      </c>
      <c r="D4" s="13" t="s">
        <v>1759</v>
      </c>
      <c r="E4" s="13" t="s">
        <v>862</v>
      </c>
      <c r="F4" s="13" t="s">
        <v>1760</v>
      </c>
      <c r="G4" s="36"/>
      <c r="H4" s="36"/>
      <c r="I4" s="261" t="s">
        <v>86</v>
      </c>
      <c r="J4" s="261"/>
      <c r="K4" s="261" t="s">
        <v>1761</v>
      </c>
      <c r="L4" s="261" t="s">
        <v>1758</v>
      </c>
      <c r="M4" s="262" t="s">
        <v>1762</v>
      </c>
      <c r="N4" s="262" t="s">
        <v>1763</v>
      </c>
    </row>
    <row r="5" ht="18.75" customHeight="1" spans="1:14">
      <c r="A5" s="17" t="s">
        <v>1764</v>
      </c>
      <c r="B5" s="17"/>
      <c r="C5" s="17" t="s">
        <v>305</v>
      </c>
      <c r="D5" s="17">
        <v>4143</v>
      </c>
      <c r="E5" s="17"/>
      <c r="F5" s="17">
        <v>4143</v>
      </c>
      <c r="G5" s="36"/>
      <c r="H5" s="36"/>
      <c r="I5" s="263"/>
      <c r="J5" s="263"/>
      <c r="K5" s="263"/>
      <c r="L5" s="263"/>
      <c r="M5" s="263"/>
      <c r="N5" s="263"/>
    </row>
    <row r="6" ht="16.5" spans="1:14">
      <c r="A6" s="73" t="s">
        <v>1765</v>
      </c>
      <c r="B6" s="17">
        <v>3739</v>
      </c>
      <c r="C6" s="132" t="s">
        <v>1766</v>
      </c>
      <c r="D6" s="17">
        <v>12205</v>
      </c>
      <c r="E6" s="17"/>
      <c r="F6" s="17">
        <f>D6-E6</f>
        <v>12205</v>
      </c>
      <c r="G6" s="36"/>
      <c r="H6" s="36"/>
      <c r="I6" s="264">
        <v>45508</v>
      </c>
      <c r="J6" s="265"/>
      <c r="K6" s="266" t="s">
        <v>1767</v>
      </c>
      <c r="L6" s="266" t="s">
        <v>14</v>
      </c>
      <c r="M6" s="266">
        <v>20000</v>
      </c>
      <c r="N6" s="266" t="s">
        <v>1768</v>
      </c>
    </row>
    <row r="7" ht="15.75" spans="1:14">
      <c r="A7" s="142">
        <v>44995</v>
      </c>
      <c r="B7" s="17" t="s">
        <v>1769</v>
      </c>
      <c r="C7" s="137" t="s">
        <v>1770</v>
      </c>
      <c r="D7" s="138">
        <v>8500</v>
      </c>
      <c r="E7" s="138">
        <v>5000</v>
      </c>
      <c r="F7" s="17">
        <f t="shared" ref="F7:F22" si="0">D7-E7</f>
        <v>3500</v>
      </c>
      <c r="G7" s="36"/>
      <c r="H7" s="36"/>
      <c r="I7" s="65"/>
      <c r="J7" s="46"/>
      <c r="K7" s="46"/>
      <c r="L7" s="46"/>
      <c r="M7" s="46"/>
      <c r="N7" s="266"/>
    </row>
    <row r="8" ht="15.75" spans="1:14">
      <c r="A8" s="144" t="s">
        <v>1386</v>
      </c>
      <c r="B8" s="17" t="s">
        <v>1771</v>
      </c>
      <c r="C8" s="133" t="s">
        <v>1770</v>
      </c>
      <c r="D8" s="17">
        <v>1500</v>
      </c>
      <c r="E8" s="17"/>
      <c r="F8" s="17">
        <f t="shared" si="0"/>
        <v>1500</v>
      </c>
      <c r="G8" s="36"/>
      <c r="H8" s="36"/>
      <c r="I8" s="65"/>
      <c r="J8" s="46"/>
      <c r="K8" s="46"/>
      <c r="L8" s="46"/>
      <c r="M8" s="46"/>
      <c r="N8" s="266"/>
    </row>
    <row r="9" ht="16.5" customHeight="1" spans="1:15">
      <c r="A9" s="145" t="s">
        <v>589</v>
      </c>
      <c r="B9" s="17" t="s">
        <v>1772</v>
      </c>
      <c r="C9" s="146" t="s">
        <v>1770</v>
      </c>
      <c r="D9" s="147">
        <v>3000</v>
      </c>
      <c r="E9" s="17"/>
      <c r="F9" s="17">
        <f t="shared" si="0"/>
        <v>3000</v>
      </c>
      <c r="G9" s="36"/>
      <c r="H9" s="36"/>
      <c r="I9" s="130"/>
      <c r="J9" s="130"/>
      <c r="K9" s="130"/>
      <c r="L9" s="130"/>
      <c r="M9" s="130"/>
      <c r="N9" s="130"/>
      <c r="O9" s="131"/>
    </row>
    <row r="10" ht="15.75" spans="1:14">
      <c r="A10" s="75">
        <v>45179</v>
      </c>
      <c r="B10" s="17" t="s">
        <v>1773</v>
      </c>
      <c r="C10" s="133" t="s">
        <v>1774</v>
      </c>
      <c r="D10" s="17">
        <v>2050</v>
      </c>
      <c r="E10" s="17">
        <v>2050</v>
      </c>
      <c r="F10" s="17">
        <f t="shared" si="0"/>
        <v>0</v>
      </c>
      <c r="G10" s="36"/>
      <c r="H10" s="36"/>
      <c r="I10" s="114"/>
      <c r="J10" s="36"/>
      <c r="K10" s="36"/>
      <c r="L10" s="36"/>
      <c r="M10" s="36"/>
      <c r="N10" s="266"/>
    </row>
    <row r="11" ht="16.5" spans="1:14">
      <c r="A11" s="75" t="s">
        <v>1775</v>
      </c>
      <c r="B11" s="17" t="s">
        <v>1776</v>
      </c>
      <c r="C11" s="133" t="s">
        <v>1774</v>
      </c>
      <c r="D11" s="17">
        <v>2700</v>
      </c>
      <c r="E11" s="17">
        <v>2700</v>
      </c>
      <c r="F11" s="17">
        <f t="shared" si="0"/>
        <v>0</v>
      </c>
      <c r="G11" s="36"/>
      <c r="H11" s="36"/>
      <c r="I11" s="114"/>
      <c r="J11" s="36"/>
      <c r="K11" s="36"/>
      <c r="L11" s="36"/>
      <c r="M11" s="36"/>
      <c r="N11" s="266"/>
    </row>
    <row r="12" ht="15.75" spans="1:14">
      <c r="A12" s="136" t="s">
        <v>1777</v>
      </c>
      <c r="B12" s="17" t="s">
        <v>1778</v>
      </c>
      <c r="C12" s="137" t="s">
        <v>1779</v>
      </c>
      <c r="D12" s="138">
        <v>7500</v>
      </c>
      <c r="E12" s="138">
        <v>2240</v>
      </c>
      <c r="F12" s="17">
        <f t="shared" si="0"/>
        <v>5260</v>
      </c>
      <c r="G12" s="36"/>
      <c r="H12" s="36"/>
      <c r="I12" s="114"/>
      <c r="J12" s="36"/>
      <c r="K12" s="36"/>
      <c r="L12" s="36"/>
      <c r="M12" s="36"/>
      <c r="N12" s="266"/>
    </row>
    <row r="13" ht="16.5" spans="1:14">
      <c r="A13" s="139" t="s">
        <v>1230</v>
      </c>
      <c r="B13" s="17" t="s">
        <v>1780</v>
      </c>
      <c r="C13" s="140" t="s">
        <v>1779</v>
      </c>
      <c r="D13" s="141">
        <v>1500</v>
      </c>
      <c r="E13" s="141"/>
      <c r="F13" s="17">
        <f t="shared" si="0"/>
        <v>1500</v>
      </c>
      <c r="G13" s="36"/>
      <c r="H13" s="36"/>
      <c r="I13" s="114"/>
      <c r="J13" s="36"/>
      <c r="K13" s="36"/>
      <c r="L13" s="36"/>
      <c r="M13" s="36"/>
      <c r="N13" s="266"/>
    </row>
    <row r="14" ht="15.75" spans="1:14">
      <c r="A14" s="73" t="s">
        <v>1216</v>
      </c>
      <c r="B14" s="17" t="s">
        <v>1781</v>
      </c>
      <c r="C14" s="133" t="s">
        <v>1782</v>
      </c>
      <c r="D14" s="17">
        <v>7000</v>
      </c>
      <c r="E14" s="17"/>
      <c r="F14" s="17">
        <f t="shared" si="0"/>
        <v>7000</v>
      </c>
      <c r="G14" s="36"/>
      <c r="H14" s="36"/>
      <c r="I14" s="114"/>
      <c r="J14" s="36"/>
      <c r="K14" s="36"/>
      <c r="L14" s="36"/>
      <c r="M14" s="36"/>
      <c r="N14" s="266"/>
    </row>
    <row r="15" ht="15.75" spans="1:14">
      <c r="A15" s="75" t="s">
        <v>1321</v>
      </c>
      <c r="B15" s="17">
        <v>2595</v>
      </c>
      <c r="C15" s="149" t="s">
        <v>1320</v>
      </c>
      <c r="D15" s="150">
        <v>1625</v>
      </c>
      <c r="E15" s="150"/>
      <c r="F15" s="17">
        <f t="shared" si="0"/>
        <v>1625</v>
      </c>
      <c r="G15" s="36"/>
      <c r="H15" s="36"/>
      <c r="I15" s="114"/>
      <c r="J15" s="36"/>
      <c r="K15" s="36"/>
      <c r="L15" s="36"/>
      <c r="M15" s="36"/>
      <c r="N15" s="266"/>
    </row>
    <row r="16" ht="15.75" spans="1:14">
      <c r="A16" s="73" t="s">
        <v>1322</v>
      </c>
      <c r="B16" s="17">
        <v>1519</v>
      </c>
      <c r="C16" s="149" t="s">
        <v>1320</v>
      </c>
      <c r="D16" s="17">
        <v>1700</v>
      </c>
      <c r="E16" s="17"/>
      <c r="F16" s="17">
        <f t="shared" si="0"/>
        <v>1700</v>
      </c>
      <c r="G16" s="36"/>
      <c r="H16" s="36"/>
      <c r="I16" s="114"/>
      <c r="J16" s="36"/>
      <c r="K16" s="36"/>
      <c r="L16" s="36"/>
      <c r="M16" s="36"/>
      <c r="N16" s="266"/>
    </row>
    <row r="17" ht="15.75" spans="1:14">
      <c r="A17" s="73" t="s">
        <v>1324</v>
      </c>
      <c r="B17" s="17">
        <v>1920</v>
      </c>
      <c r="C17" s="149" t="s">
        <v>1320</v>
      </c>
      <c r="D17" s="17">
        <v>5000</v>
      </c>
      <c r="E17" s="17"/>
      <c r="F17" s="17">
        <f t="shared" si="0"/>
        <v>5000</v>
      </c>
      <c r="G17" s="36"/>
      <c r="H17" s="36"/>
      <c r="I17" s="114"/>
      <c r="J17" s="36"/>
      <c r="K17" s="36"/>
      <c r="L17" s="36"/>
      <c r="M17" s="36"/>
      <c r="N17" s="266"/>
    </row>
    <row r="18" ht="15.75" spans="1:14">
      <c r="A18" s="75">
        <v>44936</v>
      </c>
      <c r="B18" s="17" t="s">
        <v>1326</v>
      </c>
      <c r="C18" s="149" t="s">
        <v>1320</v>
      </c>
      <c r="D18" s="17">
        <v>3600</v>
      </c>
      <c r="E18" s="17"/>
      <c r="F18" s="17">
        <f t="shared" si="0"/>
        <v>3600</v>
      </c>
      <c r="G18" s="36"/>
      <c r="H18" s="36"/>
      <c r="I18" s="267"/>
      <c r="J18" s="268"/>
      <c r="K18" s="268"/>
      <c r="L18" s="268"/>
      <c r="M18" s="268"/>
      <c r="N18" s="266"/>
    </row>
    <row r="19" ht="15.75" spans="1:14">
      <c r="A19" s="75" t="s">
        <v>566</v>
      </c>
      <c r="B19" s="93" t="s">
        <v>1783</v>
      </c>
      <c r="C19" s="255" t="s">
        <v>1784</v>
      </c>
      <c r="D19" s="17">
        <v>7200</v>
      </c>
      <c r="E19" s="17">
        <v>3800</v>
      </c>
      <c r="F19" s="17">
        <f t="shared" si="0"/>
        <v>3400</v>
      </c>
      <c r="G19" s="36"/>
      <c r="H19" s="36"/>
      <c r="I19" s="114"/>
      <c r="J19" s="36"/>
      <c r="K19" s="36"/>
      <c r="L19" s="29"/>
      <c r="M19" s="36"/>
      <c r="N19" s="266"/>
    </row>
    <row r="20" ht="15.75" spans="1:14">
      <c r="A20" s="75" t="s">
        <v>1785</v>
      </c>
      <c r="B20" s="17" t="s">
        <v>1786</v>
      </c>
      <c r="C20" s="133" t="s">
        <v>1787</v>
      </c>
      <c r="D20" s="17">
        <v>40000</v>
      </c>
      <c r="E20" s="73"/>
      <c r="F20" s="17">
        <f t="shared" si="0"/>
        <v>40000</v>
      </c>
      <c r="G20" s="36"/>
      <c r="H20" s="36"/>
      <c r="I20" s="114"/>
      <c r="J20" s="36"/>
      <c r="K20" s="36"/>
      <c r="L20" s="36" t="s">
        <v>5</v>
      </c>
      <c r="M20" s="36"/>
      <c r="N20" s="266"/>
    </row>
    <row r="21" ht="15.75" spans="1:14">
      <c r="A21" s="75">
        <v>45354</v>
      </c>
      <c r="B21" s="17" t="s">
        <v>1788</v>
      </c>
      <c r="C21" s="133" t="s">
        <v>1789</v>
      </c>
      <c r="D21" s="17">
        <v>12880</v>
      </c>
      <c r="E21" s="73"/>
      <c r="F21" s="17">
        <f t="shared" si="0"/>
        <v>12880</v>
      </c>
      <c r="G21" s="36"/>
      <c r="H21" s="36"/>
      <c r="I21" s="114"/>
      <c r="J21" s="36"/>
      <c r="K21" s="36"/>
      <c r="L21" s="29"/>
      <c r="M21" s="36"/>
      <c r="N21" s="266"/>
    </row>
    <row r="22" ht="15.75" spans="1:14">
      <c r="A22" s="75" t="s">
        <v>923</v>
      </c>
      <c r="B22" s="17" t="s">
        <v>1790</v>
      </c>
      <c r="C22" s="133" t="s">
        <v>1791</v>
      </c>
      <c r="D22" s="17">
        <v>12400</v>
      </c>
      <c r="E22" s="73"/>
      <c r="F22" s="17">
        <f t="shared" si="0"/>
        <v>12400</v>
      </c>
      <c r="G22" s="36"/>
      <c r="H22" s="36"/>
      <c r="I22" s="114"/>
      <c r="J22" s="36"/>
      <c r="K22" s="36"/>
      <c r="L22" s="29"/>
      <c r="M22" s="36"/>
      <c r="N22" s="266"/>
    </row>
    <row r="23" ht="15.75" spans="1:14">
      <c r="A23" s="75" t="s">
        <v>1748</v>
      </c>
      <c r="B23" s="17" t="s">
        <v>1792</v>
      </c>
      <c r="C23" s="133" t="s">
        <v>1793</v>
      </c>
      <c r="D23" s="17">
        <v>900</v>
      </c>
      <c r="E23" s="73"/>
      <c r="F23" s="17">
        <f t="shared" ref="F23:F37" si="1">D23-E23</f>
        <v>900</v>
      </c>
      <c r="G23" s="36"/>
      <c r="H23" s="36"/>
      <c r="I23" s="114"/>
      <c r="J23" s="36"/>
      <c r="K23" s="36"/>
      <c r="L23" s="36"/>
      <c r="M23" s="36"/>
      <c r="N23" s="266"/>
    </row>
    <row r="24" ht="15.75" spans="1:14">
      <c r="A24" s="75" t="s">
        <v>1453</v>
      </c>
      <c r="B24" s="17" t="s">
        <v>1794</v>
      </c>
      <c r="C24" s="132" t="s">
        <v>1795</v>
      </c>
      <c r="D24" s="17">
        <v>1500</v>
      </c>
      <c r="E24" s="73"/>
      <c r="F24" s="17">
        <f t="shared" si="1"/>
        <v>1500</v>
      </c>
      <c r="G24" s="36"/>
      <c r="H24" s="36"/>
      <c r="I24" s="114"/>
      <c r="J24" s="36"/>
      <c r="K24" s="36"/>
      <c r="L24" s="36"/>
      <c r="M24" s="36"/>
      <c r="N24" s="266"/>
    </row>
    <row r="25" ht="15.75" spans="1:14">
      <c r="A25" s="75">
        <v>45297</v>
      </c>
      <c r="B25" s="17" t="s">
        <v>1796</v>
      </c>
      <c r="C25" s="132" t="s">
        <v>1797</v>
      </c>
      <c r="D25" s="17">
        <v>1200</v>
      </c>
      <c r="E25" s="73"/>
      <c r="F25" s="17">
        <f t="shared" si="1"/>
        <v>1200</v>
      </c>
      <c r="G25" s="36"/>
      <c r="H25" s="36"/>
      <c r="I25" s="114"/>
      <c r="J25" s="36"/>
      <c r="K25" s="36"/>
      <c r="L25" s="36"/>
      <c r="M25" s="36"/>
      <c r="N25" s="266"/>
    </row>
    <row r="26" ht="15.75" spans="1:14">
      <c r="A26" s="256" t="s">
        <v>118</v>
      </c>
      <c r="B26" s="82" t="s">
        <v>1798</v>
      </c>
      <c r="C26" s="185" t="s">
        <v>1799</v>
      </c>
      <c r="D26" s="100">
        <v>1500</v>
      </c>
      <c r="E26" s="73"/>
      <c r="F26" s="17">
        <f t="shared" si="1"/>
        <v>1500</v>
      </c>
      <c r="G26" s="36"/>
      <c r="H26" s="36"/>
      <c r="I26" s="114"/>
      <c r="J26" s="36"/>
      <c r="K26" s="36"/>
      <c r="L26" s="36"/>
      <c r="M26" s="36"/>
      <c r="N26" s="266"/>
    </row>
    <row r="27" ht="15.75" spans="1:14">
      <c r="A27" s="94" t="s">
        <v>1800</v>
      </c>
      <c r="B27" s="93" t="s">
        <v>1801</v>
      </c>
      <c r="C27" s="164" t="s">
        <v>1802</v>
      </c>
      <c r="D27" s="93">
        <v>236993</v>
      </c>
      <c r="E27" s="89">
        <v>236993</v>
      </c>
      <c r="F27" s="17">
        <f t="shared" si="1"/>
        <v>0</v>
      </c>
      <c r="G27" s="36"/>
      <c r="H27" s="36"/>
      <c r="I27" s="114"/>
      <c r="J27" s="36"/>
      <c r="K27" s="36"/>
      <c r="L27" s="36"/>
      <c r="M27" s="36"/>
      <c r="N27" s="266"/>
    </row>
    <row r="28" ht="15.75" spans="1:14">
      <c r="A28" s="94" t="s">
        <v>1803</v>
      </c>
      <c r="B28" s="93" t="s">
        <v>1804</v>
      </c>
      <c r="C28" s="164" t="s">
        <v>1805</v>
      </c>
      <c r="D28" s="93">
        <v>10000</v>
      </c>
      <c r="E28" s="89"/>
      <c r="F28" s="17">
        <f t="shared" si="1"/>
        <v>10000</v>
      </c>
      <c r="G28" s="36"/>
      <c r="H28" s="36"/>
      <c r="I28" s="114"/>
      <c r="J28" s="36"/>
      <c r="K28" s="36"/>
      <c r="L28" s="36"/>
      <c r="M28" s="36"/>
      <c r="N28" s="266"/>
    </row>
    <row r="29" ht="15.75" spans="1:14">
      <c r="A29" s="94" t="s">
        <v>1234</v>
      </c>
      <c r="B29" s="93" t="s">
        <v>1806</v>
      </c>
      <c r="C29" s="164" t="s">
        <v>1807</v>
      </c>
      <c r="D29" s="93">
        <v>10094</v>
      </c>
      <c r="E29" s="89">
        <v>5000</v>
      </c>
      <c r="F29" s="17">
        <f t="shared" si="1"/>
        <v>5094</v>
      </c>
      <c r="G29" s="36"/>
      <c r="H29" s="36"/>
      <c r="I29" s="114"/>
      <c r="J29" s="36"/>
      <c r="K29" s="36"/>
      <c r="L29" s="36"/>
      <c r="M29" s="36"/>
      <c r="N29" s="266"/>
    </row>
    <row r="30" ht="15.75" spans="1:14">
      <c r="A30" s="94" t="s">
        <v>781</v>
      </c>
      <c r="B30" s="93" t="s">
        <v>1808</v>
      </c>
      <c r="C30" s="164" t="s">
        <v>1809</v>
      </c>
      <c r="D30" s="93">
        <v>1500</v>
      </c>
      <c r="E30" s="89">
        <v>1500</v>
      </c>
      <c r="F30" s="17">
        <f t="shared" si="1"/>
        <v>0</v>
      </c>
      <c r="G30" s="36"/>
      <c r="H30" s="36"/>
      <c r="I30" s="114"/>
      <c r="J30" s="36"/>
      <c r="K30" s="36"/>
      <c r="L30" s="36"/>
      <c r="M30" s="36"/>
      <c r="N30" s="266"/>
    </row>
    <row r="31" customHeight="1" spans="1:14">
      <c r="A31" s="94" t="s">
        <v>942</v>
      </c>
      <c r="B31" s="93" t="s">
        <v>1810</v>
      </c>
      <c r="C31" s="164" t="s">
        <v>1811</v>
      </c>
      <c r="D31" s="93">
        <v>7000</v>
      </c>
      <c r="E31" s="89"/>
      <c r="F31" s="17">
        <f t="shared" si="1"/>
        <v>7000</v>
      </c>
      <c r="G31" s="36"/>
      <c r="H31" s="36"/>
      <c r="I31" s="114"/>
      <c r="J31" s="36"/>
      <c r="K31" s="36"/>
      <c r="L31" s="36"/>
      <c r="M31" s="36"/>
      <c r="N31" s="266"/>
    </row>
    <row r="32" ht="15.75" spans="1:14">
      <c r="A32" s="94" t="s">
        <v>1812</v>
      </c>
      <c r="B32" s="93" t="s">
        <v>1813</v>
      </c>
      <c r="C32" s="164" t="s">
        <v>1814</v>
      </c>
      <c r="D32" s="93">
        <v>2200</v>
      </c>
      <c r="E32" s="89"/>
      <c r="F32" s="17">
        <f t="shared" si="1"/>
        <v>2200</v>
      </c>
      <c r="G32" s="36"/>
      <c r="H32" s="36"/>
      <c r="I32" s="114"/>
      <c r="J32" s="36"/>
      <c r="K32" s="36"/>
      <c r="L32" s="36"/>
      <c r="M32" s="36"/>
      <c r="N32" s="266"/>
    </row>
    <row r="33" ht="15.75" spans="1:14">
      <c r="A33" s="94" t="s">
        <v>1101</v>
      </c>
      <c r="B33" s="93" t="s">
        <v>1102</v>
      </c>
      <c r="C33" s="164" t="s">
        <v>1815</v>
      </c>
      <c r="D33" s="93">
        <v>5500</v>
      </c>
      <c r="E33" s="89"/>
      <c r="F33" s="17">
        <f t="shared" si="1"/>
        <v>5500</v>
      </c>
      <c r="G33" s="36"/>
      <c r="H33" s="36"/>
      <c r="I33" s="114"/>
      <c r="J33" s="36"/>
      <c r="K33" s="36"/>
      <c r="L33" s="36"/>
      <c r="M33" s="36"/>
      <c r="N33" s="266"/>
    </row>
    <row r="34" ht="15.75" spans="1:14">
      <c r="A34" s="94" t="s">
        <v>1101</v>
      </c>
      <c r="B34" s="93" t="s">
        <v>1816</v>
      </c>
      <c r="C34" s="164" t="s">
        <v>1814</v>
      </c>
      <c r="D34" s="93">
        <v>2050</v>
      </c>
      <c r="E34" s="89">
        <v>600</v>
      </c>
      <c r="F34" s="17">
        <f t="shared" si="1"/>
        <v>1450</v>
      </c>
      <c r="G34" s="36"/>
      <c r="H34" s="36"/>
      <c r="I34" s="114"/>
      <c r="J34" s="36"/>
      <c r="K34" s="36"/>
      <c r="L34" s="36"/>
      <c r="M34" s="36"/>
      <c r="N34" s="266"/>
    </row>
    <row r="35" ht="15.75" spans="1:14">
      <c r="A35" s="94" t="s">
        <v>1817</v>
      </c>
      <c r="B35" s="93" t="s">
        <v>1818</v>
      </c>
      <c r="C35" s="167" t="s">
        <v>1819</v>
      </c>
      <c r="D35" s="93">
        <v>4820</v>
      </c>
      <c r="E35" s="89">
        <v>4820</v>
      </c>
      <c r="F35" s="17">
        <f t="shared" si="1"/>
        <v>0</v>
      </c>
      <c r="G35" s="36"/>
      <c r="H35" s="36"/>
      <c r="I35" s="114"/>
      <c r="J35" s="36"/>
      <c r="K35" s="36"/>
      <c r="L35" s="36"/>
      <c r="M35" s="36"/>
      <c r="N35" s="266"/>
    </row>
    <row r="36" ht="15.75" spans="1:14">
      <c r="A36" s="94" t="s">
        <v>1820</v>
      </c>
      <c r="B36" s="93" t="s">
        <v>1821</v>
      </c>
      <c r="C36" s="257" t="s">
        <v>1822</v>
      </c>
      <c r="D36" s="93">
        <v>9700</v>
      </c>
      <c r="E36" s="89">
        <v>9700</v>
      </c>
      <c r="F36" s="17">
        <f t="shared" si="1"/>
        <v>0</v>
      </c>
      <c r="G36" s="36"/>
      <c r="H36" s="36"/>
      <c r="I36" s="114"/>
      <c r="J36" s="36"/>
      <c r="K36" s="36"/>
      <c r="L36" s="36"/>
      <c r="M36" s="36"/>
      <c r="N36" s="266"/>
    </row>
    <row r="37" ht="15.75" spans="1:14">
      <c r="A37" s="94">
        <v>45300</v>
      </c>
      <c r="B37" s="93" t="s">
        <v>1823</v>
      </c>
      <c r="C37" s="164" t="s">
        <v>1824</v>
      </c>
      <c r="D37" s="93">
        <v>79890</v>
      </c>
      <c r="E37" s="89"/>
      <c r="F37" s="17">
        <f t="shared" si="1"/>
        <v>79890</v>
      </c>
      <c r="G37" s="36"/>
      <c r="H37" s="36"/>
      <c r="I37" s="114"/>
      <c r="J37" s="36"/>
      <c r="K37" s="36"/>
      <c r="L37" s="36"/>
      <c r="M37" s="36"/>
      <c r="N37" s="266"/>
    </row>
    <row r="38" ht="15.75" spans="1:14">
      <c r="A38" s="94" t="s">
        <v>1171</v>
      </c>
      <c r="B38" s="93" t="s">
        <v>1172</v>
      </c>
      <c r="C38" s="164" t="s">
        <v>1825</v>
      </c>
      <c r="D38" s="93">
        <v>15415</v>
      </c>
      <c r="E38" s="89">
        <v>6500</v>
      </c>
      <c r="F38" s="93">
        <f t="shared" ref="F38:F57" si="2">D38-E38</f>
        <v>8915</v>
      </c>
      <c r="G38" s="36"/>
      <c r="H38" s="36"/>
      <c r="I38" s="114"/>
      <c r="J38" s="36"/>
      <c r="K38" s="36"/>
      <c r="L38" s="36"/>
      <c r="M38" s="36"/>
      <c r="N38" s="266"/>
    </row>
    <row r="39" ht="15.75" spans="1:14">
      <c r="A39" s="94" t="s">
        <v>981</v>
      </c>
      <c r="B39" s="93" t="s">
        <v>1826</v>
      </c>
      <c r="C39" s="164" t="s">
        <v>1827</v>
      </c>
      <c r="D39" s="93">
        <v>1500</v>
      </c>
      <c r="E39" s="89">
        <v>1500</v>
      </c>
      <c r="F39" s="17">
        <f t="shared" si="2"/>
        <v>0</v>
      </c>
      <c r="G39" s="36"/>
      <c r="H39" s="36"/>
      <c r="I39" s="114"/>
      <c r="J39" s="36"/>
      <c r="K39" s="36"/>
      <c r="L39" s="36"/>
      <c r="M39" s="36"/>
      <c r="N39" s="266"/>
    </row>
    <row r="40" ht="15.75" spans="1:14">
      <c r="A40" s="94" t="s">
        <v>146</v>
      </c>
      <c r="B40" s="93" t="s">
        <v>1828</v>
      </c>
      <c r="C40" s="164" t="s">
        <v>1829</v>
      </c>
      <c r="D40" s="93">
        <v>14000</v>
      </c>
      <c r="E40" s="89">
        <v>14000</v>
      </c>
      <c r="F40" s="17">
        <f t="shared" si="2"/>
        <v>0</v>
      </c>
      <c r="G40" s="36"/>
      <c r="H40" s="36"/>
      <c r="I40" s="114"/>
      <c r="J40" s="36"/>
      <c r="K40" s="36"/>
      <c r="L40" s="36"/>
      <c r="M40" s="36"/>
      <c r="N40" s="266"/>
    </row>
    <row r="41" ht="15.75" spans="1:14">
      <c r="A41" s="94" t="s">
        <v>988</v>
      </c>
      <c r="B41" s="93" t="s">
        <v>1830</v>
      </c>
      <c r="C41" s="164" t="s">
        <v>1831</v>
      </c>
      <c r="D41" s="93">
        <v>6000</v>
      </c>
      <c r="E41" s="89"/>
      <c r="F41" s="17">
        <f t="shared" si="2"/>
        <v>6000</v>
      </c>
      <c r="G41" s="36"/>
      <c r="H41" s="36"/>
      <c r="I41" s="114"/>
      <c r="J41" s="36"/>
      <c r="K41" s="36"/>
      <c r="L41" s="36"/>
      <c r="M41" s="36"/>
      <c r="N41" s="266"/>
    </row>
    <row r="42" ht="15.75" spans="1:14">
      <c r="A42" s="94" t="s">
        <v>165</v>
      </c>
      <c r="B42" s="93" t="s">
        <v>1832</v>
      </c>
      <c r="C42" s="164" t="s">
        <v>1833</v>
      </c>
      <c r="D42" s="93">
        <v>1554</v>
      </c>
      <c r="E42" s="89"/>
      <c r="F42" s="17">
        <f t="shared" si="2"/>
        <v>1554</v>
      </c>
      <c r="G42" s="36"/>
      <c r="H42" s="36"/>
      <c r="I42" s="114"/>
      <c r="J42" s="36"/>
      <c r="K42" s="36"/>
      <c r="L42" s="36"/>
      <c r="M42" s="36"/>
      <c r="N42" s="266"/>
    </row>
    <row r="43" ht="15.75" spans="1:14">
      <c r="A43" s="94" t="s">
        <v>1218</v>
      </c>
      <c r="B43" s="93" t="s">
        <v>1834</v>
      </c>
      <c r="C43" s="164" t="s">
        <v>1835</v>
      </c>
      <c r="D43" s="93">
        <v>1600</v>
      </c>
      <c r="E43" s="89"/>
      <c r="F43" s="17">
        <f t="shared" si="2"/>
        <v>1600</v>
      </c>
      <c r="G43" s="36"/>
      <c r="H43" s="36"/>
      <c r="I43" s="114"/>
      <c r="J43" s="36"/>
      <c r="K43" s="36"/>
      <c r="L43" s="36"/>
      <c r="M43" s="36"/>
      <c r="N43" s="266"/>
    </row>
    <row r="44" ht="15.75" spans="1:14">
      <c r="A44" s="94" t="s">
        <v>168</v>
      </c>
      <c r="B44" s="93" t="s">
        <v>1836</v>
      </c>
      <c r="C44" s="164" t="s">
        <v>1837</v>
      </c>
      <c r="D44" s="93">
        <v>4050</v>
      </c>
      <c r="E44" s="89">
        <v>4050</v>
      </c>
      <c r="F44" s="17">
        <f t="shared" si="2"/>
        <v>0</v>
      </c>
      <c r="G44" s="36"/>
      <c r="H44" s="36"/>
      <c r="I44" s="114"/>
      <c r="J44" s="36"/>
      <c r="K44" s="36"/>
      <c r="L44" s="36"/>
      <c r="M44" s="36"/>
      <c r="N44" s="266"/>
    </row>
    <row r="45" ht="15.75" spans="1:14">
      <c r="A45" s="94" t="s">
        <v>173</v>
      </c>
      <c r="B45" s="93" t="s">
        <v>1838</v>
      </c>
      <c r="C45" s="164" t="s">
        <v>1839</v>
      </c>
      <c r="D45" s="93">
        <v>1000</v>
      </c>
      <c r="E45" s="89"/>
      <c r="F45" s="17">
        <f t="shared" si="2"/>
        <v>1000</v>
      </c>
      <c r="G45" s="36"/>
      <c r="H45" s="36"/>
      <c r="I45" s="114"/>
      <c r="J45" s="36"/>
      <c r="K45" s="36"/>
      <c r="L45" s="36"/>
      <c r="M45" s="36"/>
      <c r="N45" s="266"/>
    </row>
    <row r="46" ht="15.75" spans="1:14">
      <c r="A46" s="94" t="s">
        <v>168</v>
      </c>
      <c r="B46" s="93" t="s">
        <v>1840</v>
      </c>
      <c r="C46" s="164" t="s">
        <v>1841</v>
      </c>
      <c r="D46" s="93">
        <v>37600</v>
      </c>
      <c r="E46" s="89"/>
      <c r="F46" s="17">
        <f t="shared" si="2"/>
        <v>37600</v>
      </c>
      <c r="G46" s="36"/>
      <c r="H46" s="36"/>
      <c r="I46" s="114"/>
      <c r="J46" s="36"/>
      <c r="K46" s="36"/>
      <c r="L46" s="36"/>
      <c r="M46" s="36"/>
      <c r="N46" s="266"/>
    </row>
    <row r="47" ht="15.75" spans="1:14">
      <c r="A47" s="94" t="s">
        <v>177</v>
      </c>
      <c r="B47" s="93" t="s">
        <v>1842</v>
      </c>
      <c r="C47" s="164" t="s">
        <v>1843</v>
      </c>
      <c r="D47" s="93">
        <v>12000</v>
      </c>
      <c r="E47" s="89"/>
      <c r="F47" s="17">
        <f t="shared" si="2"/>
        <v>12000</v>
      </c>
      <c r="G47" s="36"/>
      <c r="H47" s="36"/>
      <c r="I47" s="114"/>
      <c r="J47" s="36"/>
      <c r="K47" s="36"/>
      <c r="L47" s="36"/>
      <c r="M47" s="36"/>
      <c r="N47" s="266"/>
    </row>
    <row r="48" ht="15.75" spans="1:14">
      <c r="A48" s="94">
        <v>45363</v>
      </c>
      <c r="B48" s="93" t="s">
        <v>1844</v>
      </c>
      <c r="C48" s="164" t="s">
        <v>1845</v>
      </c>
      <c r="D48" s="93">
        <v>7600</v>
      </c>
      <c r="E48" s="89"/>
      <c r="F48" s="17">
        <f t="shared" si="2"/>
        <v>7600</v>
      </c>
      <c r="G48" s="36"/>
      <c r="H48" s="36"/>
      <c r="I48" s="114"/>
      <c r="J48" s="36"/>
      <c r="K48" s="36"/>
      <c r="L48" s="36"/>
      <c r="M48" s="36"/>
      <c r="N48" s="266"/>
    </row>
    <row r="49" ht="30" spans="1:14">
      <c r="A49" s="94" t="s">
        <v>166</v>
      </c>
      <c r="B49" s="93" t="s">
        <v>1846</v>
      </c>
      <c r="C49" s="258" t="s">
        <v>1847</v>
      </c>
      <c r="D49" s="93">
        <v>12000</v>
      </c>
      <c r="E49" s="89"/>
      <c r="F49" s="17">
        <f t="shared" si="2"/>
        <v>12000</v>
      </c>
      <c r="G49" s="36"/>
      <c r="H49" s="36"/>
      <c r="I49" s="114"/>
      <c r="J49" s="36"/>
      <c r="K49" s="36"/>
      <c r="L49" s="36"/>
      <c r="M49" s="36"/>
      <c r="N49" s="266"/>
    </row>
    <row r="50" ht="15.75" spans="1:14">
      <c r="A50" s="94">
        <v>45424</v>
      </c>
      <c r="B50" s="93" t="s">
        <v>1848</v>
      </c>
      <c r="C50" s="164" t="s">
        <v>1849</v>
      </c>
      <c r="D50" s="93">
        <v>1500</v>
      </c>
      <c r="E50" s="89"/>
      <c r="F50" s="17">
        <f t="shared" si="2"/>
        <v>1500</v>
      </c>
      <c r="G50" s="36"/>
      <c r="H50" s="36"/>
      <c r="I50" s="114"/>
      <c r="J50" s="36"/>
      <c r="K50" s="36"/>
      <c r="L50" s="36"/>
      <c r="M50" s="36"/>
      <c r="N50" s="266"/>
    </row>
    <row r="51" ht="30" spans="1:14">
      <c r="A51" s="259">
        <v>45363</v>
      </c>
      <c r="B51" s="93" t="s">
        <v>1850</v>
      </c>
      <c r="C51" s="164" t="s">
        <v>1851</v>
      </c>
      <c r="D51" s="93">
        <v>8075</v>
      </c>
      <c r="E51" s="89">
        <v>8075</v>
      </c>
      <c r="F51" s="17">
        <f t="shared" si="2"/>
        <v>0</v>
      </c>
      <c r="G51" s="38" t="s">
        <v>1852</v>
      </c>
      <c r="H51" s="36"/>
      <c r="I51" s="114"/>
      <c r="J51" s="36"/>
      <c r="K51" s="36"/>
      <c r="L51" s="36"/>
      <c r="M51" s="36"/>
      <c r="N51" s="266"/>
    </row>
    <row r="52" ht="15.75" spans="1:14">
      <c r="A52" s="94">
        <v>45363</v>
      </c>
      <c r="B52" s="93" t="s">
        <v>1853</v>
      </c>
      <c r="C52" s="164" t="s">
        <v>1854</v>
      </c>
      <c r="D52" s="93">
        <v>5550</v>
      </c>
      <c r="E52" s="89"/>
      <c r="F52" s="17">
        <f t="shared" si="2"/>
        <v>5550</v>
      </c>
      <c r="G52" s="36"/>
      <c r="H52" s="36"/>
      <c r="I52" s="114"/>
      <c r="J52" s="36"/>
      <c r="K52" s="36"/>
      <c r="L52" s="36"/>
      <c r="M52" s="36"/>
      <c r="N52" s="266"/>
    </row>
    <row r="53" ht="15.75" spans="1:14">
      <c r="A53" s="94">
        <v>45485</v>
      </c>
      <c r="B53" s="93" t="s">
        <v>1855</v>
      </c>
      <c r="C53" s="167" t="s">
        <v>1856</v>
      </c>
      <c r="D53" s="93">
        <v>1500</v>
      </c>
      <c r="E53" s="89"/>
      <c r="F53" s="17">
        <f t="shared" si="2"/>
        <v>1500</v>
      </c>
      <c r="G53" s="36"/>
      <c r="H53" s="36"/>
      <c r="I53" s="114"/>
      <c r="J53" s="36"/>
      <c r="K53" s="36"/>
      <c r="L53" s="36"/>
      <c r="M53" s="36"/>
      <c r="N53" s="266"/>
    </row>
    <row r="54" ht="15.75" spans="1:14">
      <c r="A54" s="94" t="s">
        <v>212</v>
      </c>
      <c r="B54" s="93" t="s">
        <v>1857</v>
      </c>
      <c r="C54" s="164" t="s">
        <v>1837</v>
      </c>
      <c r="D54" s="93">
        <v>4050</v>
      </c>
      <c r="E54" s="89">
        <v>4050</v>
      </c>
      <c r="F54" s="17">
        <f t="shared" si="2"/>
        <v>0</v>
      </c>
      <c r="G54" s="36"/>
      <c r="H54" s="36"/>
      <c r="I54" s="114"/>
      <c r="J54" s="36"/>
      <c r="K54" s="36"/>
      <c r="L54" s="36"/>
      <c r="M54" s="36"/>
      <c r="N54" s="266"/>
    </row>
    <row r="55" ht="45" spans="1:14">
      <c r="A55" s="94" t="s">
        <v>217</v>
      </c>
      <c r="B55" s="93" t="s">
        <v>1858</v>
      </c>
      <c r="C55" s="164" t="s">
        <v>1837</v>
      </c>
      <c r="D55" s="93">
        <v>3000</v>
      </c>
      <c r="E55" s="89">
        <v>3000</v>
      </c>
      <c r="F55" s="17">
        <f t="shared" si="2"/>
        <v>0</v>
      </c>
      <c r="G55" s="38" t="s">
        <v>1859</v>
      </c>
      <c r="H55" s="36"/>
      <c r="I55" s="114"/>
      <c r="J55" s="36"/>
      <c r="K55" s="36"/>
      <c r="L55" s="36"/>
      <c r="M55" s="36"/>
      <c r="N55" s="266"/>
    </row>
    <row r="56" ht="15.75" spans="1:14">
      <c r="A56" s="94" t="s">
        <v>222</v>
      </c>
      <c r="B56" s="93" t="s">
        <v>1860</v>
      </c>
      <c r="C56" s="164" t="s">
        <v>1861</v>
      </c>
      <c r="D56" s="93">
        <v>5200</v>
      </c>
      <c r="E56" s="89"/>
      <c r="F56" s="17">
        <f t="shared" si="2"/>
        <v>5200</v>
      </c>
      <c r="G56" s="36"/>
      <c r="H56" s="36"/>
      <c r="I56" s="114"/>
      <c r="J56" s="36"/>
      <c r="K56" s="36"/>
      <c r="L56" s="36"/>
      <c r="M56" s="36"/>
      <c r="N56" s="266"/>
    </row>
    <row r="57" ht="15.75" spans="1:14">
      <c r="A57" s="94" t="s">
        <v>168</v>
      </c>
      <c r="B57" s="93" t="s">
        <v>1840</v>
      </c>
      <c r="C57" s="164" t="s">
        <v>1862</v>
      </c>
      <c r="D57" s="93">
        <v>37600</v>
      </c>
      <c r="E57" s="89">
        <v>37600</v>
      </c>
      <c r="F57" s="17">
        <f t="shared" si="2"/>
        <v>0</v>
      </c>
      <c r="G57" s="36" t="s">
        <v>1863</v>
      </c>
      <c r="H57" s="36"/>
      <c r="I57" s="114"/>
      <c r="J57" s="36"/>
      <c r="K57" s="36"/>
      <c r="L57" s="36"/>
      <c r="M57" s="36"/>
      <c r="N57" s="266"/>
    </row>
    <row r="58" ht="15.75" spans="1:14">
      <c r="A58" s="94" t="s">
        <v>235</v>
      </c>
      <c r="B58" s="93" t="s">
        <v>1864</v>
      </c>
      <c r="C58" s="164" t="s">
        <v>1774</v>
      </c>
      <c r="D58" s="93">
        <v>8500</v>
      </c>
      <c r="E58" s="89"/>
      <c r="F58" s="17">
        <f t="shared" ref="F58:F212" si="3">D58-E58</f>
        <v>8500</v>
      </c>
      <c r="G58" s="36"/>
      <c r="H58" s="36"/>
      <c r="I58" s="114"/>
      <c r="J58" s="36"/>
      <c r="K58" s="36"/>
      <c r="L58" s="36"/>
      <c r="M58" s="36"/>
      <c r="N58" s="266"/>
    </row>
    <row r="59" ht="15.75" spans="1:14">
      <c r="A59" s="94" t="s">
        <v>237</v>
      </c>
      <c r="B59" s="93" t="s">
        <v>1865</v>
      </c>
      <c r="C59" s="167" t="s">
        <v>1866</v>
      </c>
      <c r="D59" s="93">
        <v>1700</v>
      </c>
      <c r="E59" s="89"/>
      <c r="F59" s="17">
        <f t="shared" si="3"/>
        <v>1700</v>
      </c>
      <c r="G59" s="36"/>
      <c r="H59" s="36"/>
      <c r="I59" s="114"/>
      <c r="J59" s="36"/>
      <c r="K59" s="36"/>
      <c r="L59" s="36"/>
      <c r="M59" s="36"/>
      <c r="N59" s="266"/>
    </row>
    <row r="60" ht="15.75" spans="1:14">
      <c r="A60" s="94" t="s">
        <v>238</v>
      </c>
      <c r="B60" s="93" t="s">
        <v>1867</v>
      </c>
      <c r="C60" s="164" t="s">
        <v>1837</v>
      </c>
      <c r="D60" s="93">
        <v>3745</v>
      </c>
      <c r="E60" s="89">
        <v>3745</v>
      </c>
      <c r="F60" s="17">
        <f t="shared" si="3"/>
        <v>0</v>
      </c>
      <c r="G60" s="36"/>
      <c r="H60" s="36"/>
      <c r="I60" s="114"/>
      <c r="J60" s="36"/>
      <c r="K60" s="36"/>
      <c r="L60" s="36"/>
      <c r="M60" s="36"/>
      <c r="N60" s="266"/>
    </row>
    <row r="61" ht="15.75" spans="1:14">
      <c r="A61" s="94" t="s">
        <v>238</v>
      </c>
      <c r="B61" s="93" t="s">
        <v>1868</v>
      </c>
      <c r="C61" s="164" t="s">
        <v>1869</v>
      </c>
      <c r="D61" s="93"/>
      <c r="E61" s="89"/>
      <c r="F61" s="17">
        <f t="shared" si="3"/>
        <v>0</v>
      </c>
      <c r="G61" s="36"/>
      <c r="H61" s="36"/>
      <c r="I61" s="114"/>
      <c r="J61" s="36"/>
      <c r="K61" s="36"/>
      <c r="L61" s="36"/>
      <c r="M61" s="36"/>
      <c r="N61" s="266"/>
    </row>
    <row r="62" ht="15.75" spans="1:14">
      <c r="A62" s="94" t="s">
        <v>245</v>
      </c>
      <c r="B62" s="93" t="s">
        <v>1870</v>
      </c>
      <c r="C62" s="164" t="s">
        <v>1871</v>
      </c>
      <c r="D62" s="93">
        <v>23310</v>
      </c>
      <c r="E62" s="89">
        <v>23310</v>
      </c>
      <c r="F62" s="17">
        <f t="shared" si="3"/>
        <v>0</v>
      </c>
      <c r="G62" s="70">
        <v>45658</v>
      </c>
      <c r="H62" s="36"/>
      <c r="I62" s="114"/>
      <c r="J62" s="36"/>
      <c r="K62" s="36"/>
      <c r="L62" s="36"/>
      <c r="M62" s="36"/>
      <c r="N62" s="266"/>
    </row>
    <row r="63" ht="15.75" spans="1:14">
      <c r="A63" s="94" t="s">
        <v>245</v>
      </c>
      <c r="B63" s="93" t="s">
        <v>1872</v>
      </c>
      <c r="C63" s="164" t="s">
        <v>1873</v>
      </c>
      <c r="D63" s="93">
        <v>740</v>
      </c>
      <c r="E63" s="89"/>
      <c r="F63" s="17">
        <f t="shared" si="3"/>
        <v>740</v>
      </c>
      <c r="G63" s="36"/>
      <c r="H63" s="36"/>
      <c r="I63" s="114"/>
      <c r="J63" s="36"/>
      <c r="K63" s="36"/>
      <c r="L63" s="36"/>
      <c r="M63" s="36"/>
      <c r="N63" s="266"/>
    </row>
    <row r="64" ht="15.75" spans="1:14">
      <c r="A64" s="94" t="s">
        <v>250</v>
      </c>
      <c r="B64" s="93" t="s">
        <v>1874</v>
      </c>
      <c r="C64" s="164" t="s">
        <v>1875</v>
      </c>
      <c r="D64" s="93">
        <v>300</v>
      </c>
      <c r="E64" s="89"/>
      <c r="F64" s="17">
        <f t="shared" si="3"/>
        <v>300</v>
      </c>
      <c r="G64" s="36"/>
      <c r="H64" s="36"/>
      <c r="I64" s="114"/>
      <c r="J64" s="36"/>
      <c r="K64" s="36"/>
      <c r="L64" s="36"/>
      <c r="M64" s="36"/>
      <c r="N64" s="266"/>
    </row>
    <row r="65" ht="15.75" spans="1:14">
      <c r="A65" s="94" t="s">
        <v>1227</v>
      </c>
      <c r="B65" s="93" t="s">
        <v>1876</v>
      </c>
      <c r="C65" s="164" t="s">
        <v>1877</v>
      </c>
      <c r="D65" s="93">
        <v>2500</v>
      </c>
      <c r="E65" s="89">
        <v>2500</v>
      </c>
      <c r="F65" s="17">
        <f t="shared" si="3"/>
        <v>0</v>
      </c>
      <c r="G65" s="36"/>
      <c r="H65" s="36"/>
      <c r="I65" s="114"/>
      <c r="J65" s="36"/>
      <c r="K65" s="36"/>
      <c r="L65" s="36"/>
      <c r="M65" s="36"/>
      <c r="N65" s="266"/>
    </row>
    <row r="66" ht="15.75" spans="1:14">
      <c r="A66" s="94">
        <v>45689</v>
      </c>
      <c r="B66" s="93" t="s">
        <v>1878</v>
      </c>
      <c r="C66" s="164" t="s">
        <v>1871</v>
      </c>
      <c r="D66" s="93">
        <v>7770</v>
      </c>
      <c r="E66" s="89">
        <v>7770</v>
      </c>
      <c r="F66" s="17">
        <f t="shared" si="3"/>
        <v>0</v>
      </c>
      <c r="G66" s="36"/>
      <c r="H66" s="36"/>
      <c r="I66" s="114"/>
      <c r="J66" s="36"/>
      <c r="K66" s="36"/>
      <c r="L66" s="36"/>
      <c r="M66" s="36"/>
      <c r="N66" s="266"/>
    </row>
    <row r="67" ht="15.75" spans="1:14">
      <c r="A67" s="94">
        <v>45748</v>
      </c>
      <c r="B67" s="93" t="s">
        <v>1879</v>
      </c>
      <c r="C67" s="164" t="s">
        <v>1880</v>
      </c>
      <c r="D67" s="93">
        <v>7500</v>
      </c>
      <c r="E67" s="89">
        <v>7500</v>
      </c>
      <c r="F67" s="17">
        <f t="shared" si="3"/>
        <v>0</v>
      </c>
      <c r="G67" s="36"/>
      <c r="H67" s="36"/>
      <c r="I67" s="114"/>
      <c r="J67" s="36"/>
      <c r="K67" s="36"/>
      <c r="L67" s="36"/>
      <c r="M67" s="36"/>
      <c r="N67" s="266"/>
    </row>
    <row r="68" ht="15.75" spans="1:14">
      <c r="A68" s="94">
        <v>45809</v>
      </c>
      <c r="B68" s="93" t="s">
        <v>1881</v>
      </c>
      <c r="C68" s="164" t="s">
        <v>1854</v>
      </c>
      <c r="D68" s="93">
        <v>500</v>
      </c>
      <c r="E68" s="89">
        <v>500</v>
      </c>
      <c r="F68" s="17">
        <f t="shared" si="3"/>
        <v>0</v>
      </c>
      <c r="G68" s="36"/>
      <c r="H68" s="36"/>
      <c r="I68" s="114"/>
      <c r="J68" s="36"/>
      <c r="K68" s="36"/>
      <c r="L68" s="36"/>
      <c r="M68" s="36"/>
      <c r="N68" s="266"/>
    </row>
    <row r="69" ht="15.75" spans="1:14">
      <c r="A69" s="94">
        <v>45839</v>
      </c>
      <c r="B69" s="93" t="s">
        <v>1882</v>
      </c>
      <c r="C69" s="164" t="s">
        <v>1883</v>
      </c>
      <c r="D69" s="93">
        <v>550</v>
      </c>
      <c r="E69" s="89"/>
      <c r="F69" s="17">
        <f t="shared" si="3"/>
        <v>550</v>
      </c>
      <c r="G69" s="36"/>
      <c r="H69" s="36"/>
      <c r="I69" s="114"/>
      <c r="J69" s="36"/>
      <c r="K69" s="36"/>
      <c r="L69" s="36"/>
      <c r="M69" s="36"/>
      <c r="N69" s="266"/>
    </row>
    <row r="70" ht="15.75" spans="1:14">
      <c r="A70" s="94">
        <v>45870</v>
      </c>
      <c r="B70" s="93" t="s">
        <v>1884</v>
      </c>
      <c r="C70" s="164" t="s">
        <v>1885</v>
      </c>
      <c r="D70" s="93">
        <v>2750</v>
      </c>
      <c r="E70" s="89"/>
      <c r="F70" s="17">
        <f t="shared" si="3"/>
        <v>2750</v>
      </c>
      <c r="G70" s="36"/>
      <c r="H70" s="36"/>
      <c r="I70" s="114"/>
      <c r="J70" s="36"/>
      <c r="K70" s="36"/>
      <c r="L70" s="36"/>
      <c r="M70" s="36"/>
      <c r="N70" s="266"/>
    </row>
    <row r="71" ht="15.75" spans="1:14">
      <c r="A71" s="94">
        <v>45901</v>
      </c>
      <c r="B71" s="93" t="s">
        <v>1886</v>
      </c>
      <c r="C71" s="164" t="s">
        <v>1887</v>
      </c>
      <c r="D71" s="93">
        <v>3050</v>
      </c>
      <c r="E71" s="89">
        <v>3050</v>
      </c>
      <c r="F71" s="17">
        <f t="shared" si="3"/>
        <v>0</v>
      </c>
      <c r="G71" s="36"/>
      <c r="H71" s="36"/>
      <c r="I71" s="114"/>
      <c r="J71" s="36"/>
      <c r="K71" s="36"/>
      <c r="L71" s="36"/>
      <c r="M71" s="36"/>
      <c r="N71" s="266"/>
    </row>
    <row r="72" ht="15.75" spans="1:14">
      <c r="A72" s="94" t="s">
        <v>829</v>
      </c>
      <c r="B72" s="93" t="s">
        <v>1888</v>
      </c>
      <c r="C72" s="164" t="s">
        <v>1889</v>
      </c>
      <c r="D72" s="93">
        <v>800</v>
      </c>
      <c r="E72" s="89"/>
      <c r="F72" s="17">
        <f t="shared" si="3"/>
        <v>800</v>
      </c>
      <c r="G72" s="36"/>
      <c r="H72" s="36"/>
      <c r="I72" s="114"/>
      <c r="J72" s="36"/>
      <c r="K72" s="36"/>
      <c r="L72" s="36"/>
      <c r="M72" s="36"/>
      <c r="N72" s="266"/>
    </row>
    <row r="73" ht="15.75" spans="1:14">
      <c r="A73" s="94" t="s">
        <v>273</v>
      </c>
      <c r="B73" s="93" t="s">
        <v>1890</v>
      </c>
      <c r="C73" s="164" t="s">
        <v>1891</v>
      </c>
      <c r="D73" s="93">
        <v>19000</v>
      </c>
      <c r="E73" s="89">
        <v>19000</v>
      </c>
      <c r="F73" s="17">
        <f t="shared" si="3"/>
        <v>0</v>
      </c>
      <c r="G73" s="36" t="s">
        <v>1892</v>
      </c>
      <c r="H73" s="36"/>
      <c r="I73" s="114"/>
      <c r="J73" s="36"/>
      <c r="K73" s="36"/>
      <c r="L73" s="36"/>
      <c r="M73" s="36"/>
      <c r="N73" s="266"/>
    </row>
    <row r="74" ht="15.75" spans="1:14">
      <c r="A74" s="94" t="s">
        <v>273</v>
      </c>
      <c r="B74" s="93" t="s">
        <v>1893</v>
      </c>
      <c r="C74" s="164" t="s">
        <v>1894</v>
      </c>
      <c r="D74" s="93">
        <v>1200</v>
      </c>
      <c r="E74" s="89"/>
      <c r="F74" s="17">
        <f t="shared" si="3"/>
        <v>1200</v>
      </c>
      <c r="G74" s="36"/>
      <c r="H74" s="36"/>
      <c r="I74" s="114"/>
      <c r="J74" s="36"/>
      <c r="K74" s="36"/>
      <c r="L74" s="36"/>
      <c r="M74" s="36"/>
      <c r="N74" s="266"/>
    </row>
    <row r="75" ht="30" spans="1:14">
      <c r="A75" s="94" t="s">
        <v>1895</v>
      </c>
      <c r="B75" s="93" t="s">
        <v>1896</v>
      </c>
      <c r="C75" s="269" t="s">
        <v>1897</v>
      </c>
      <c r="D75" s="93">
        <v>14000</v>
      </c>
      <c r="E75" s="89">
        <v>14000</v>
      </c>
      <c r="F75" s="17">
        <f t="shared" si="3"/>
        <v>0</v>
      </c>
      <c r="G75" s="36"/>
      <c r="H75" s="36"/>
      <c r="I75" s="114"/>
      <c r="J75" s="36"/>
      <c r="K75" s="36"/>
      <c r="L75" s="36"/>
      <c r="M75" s="36"/>
      <c r="N75" s="266"/>
    </row>
    <row r="76" ht="15.75" spans="1:14">
      <c r="A76" s="94" t="s">
        <v>950</v>
      </c>
      <c r="B76" s="93" t="s">
        <v>1898</v>
      </c>
      <c r="C76" s="258" t="s">
        <v>1887</v>
      </c>
      <c r="D76" s="93">
        <v>3470</v>
      </c>
      <c r="E76" s="89">
        <v>3370</v>
      </c>
      <c r="F76" s="17">
        <f t="shared" si="3"/>
        <v>100</v>
      </c>
      <c r="G76" s="36"/>
      <c r="H76" s="36"/>
      <c r="I76" s="114"/>
      <c r="J76" s="36"/>
      <c r="K76" s="36"/>
      <c r="L76" s="36"/>
      <c r="M76" s="36"/>
      <c r="N76" s="266"/>
    </row>
    <row r="77" ht="15.75" spans="1:14">
      <c r="A77" s="94" t="s">
        <v>284</v>
      </c>
      <c r="B77" s="93" t="s">
        <v>1899</v>
      </c>
      <c r="C77" s="258" t="s">
        <v>1900</v>
      </c>
      <c r="D77" s="93">
        <v>2600</v>
      </c>
      <c r="E77" s="89">
        <v>2600</v>
      </c>
      <c r="F77" s="17">
        <f t="shared" si="3"/>
        <v>0</v>
      </c>
      <c r="G77" s="36"/>
      <c r="H77" s="36"/>
      <c r="I77" s="114"/>
      <c r="J77" s="36"/>
      <c r="K77" s="36"/>
      <c r="L77" s="36"/>
      <c r="M77" s="36"/>
      <c r="N77" s="266"/>
    </row>
    <row r="78" ht="15.75" spans="1:14">
      <c r="A78" s="94" t="s">
        <v>284</v>
      </c>
      <c r="B78" s="93" t="s">
        <v>1901</v>
      </c>
      <c r="C78" s="164" t="s">
        <v>1902</v>
      </c>
      <c r="D78" s="93">
        <v>12900</v>
      </c>
      <c r="E78" s="89"/>
      <c r="F78" s="17">
        <f t="shared" si="3"/>
        <v>12900</v>
      </c>
      <c r="G78" s="36"/>
      <c r="H78" s="36"/>
      <c r="I78" s="114"/>
      <c r="J78" s="36"/>
      <c r="K78" s="36"/>
      <c r="L78" s="36"/>
      <c r="M78" s="36"/>
      <c r="N78" s="266"/>
    </row>
    <row r="79" ht="15.75" spans="1:14">
      <c r="A79" s="94" t="s">
        <v>1903</v>
      </c>
      <c r="B79" s="93" t="s">
        <v>1904</v>
      </c>
      <c r="C79" s="164" t="s">
        <v>1905</v>
      </c>
      <c r="D79" s="93">
        <v>13085</v>
      </c>
      <c r="E79" s="89"/>
      <c r="F79" s="17">
        <f t="shared" si="3"/>
        <v>13085</v>
      </c>
      <c r="G79" s="36"/>
      <c r="H79" s="36"/>
      <c r="I79" s="114"/>
      <c r="J79" s="36"/>
      <c r="K79" s="36"/>
      <c r="L79" s="36"/>
      <c r="M79" s="36"/>
      <c r="N79" s="266"/>
    </row>
    <row r="80" ht="15.75" spans="1:14">
      <c r="A80" s="94" t="s">
        <v>1903</v>
      </c>
      <c r="B80" s="93" t="s">
        <v>1906</v>
      </c>
      <c r="C80" s="164" t="s">
        <v>1907</v>
      </c>
      <c r="D80" s="93">
        <v>1000</v>
      </c>
      <c r="E80" s="89">
        <v>1000</v>
      </c>
      <c r="F80" s="17">
        <f t="shared" si="3"/>
        <v>0</v>
      </c>
      <c r="G80" s="36"/>
      <c r="H80" s="36"/>
      <c r="I80" s="114"/>
      <c r="J80" s="36"/>
      <c r="K80" s="36"/>
      <c r="L80" s="36"/>
      <c r="M80" s="36"/>
      <c r="N80" s="266"/>
    </row>
    <row r="81" ht="15.75" spans="1:14">
      <c r="A81" s="94" t="s">
        <v>1903</v>
      </c>
      <c r="B81" s="93" t="s">
        <v>1908</v>
      </c>
      <c r="C81" s="164" t="s">
        <v>1909</v>
      </c>
      <c r="D81" s="93">
        <v>1810</v>
      </c>
      <c r="E81" s="89"/>
      <c r="F81" s="17">
        <f t="shared" si="3"/>
        <v>1810</v>
      </c>
      <c r="G81" s="36"/>
      <c r="H81" s="36"/>
      <c r="I81" s="114"/>
      <c r="J81" s="36"/>
      <c r="K81" s="36"/>
      <c r="L81" s="36"/>
      <c r="M81" s="36"/>
      <c r="N81" s="266"/>
    </row>
    <row r="82" ht="15.75" spans="1:14">
      <c r="A82" s="94">
        <v>45749</v>
      </c>
      <c r="B82" s="93" t="s">
        <v>1910</v>
      </c>
      <c r="C82" s="164" t="s">
        <v>1880</v>
      </c>
      <c r="D82" s="93">
        <v>7500</v>
      </c>
      <c r="E82" s="89">
        <v>7500</v>
      </c>
      <c r="F82" s="17">
        <f t="shared" si="3"/>
        <v>0</v>
      </c>
      <c r="G82" s="36"/>
      <c r="H82" s="36"/>
      <c r="I82" s="114"/>
      <c r="J82" s="36"/>
      <c r="K82" s="36"/>
      <c r="L82" s="36"/>
      <c r="M82" s="36"/>
      <c r="N82" s="266"/>
    </row>
    <row r="83" ht="15.75" spans="1:14">
      <c r="A83" s="94">
        <v>45690</v>
      </c>
      <c r="B83" s="93" t="s">
        <v>1911</v>
      </c>
      <c r="C83" s="164" t="s">
        <v>1837</v>
      </c>
      <c r="D83" s="93">
        <v>4190</v>
      </c>
      <c r="E83" s="89">
        <v>4050</v>
      </c>
      <c r="F83" s="17">
        <f t="shared" si="3"/>
        <v>140</v>
      </c>
      <c r="G83" s="36"/>
      <c r="H83" s="36"/>
      <c r="I83" s="114"/>
      <c r="J83" s="36"/>
      <c r="K83" s="36"/>
      <c r="L83" s="36"/>
      <c r="M83" s="36"/>
      <c r="N83" s="266"/>
    </row>
    <row r="84" ht="15.75" spans="1:14">
      <c r="A84" s="94">
        <v>45810</v>
      </c>
      <c r="B84" s="93" t="s">
        <v>1912</v>
      </c>
      <c r="C84" s="167" t="s">
        <v>1837</v>
      </c>
      <c r="D84" s="93">
        <v>3370</v>
      </c>
      <c r="E84" s="89">
        <v>3370</v>
      </c>
      <c r="F84" s="17">
        <f t="shared" si="3"/>
        <v>0</v>
      </c>
      <c r="G84" s="36"/>
      <c r="H84" s="36"/>
      <c r="I84" s="114"/>
      <c r="J84" s="36"/>
      <c r="K84" s="36"/>
      <c r="L84" s="36"/>
      <c r="M84" s="36"/>
      <c r="N84" s="266"/>
    </row>
    <row r="85" ht="15.75" spans="1:14">
      <c r="A85" s="270">
        <v>45993</v>
      </c>
      <c r="B85" s="93" t="s">
        <v>1913</v>
      </c>
      <c r="C85" s="164" t="s">
        <v>1914</v>
      </c>
      <c r="D85" s="93">
        <v>1500</v>
      </c>
      <c r="E85" s="89">
        <v>1500</v>
      </c>
      <c r="F85" s="17">
        <f t="shared" si="3"/>
        <v>0</v>
      </c>
      <c r="G85" s="36"/>
      <c r="H85" s="36"/>
      <c r="I85" s="114"/>
      <c r="J85" s="36"/>
      <c r="K85" s="36"/>
      <c r="L85" s="36"/>
      <c r="M85" s="36"/>
      <c r="N85" s="266"/>
    </row>
    <row r="86" ht="15.75" spans="1:14">
      <c r="A86" s="94">
        <v>45993</v>
      </c>
      <c r="B86" s="93" t="s">
        <v>1915</v>
      </c>
      <c r="C86" s="164" t="s">
        <v>1916</v>
      </c>
      <c r="D86" s="93">
        <v>2250</v>
      </c>
      <c r="E86" s="89">
        <v>2250</v>
      </c>
      <c r="F86" s="17">
        <f t="shared" si="3"/>
        <v>0</v>
      </c>
      <c r="G86" s="36"/>
      <c r="H86" s="36"/>
      <c r="I86" s="114"/>
      <c r="J86" s="36"/>
      <c r="K86" s="36"/>
      <c r="L86" s="36"/>
      <c r="M86" s="36"/>
      <c r="N86" s="266"/>
    </row>
    <row r="87" ht="15.75" spans="1:14">
      <c r="A87" s="94" t="s">
        <v>322</v>
      </c>
      <c r="B87" s="93" t="s">
        <v>1917</v>
      </c>
      <c r="C87" s="167" t="s">
        <v>1837</v>
      </c>
      <c r="D87" s="93">
        <v>4000</v>
      </c>
      <c r="E87" s="89">
        <v>4000</v>
      </c>
      <c r="F87" s="17">
        <f t="shared" si="3"/>
        <v>0</v>
      </c>
      <c r="G87" s="36"/>
      <c r="H87" s="36"/>
      <c r="I87" s="114"/>
      <c r="J87" s="36"/>
      <c r="K87" s="36"/>
      <c r="L87" s="36"/>
      <c r="M87" s="36"/>
      <c r="N87" s="266"/>
    </row>
    <row r="88" ht="15.75" spans="1:14">
      <c r="A88" s="94" t="s">
        <v>322</v>
      </c>
      <c r="B88" s="93" t="s">
        <v>1918</v>
      </c>
      <c r="C88" s="167" t="s">
        <v>1856</v>
      </c>
      <c r="D88" s="93">
        <v>1500</v>
      </c>
      <c r="E88" s="89"/>
      <c r="F88" s="17">
        <f t="shared" si="3"/>
        <v>1500</v>
      </c>
      <c r="G88" s="36"/>
      <c r="H88" s="36"/>
      <c r="I88" s="114"/>
      <c r="J88" s="36"/>
      <c r="K88" s="36"/>
      <c r="L88" s="36"/>
      <c r="M88" s="36"/>
      <c r="N88" s="266"/>
    </row>
    <row r="89" ht="15.75" spans="1:14">
      <c r="A89" s="94">
        <v>45902</v>
      </c>
      <c r="B89" s="93" t="s">
        <v>1919</v>
      </c>
      <c r="C89" s="167" t="s">
        <v>1920</v>
      </c>
      <c r="D89" s="93">
        <v>2450</v>
      </c>
      <c r="E89" s="89"/>
      <c r="F89" s="17">
        <f t="shared" si="3"/>
        <v>2450</v>
      </c>
      <c r="G89" s="36"/>
      <c r="H89" s="36"/>
      <c r="I89" s="114"/>
      <c r="J89" s="36"/>
      <c r="K89" s="36"/>
      <c r="L89" s="36"/>
      <c r="M89" s="36"/>
      <c r="N89" s="266"/>
    </row>
    <row r="90" ht="15.75" spans="1:14">
      <c r="A90" s="94" t="s">
        <v>322</v>
      </c>
      <c r="B90" s="93" t="s">
        <v>1921</v>
      </c>
      <c r="C90" s="164" t="s">
        <v>1862</v>
      </c>
      <c r="D90" s="93">
        <v>1500</v>
      </c>
      <c r="E90" s="89"/>
      <c r="F90" s="17">
        <f t="shared" si="3"/>
        <v>1500</v>
      </c>
      <c r="G90" s="36"/>
      <c r="H90" s="36"/>
      <c r="I90" s="114"/>
      <c r="J90" s="36"/>
      <c r="K90" s="36"/>
      <c r="L90" s="36"/>
      <c r="M90" s="36"/>
      <c r="N90" s="266"/>
    </row>
    <row r="91" ht="15.75" spans="1:14">
      <c r="A91" s="94" t="s">
        <v>292</v>
      </c>
      <c r="B91" s="93" t="s">
        <v>1922</v>
      </c>
      <c r="C91" s="164" t="s">
        <v>1923</v>
      </c>
      <c r="D91" s="93">
        <v>7800</v>
      </c>
      <c r="E91" s="89">
        <v>7500</v>
      </c>
      <c r="F91" s="17">
        <f t="shared" si="3"/>
        <v>300</v>
      </c>
      <c r="G91" s="36"/>
      <c r="H91" s="36"/>
      <c r="I91" s="114"/>
      <c r="J91" s="36"/>
      <c r="K91" s="36"/>
      <c r="L91" s="36"/>
      <c r="M91" s="36"/>
      <c r="N91" s="266"/>
    </row>
    <row r="92" ht="15.75" spans="1:14">
      <c r="A92" s="94" t="s">
        <v>1924</v>
      </c>
      <c r="B92" s="93" t="s">
        <v>1925</v>
      </c>
      <c r="C92" s="164" t="s">
        <v>1926</v>
      </c>
      <c r="D92" s="93">
        <v>8050</v>
      </c>
      <c r="E92" s="89"/>
      <c r="F92" s="17">
        <f t="shared" si="3"/>
        <v>8050</v>
      </c>
      <c r="G92" s="36"/>
      <c r="H92" s="36"/>
      <c r="I92" s="114"/>
      <c r="J92" s="36"/>
      <c r="K92" s="36"/>
      <c r="L92" s="36"/>
      <c r="M92" s="36"/>
      <c r="N92" s="266"/>
    </row>
    <row r="93" ht="15.75" spans="1:14">
      <c r="A93" s="94" t="s">
        <v>327</v>
      </c>
      <c r="B93" s="93" t="s">
        <v>1927</v>
      </c>
      <c r="C93" s="164" t="s">
        <v>1928</v>
      </c>
      <c r="D93" s="93">
        <v>2150</v>
      </c>
      <c r="E93" s="89"/>
      <c r="F93" s="17">
        <f t="shared" si="3"/>
        <v>2150</v>
      </c>
      <c r="G93" s="36"/>
      <c r="H93" s="36"/>
      <c r="I93" s="114"/>
      <c r="J93" s="36"/>
      <c r="K93" s="36"/>
      <c r="L93" s="36"/>
      <c r="M93" s="36"/>
      <c r="N93" s="266"/>
    </row>
    <row r="94" ht="15.75" spans="1:14">
      <c r="A94" s="94" t="s">
        <v>327</v>
      </c>
      <c r="B94" s="93" t="s">
        <v>1929</v>
      </c>
      <c r="C94" s="257" t="s">
        <v>1930</v>
      </c>
      <c r="D94" s="93">
        <v>3388</v>
      </c>
      <c r="E94" s="89"/>
      <c r="F94" s="17">
        <f t="shared" si="3"/>
        <v>3388</v>
      </c>
      <c r="G94" s="36"/>
      <c r="H94" s="36"/>
      <c r="I94" s="114"/>
      <c r="J94" s="36"/>
      <c r="K94" s="36"/>
      <c r="L94" s="36"/>
      <c r="M94" s="36"/>
      <c r="N94" s="266"/>
    </row>
    <row r="95" ht="15.75" spans="1:14">
      <c r="A95" s="94" t="s">
        <v>328</v>
      </c>
      <c r="B95" s="93" t="s">
        <v>1931</v>
      </c>
      <c r="C95" s="164" t="s">
        <v>1932</v>
      </c>
      <c r="D95" s="93">
        <v>27450</v>
      </c>
      <c r="E95" s="89">
        <v>27450</v>
      </c>
      <c r="F95" s="17">
        <f t="shared" si="3"/>
        <v>0</v>
      </c>
      <c r="G95" s="36"/>
      <c r="H95" s="36"/>
      <c r="I95" s="114"/>
      <c r="J95" s="36"/>
      <c r="K95" s="36"/>
      <c r="L95" s="36"/>
      <c r="M95" s="36"/>
      <c r="N95" s="266"/>
    </row>
    <row r="96" ht="15.75" spans="1:14">
      <c r="A96" s="94" t="s">
        <v>1374</v>
      </c>
      <c r="B96" s="93" t="s">
        <v>1933</v>
      </c>
      <c r="C96" s="164" t="s">
        <v>1934</v>
      </c>
      <c r="D96" s="93">
        <v>2800</v>
      </c>
      <c r="E96" s="89"/>
      <c r="F96" s="17">
        <f t="shared" si="3"/>
        <v>2800</v>
      </c>
      <c r="G96" s="36"/>
      <c r="H96" s="36"/>
      <c r="I96" s="114"/>
      <c r="J96" s="36"/>
      <c r="K96" s="36"/>
      <c r="L96" s="36"/>
      <c r="M96" s="36"/>
      <c r="N96" s="266"/>
    </row>
    <row r="97" ht="15.75" spans="1:14">
      <c r="A97" s="94" t="s">
        <v>1374</v>
      </c>
      <c r="B97" s="93" t="s">
        <v>1935</v>
      </c>
      <c r="C97" s="164" t="s">
        <v>1936</v>
      </c>
      <c r="D97" s="93">
        <v>4070</v>
      </c>
      <c r="E97" s="89"/>
      <c r="F97" s="17">
        <f t="shared" si="3"/>
        <v>4070</v>
      </c>
      <c r="G97" s="36"/>
      <c r="H97" s="36"/>
      <c r="I97" s="114"/>
      <c r="J97" s="36"/>
      <c r="K97" s="36"/>
      <c r="L97" s="36"/>
      <c r="M97" s="36"/>
      <c r="N97" s="266"/>
    </row>
    <row r="98" ht="15.75" spans="1:14">
      <c r="A98" s="94" t="s">
        <v>1937</v>
      </c>
      <c r="B98" s="93" t="s">
        <v>1938</v>
      </c>
      <c r="C98" s="164" t="s">
        <v>1926</v>
      </c>
      <c r="D98" s="93">
        <v>3450</v>
      </c>
      <c r="E98" s="89"/>
      <c r="F98" s="17">
        <f t="shared" si="3"/>
        <v>3450</v>
      </c>
      <c r="G98" s="36"/>
      <c r="H98" s="36"/>
      <c r="I98" s="114"/>
      <c r="J98" s="36"/>
      <c r="K98" s="36"/>
      <c r="L98" s="36"/>
      <c r="M98" s="36"/>
      <c r="N98" s="266"/>
    </row>
    <row r="99" ht="15.75" spans="1:14">
      <c r="A99" s="94" t="s">
        <v>334</v>
      </c>
      <c r="B99" s="93" t="s">
        <v>1939</v>
      </c>
      <c r="C99" s="164" t="s">
        <v>1940</v>
      </c>
      <c r="D99" s="93">
        <v>2400</v>
      </c>
      <c r="E99" s="89"/>
      <c r="F99" s="17">
        <f t="shared" si="3"/>
        <v>2400</v>
      </c>
      <c r="G99" s="36"/>
      <c r="H99" s="36"/>
      <c r="I99" s="114"/>
      <c r="J99" s="36"/>
      <c r="K99" s="36"/>
      <c r="L99" s="36"/>
      <c r="M99" s="36"/>
      <c r="N99" s="266"/>
    </row>
    <row r="100" ht="15.75" spans="1:14">
      <c r="A100" s="94" t="s">
        <v>336</v>
      </c>
      <c r="B100" s="93" t="s">
        <v>1941</v>
      </c>
      <c r="C100" s="164" t="s">
        <v>1942</v>
      </c>
      <c r="D100" s="93">
        <v>21600</v>
      </c>
      <c r="E100" s="89"/>
      <c r="F100" s="17">
        <f t="shared" si="3"/>
        <v>21600</v>
      </c>
      <c r="G100" s="36"/>
      <c r="H100" s="36"/>
      <c r="I100" s="114"/>
      <c r="J100" s="36"/>
      <c r="K100" s="36"/>
      <c r="L100" s="36"/>
      <c r="M100" s="36"/>
      <c r="N100" s="266"/>
    </row>
    <row r="101" ht="15.75" spans="1:14">
      <c r="A101" s="94" t="s">
        <v>336</v>
      </c>
      <c r="B101" s="93" t="s">
        <v>1943</v>
      </c>
      <c r="C101" s="164" t="s">
        <v>1944</v>
      </c>
      <c r="D101" s="93">
        <v>900</v>
      </c>
      <c r="E101" s="89"/>
      <c r="F101" s="17">
        <f t="shared" si="3"/>
        <v>900</v>
      </c>
      <c r="G101" s="36"/>
      <c r="H101" s="36"/>
      <c r="I101" s="114"/>
      <c r="J101" s="36"/>
      <c r="K101" s="36"/>
      <c r="L101" s="36"/>
      <c r="M101" s="36"/>
      <c r="N101" s="266"/>
    </row>
    <row r="102" ht="15.75" spans="1:14">
      <c r="A102" s="94" t="s">
        <v>267</v>
      </c>
      <c r="B102" s="93" t="s">
        <v>1945</v>
      </c>
      <c r="C102" s="164" t="s">
        <v>1946</v>
      </c>
      <c r="D102" s="93">
        <v>15100</v>
      </c>
      <c r="E102" s="89">
        <v>15100</v>
      </c>
      <c r="F102" s="17">
        <f t="shared" si="3"/>
        <v>0</v>
      </c>
      <c r="G102" s="36"/>
      <c r="H102" s="36"/>
      <c r="I102" s="114"/>
      <c r="J102" s="36"/>
      <c r="K102" s="36"/>
      <c r="L102" s="36"/>
      <c r="M102" s="36"/>
      <c r="N102" s="266"/>
    </row>
    <row r="103" ht="15.75" spans="1:14">
      <c r="A103" s="94" t="s">
        <v>1937</v>
      </c>
      <c r="B103" s="93" t="s">
        <v>1947</v>
      </c>
      <c r="C103" s="167" t="s">
        <v>1948</v>
      </c>
      <c r="D103" s="93">
        <v>80900</v>
      </c>
      <c r="E103" s="89"/>
      <c r="F103" s="17">
        <f t="shared" si="3"/>
        <v>80900</v>
      </c>
      <c r="G103" s="36"/>
      <c r="H103" s="36"/>
      <c r="I103" s="114"/>
      <c r="J103" s="36"/>
      <c r="K103" s="36"/>
      <c r="L103" s="36"/>
      <c r="M103" s="36"/>
      <c r="N103" s="266"/>
    </row>
    <row r="104" ht="15.75" spans="1:14">
      <c r="A104" s="94">
        <v>45691</v>
      </c>
      <c r="B104" s="93" t="s">
        <v>1949</v>
      </c>
      <c r="C104" s="164" t="s">
        <v>1950</v>
      </c>
      <c r="D104" s="93">
        <v>820</v>
      </c>
      <c r="E104" s="89"/>
      <c r="F104" s="17">
        <f t="shared" si="3"/>
        <v>820</v>
      </c>
      <c r="G104" s="36"/>
      <c r="H104" s="36"/>
      <c r="I104" s="114"/>
      <c r="J104" s="36"/>
      <c r="K104" s="36"/>
      <c r="L104" s="36"/>
      <c r="M104" s="36"/>
      <c r="N104" s="266"/>
    </row>
    <row r="105" ht="15.75" spans="1:14">
      <c r="A105" s="94">
        <v>45691</v>
      </c>
      <c r="B105" s="93" t="s">
        <v>1951</v>
      </c>
      <c r="C105" s="164" t="s">
        <v>1952</v>
      </c>
      <c r="D105" s="93">
        <v>17850</v>
      </c>
      <c r="E105" s="89"/>
      <c r="F105" s="17">
        <f t="shared" si="3"/>
        <v>17850</v>
      </c>
      <c r="G105" s="36"/>
      <c r="H105" s="36"/>
      <c r="I105" s="114"/>
      <c r="J105" s="36"/>
      <c r="K105" s="36"/>
      <c r="L105" s="36"/>
      <c r="M105" s="36"/>
      <c r="N105" s="266"/>
    </row>
    <row r="106" ht="15.75" spans="1:14">
      <c r="A106" s="94">
        <v>45903</v>
      </c>
      <c r="B106" s="93" t="s">
        <v>1953</v>
      </c>
      <c r="C106" s="164" t="s">
        <v>1954</v>
      </c>
      <c r="D106" s="93">
        <v>5350</v>
      </c>
      <c r="E106" s="89"/>
      <c r="F106" s="17">
        <f t="shared" si="3"/>
        <v>5350</v>
      </c>
      <c r="G106" s="36"/>
      <c r="H106" s="36"/>
      <c r="I106" s="114"/>
      <c r="J106" s="36"/>
      <c r="K106" s="36"/>
      <c r="L106" s="36"/>
      <c r="M106" s="36"/>
      <c r="N106" s="266"/>
    </row>
    <row r="107" ht="15.75" spans="1:14">
      <c r="A107" s="94" t="s">
        <v>348</v>
      </c>
      <c r="B107" s="93" t="s">
        <v>1955</v>
      </c>
      <c r="C107" s="167" t="s">
        <v>1956</v>
      </c>
      <c r="D107" s="93">
        <v>5500</v>
      </c>
      <c r="E107" s="89"/>
      <c r="F107" s="17">
        <f t="shared" si="3"/>
        <v>5500</v>
      </c>
      <c r="G107" s="36"/>
      <c r="H107" s="36"/>
      <c r="I107" s="114"/>
      <c r="J107" s="36"/>
      <c r="K107" s="36"/>
      <c r="L107" s="36"/>
      <c r="M107" s="36"/>
      <c r="N107" s="266"/>
    </row>
    <row r="108" ht="15.75" spans="1:14">
      <c r="A108" s="94" t="s">
        <v>356</v>
      </c>
      <c r="B108" s="93" t="s">
        <v>1957</v>
      </c>
      <c r="C108" s="164" t="s">
        <v>1958</v>
      </c>
      <c r="D108" s="93">
        <v>1000</v>
      </c>
      <c r="E108" s="89"/>
      <c r="F108" s="17">
        <f t="shared" si="3"/>
        <v>1000</v>
      </c>
      <c r="G108" s="36"/>
      <c r="H108" s="36"/>
      <c r="I108" s="114"/>
      <c r="J108" s="36"/>
      <c r="K108" s="36"/>
      <c r="L108" s="36"/>
      <c r="M108" s="36"/>
      <c r="N108" s="266"/>
    </row>
    <row r="109" ht="15.75" spans="1:14">
      <c r="A109" s="94" t="s">
        <v>358</v>
      </c>
      <c r="B109" s="93" t="s">
        <v>1959</v>
      </c>
      <c r="C109" s="164" t="s">
        <v>1926</v>
      </c>
      <c r="D109" s="93">
        <v>18360</v>
      </c>
      <c r="E109" s="89"/>
      <c r="F109" s="17">
        <f t="shared" si="3"/>
        <v>18360</v>
      </c>
      <c r="G109" s="36"/>
      <c r="H109" s="36"/>
      <c r="I109" s="114"/>
      <c r="J109" s="36"/>
      <c r="K109" s="36"/>
      <c r="L109" s="36"/>
      <c r="M109" s="36"/>
      <c r="N109" s="266"/>
    </row>
    <row r="110" ht="15.75" spans="1:14">
      <c r="A110" s="94" t="s">
        <v>364</v>
      </c>
      <c r="B110" s="93" t="s">
        <v>1960</v>
      </c>
      <c r="C110" s="164" t="s">
        <v>1961</v>
      </c>
      <c r="D110" s="93">
        <v>1500</v>
      </c>
      <c r="E110" s="89"/>
      <c r="F110" s="17">
        <f t="shared" si="3"/>
        <v>1500</v>
      </c>
      <c r="G110" s="36"/>
      <c r="H110" s="36"/>
      <c r="I110" s="114"/>
      <c r="J110" s="36"/>
      <c r="K110" s="36"/>
      <c r="L110" s="36"/>
      <c r="M110" s="36"/>
      <c r="N110" s="266"/>
    </row>
    <row r="111" ht="15.75" spans="1:14">
      <c r="A111" s="94" t="s">
        <v>358</v>
      </c>
      <c r="B111" s="93" t="s">
        <v>1962</v>
      </c>
      <c r="C111" s="164" t="s">
        <v>1963</v>
      </c>
      <c r="D111" s="93">
        <v>19500</v>
      </c>
      <c r="E111" s="89"/>
      <c r="F111" s="17">
        <f t="shared" si="3"/>
        <v>19500</v>
      </c>
      <c r="G111" s="36"/>
      <c r="H111" s="36"/>
      <c r="I111" s="114"/>
      <c r="J111" s="36"/>
      <c r="K111" s="36"/>
      <c r="L111" s="36"/>
      <c r="M111" s="36"/>
      <c r="N111" s="266"/>
    </row>
    <row r="112" ht="15.75" spans="1:14">
      <c r="A112" s="94" t="s">
        <v>302</v>
      </c>
      <c r="B112" s="93" t="s">
        <v>1964</v>
      </c>
      <c r="C112" s="164" t="s">
        <v>1965</v>
      </c>
      <c r="D112" s="93">
        <v>1300</v>
      </c>
      <c r="E112" s="89"/>
      <c r="F112" s="17">
        <f t="shared" si="3"/>
        <v>1300</v>
      </c>
      <c r="G112" s="36"/>
      <c r="H112" s="36"/>
      <c r="I112" s="114"/>
      <c r="J112" s="36"/>
      <c r="K112" s="36"/>
      <c r="L112" s="36"/>
      <c r="M112" s="36"/>
      <c r="N112" s="266"/>
    </row>
    <row r="113" ht="15.75" spans="1:14">
      <c r="A113" s="94" t="s">
        <v>377</v>
      </c>
      <c r="B113" s="93" t="s">
        <v>1966</v>
      </c>
      <c r="C113" s="164" t="s">
        <v>1926</v>
      </c>
      <c r="D113" s="93">
        <v>6300</v>
      </c>
      <c r="E113" s="89"/>
      <c r="F113" s="17">
        <f t="shared" si="3"/>
        <v>6300</v>
      </c>
      <c r="G113" s="36"/>
      <c r="H113" s="36"/>
      <c r="I113" s="114"/>
      <c r="J113" s="36"/>
      <c r="K113" s="36"/>
      <c r="L113" s="36"/>
      <c r="M113" s="36"/>
      <c r="N113" s="266"/>
    </row>
    <row r="114" ht="15.75" spans="1:14">
      <c r="A114" s="94" t="s">
        <v>377</v>
      </c>
      <c r="B114" s="93" t="s">
        <v>1533</v>
      </c>
      <c r="C114" s="164" t="s">
        <v>1531</v>
      </c>
      <c r="D114" s="93">
        <v>3690</v>
      </c>
      <c r="E114" s="89"/>
      <c r="F114" s="17">
        <f t="shared" si="3"/>
        <v>3690</v>
      </c>
      <c r="G114" s="36"/>
      <c r="H114" s="36"/>
      <c r="I114" s="114"/>
      <c r="J114" s="36"/>
      <c r="K114" s="36"/>
      <c r="L114" s="36"/>
      <c r="M114" s="36"/>
      <c r="N114" s="266"/>
    </row>
    <row r="115" ht="15.75" spans="1:14">
      <c r="A115" s="94">
        <v>45720</v>
      </c>
      <c r="B115" s="93" t="s">
        <v>1534</v>
      </c>
      <c r="C115" s="164" t="s">
        <v>1531</v>
      </c>
      <c r="D115" s="93">
        <v>1615</v>
      </c>
      <c r="E115" s="89"/>
      <c r="F115" s="17">
        <f t="shared" si="3"/>
        <v>1615</v>
      </c>
      <c r="G115" s="36"/>
      <c r="H115" s="36"/>
      <c r="I115" s="114"/>
      <c r="J115" s="36"/>
      <c r="K115" s="36"/>
      <c r="L115" s="36"/>
      <c r="M115" s="36"/>
      <c r="N115" s="266"/>
    </row>
    <row r="116" ht="15.75" spans="1:14">
      <c r="A116" s="94" t="s">
        <v>364</v>
      </c>
      <c r="B116" s="93" t="s">
        <v>1967</v>
      </c>
      <c r="C116" s="164" t="s">
        <v>1968</v>
      </c>
      <c r="D116" s="93">
        <v>20000</v>
      </c>
      <c r="E116" s="89"/>
      <c r="F116" s="17">
        <f t="shared" si="3"/>
        <v>20000</v>
      </c>
      <c r="G116" s="36"/>
      <c r="H116" s="36"/>
      <c r="I116" s="114"/>
      <c r="J116" s="36"/>
      <c r="K116" s="36"/>
      <c r="L116" s="36"/>
      <c r="M116" s="36"/>
      <c r="N116" s="266"/>
    </row>
    <row r="117" ht="15.75" spans="1:14">
      <c r="A117" s="94" t="s">
        <v>372</v>
      </c>
      <c r="B117" s="93" t="s">
        <v>1536</v>
      </c>
      <c r="C117" s="164" t="s">
        <v>1531</v>
      </c>
      <c r="D117" s="93">
        <v>1100</v>
      </c>
      <c r="E117" s="89"/>
      <c r="F117" s="17">
        <f t="shared" si="3"/>
        <v>1100</v>
      </c>
      <c r="G117" s="36"/>
      <c r="H117" s="36"/>
      <c r="I117" s="114"/>
      <c r="J117" s="36"/>
      <c r="K117" s="36"/>
      <c r="L117" s="36"/>
      <c r="M117" s="36"/>
      <c r="N117" s="266"/>
    </row>
    <row r="118" ht="15.75" spans="1:14">
      <c r="A118" s="94">
        <v>45781</v>
      </c>
      <c r="B118" s="93" t="s">
        <v>1969</v>
      </c>
      <c r="C118" s="164" t="s">
        <v>1970</v>
      </c>
      <c r="D118" s="93">
        <v>355</v>
      </c>
      <c r="E118" s="89"/>
      <c r="F118" s="17">
        <f t="shared" si="3"/>
        <v>355</v>
      </c>
      <c r="G118" s="36"/>
      <c r="H118" s="36"/>
      <c r="I118" s="114"/>
      <c r="J118" s="36"/>
      <c r="K118" s="36"/>
      <c r="L118" s="36"/>
      <c r="M118" s="36"/>
      <c r="N118" s="266"/>
    </row>
    <row r="119" ht="15.75" spans="1:14">
      <c r="A119" s="94">
        <v>45873</v>
      </c>
      <c r="B119" s="93" t="s">
        <v>1971</v>
      </c>
      <c r="C119" s="164" t="s">
        <v>1972</v>
      </c>
      <c r="D119" s="93">
        <v>14000</v>
      </c>
      <c r="E119" s="89"/>
      <c r="F119" s="17">
        <f t="shared" si="3"/>
        <v>14000</v>
      </c>
      <c r="G119" s="36"/>
      <c r="H119" s="36"/>
      <c r="I119" s="114"/>
      <c r="J119" s="36"/>
      <c r="K119" s="36"/>
      <c r="L119" s="36"/>
      <c r="M119" s="36"/>
      <c r="N119" s="266"/>
    </row>
    <row r="120" ht="15.75" spans="1:14">
      <c r="A120" s="94">
        <v>45904</v>
      </c>
      <c r="B120" s="93" t="s">
        <v>1973</v>
      </c>
      <c r="C120" s="164" t="s">
        <v>1974</v>
      </c>
      <c r="D120" s="93">
        <v>9360</v>
      </c>
      <c r="E120" s="89">
        <v>9360</v>
      </c>
      <c r="F120" s="17">
        <f t="shared" si="3"/>
        <v>0</v>
      </c>
      <c r="G120" s="36"/>
      <c r="H120" s="36"/>
      <c r="I120" s="114"/>
      <c r="J120" s="36"/>
      <c r="K120" s="36"/>
      <c r="L120" s="36"/>
      <c r="M120" s="36"/>
      <c r="N120" s="266"/>
    </row>
    <row r="121" ht="15.75" spans="1:14">
      <c r="A121" s="94">
        <v>45904</v>
      </c>
      <c r="B121" s="93" t="s">
        <v>1975</v>
      </c>
      <c r="C121" s="164" t="s">
        <v>1976</v>
      </c>
      <c r="D121" s="93">
        <v>5100</v>
      </c>
      <c r="E121" s="89"/>
      <c r="F121" s="17">
        <f t="shared" si="3"/>
        <v>5100</v>
      </c>
      <c r="G121" s="36"/>
      <c r="H121" s="36"/>
      <c r="I121" s="114"/>
      <c r="J121" s="36"/>
      <c r="K121" s="36"/>
      <c r="L121" s="36"/>
      <c r="M121" s="36"/>
      <c r="N121" s="266"/>
    </row>
    <row r="122" ht="15.75" spans="1:14">
      <c r="A122" s="94">
        <v>45904</v>
      </c>
      <c r="B122" s="93" t="s">
        <v>1977</v>
      </c>
      <c r="C122" s="164" t="s">
        <v>1862</v>
      </c>
      <c r="D122" s="93">
        <v>4700</v>
      </c>
      <c r="E122" s="89">
        <v>4700</v>
      </c>
      <c r="F122" s="17">
        <f t="shared" si="3"/>
        <v>0</v>
      </c>
      <c r="G122" s="36"/>
      <c r="H122" s="36"/>
      <c r="I122" s="114"/>
      <c r="J122" s="36"/>
      <c r="K122" s="36"/>
      <c r="L122" s="36"/>
      <c r="M122" s="36"/>
      <c r="N122" s="266"/>
    </row>
    <row r="123" ht="15.75" spans="1:14">
      <c r="A123" s="94">
        <v>45934</v>
      </c>
      <c r="B123" s="93" t="s">
        <v>1978</v>
      </c>
      <c r="C123" s="164" t="s">
        <v>1845</v>
      </c>
      <c r="D123" s="93">
        <v>7500</v>
      </c>
      <c r="E123" s="89">
        <v>7500</v>
      </c>
      <c r="F123" s="17">
        <f t="shared" si="3"/>
        <v>0</v>
      </c>
      <c r="G123" s="36"/>
      <c r="H123" s="36"/>
      <c r="I123" s="114"/>
      <c r="J123" s="36"/>
      <c r="K123" s="36"/>
      <c r="L123" s="36"/>
      <c r="M123" s="36"/>
      <c r="N123" s="266"/>
    </row>
    <row r="124" ht="15.75" spans="1:14">
      <c r="A124" s="94" t="s">
        <v>403</v>
      </c>
      <c r="B124" s="93" t="s">
        <v>1979</v>
      </c>
      <c r="C124" s="164" t="s">
        <v>1980</v>
      </c>
      <c r="D124" s="93">
        <v>9500</v>
      </c>
      <c r="E124" s="89"/>
      <c r="F124" s="17">
        <f t="shared" si="3"/>
        <v>9500</v>
      </c>
      <c r="G124" s="36"/>
      <c r="H124" s="36"/>
      <c r="I124" s="114"/>
      <c r="J124" s="36"/>
      <c r="K124" s="36"/>
      <c r="L124" s="36"/>
      <c r="M124" s="36"/>
      <c r="N124" s="266"/>
    </row>
    <row r="125" ht="15.75" spans="1:14">
      <c r="A125" s="94" t="s">
        <v>403</v>
      </c>
      <c r="B125" s="93" t="s">
        <v>1981</v>
      </c>
      <c r="C125" s="164" t="s">
        <v>1982</v>
      </c>
      <c r="D125" s="93">
        <v>1780</v>
      </c>
      <c r="E125" s="89"/>
      <c r="F125" s="17">
        <f t="shared" si="3"/>
        <v>1780</v>
      </c>
      <c r="G125" s="36"/>
      <c r="H125" s="36"/>
      <c r="I125" s="114"/>
      <c r="J125" s="36"/>
      <c r="K125" s="36"/>
      <c r="L125" s="36"/>
      <c r="M125" s="36"/>
      <c r="N125" s="266"/>
    </row>
    <row r="126" ht="15.75" spans="1:14">
      <c r="A126" s="94" t="s">
        <v>405</v>
      </c>
      <c r="B126" s="93" t="s">
        <v>1983</v>
      </c>
      <c r="C126" s="164" t="s">
        <v>1984</v>
      </c>
      <c r="D126" s="93"/>
      <c r="E126" s="89"/>
      <c r="F126" s="17">
        <f t="shared" si="3"/>
        <v>0</v>
      </c>
      <c r="G126" s="36"/>
      <c r="H126" s="36"/>
      <c r="I126" s="114"/>
      <c r="J126" s="36"/>
      <c r="K126" s="36"/>
      <c r="L126" s="36"/>
      <c r="M126" s="36"/>
      <c r="N126" s="266"/>
    </row>
    <row r="127" ht="15.75" spans="1:14">
      <c r="A127" s="94" t="s">
        <v>405</v>
      </c>
      <c r="B127" s="93" t="s">
        <v>1985</v>
      </c>
      <c r="C127" s="164" t="s">
        <v>1986</v>
      </c>
      <c r="D127" s="93">
        <v>5000</v>
      </c>
      <c r="E127" s="89">
        <v>5000</v>
      </c>
      <c r="F127" s="17">
        <f t="shared" si="3"/>
        <v>0</v>
      </c>
      <c r="G127" s="36"/>
      <c r="H127" s="36"/>
      <c r="I127" s="114"/>
      <c r="J127" s="36"/>
      <c r="K127" s="36"/>
      <c r="L127" s="36"/>
      <c r="M127" s="36"/>
      <c r="N127" s="266"/>
    </row>
    <row r="128" ht="15.75" spans="1:14">
      <c r="A128" s="94" t="s">
        <v>415</v>
      </c>
      <c r="B128" s="93" t="s">
        <v>1987</v>
      </c>
      <c r="C128" s="164" t="s">
        <v>1988</v>
      </c>
      <c r="D128" s="93">
        <v>1200</v>
      </c>
      <c r="E128" s="89"/>
      <c r="F128" s="17">
        <f t="shared" si="3"/>
        <v>1200</v>
      </c>
      <c r="G128" s="36"/>
      <c r="H128" s="36"/>
      <c r="I128" s="114"/>
      <c r="J128" s="36"/>
      <c r="K128" s="36"/>
      <c r="L128" s="36"/>
      <c r="M128" s="36"/>
      <c r="N128" s="266"/>
    </row>
    <row r="129" ht="15.75" spans="1:14">
      <c r="A129" s="94" t="s">
        <v>422</v>
      </c>
      <c r="B129" s="93" t="s">
        <v>1989</v>
      </c>
      <c r="C129" s="167" t="s">
        <v>1990</v>
      </c>
      <c r="D129" s="93">
        <v>2730</v>
      </c>
      <c r="E129" s="89">
        <v>2730</v>
      </c>
      <c r="F129" s="17">
        <f t="shared" si="3"/>
        <v>0</v>
      </c>
      <c r="G129" s="36"/>
      <c r="H129" s="36"/>
      <c r="I129" s="114"/>
      <c r="J129" s="36"/>
      <c r="K129" s="36"/>
      <c r="L129" s="36"/>
      <c r="M129" s="36"/>
      <c r="N129" s="266"/>
    </row>
    <row r="130" ht="15.75" spans="1:14">
      <c r="A130" s="94" t="s">
        <v>422</v>
      </c>
      <c r="B130" s="93" t="s">
        <v>1991</v>
      </c>
      <c r="C130" s="164" t="s">
        <v>1992</v>
      </c>
      <c r="D130" s="93">
        <v>200</v>
      </c>
      <c r="E130" s="89"/>
      <c r="F130" s="17">
        <f t="shared" si="3"/>
        <v>200</v>
      </c>
      <c r="G130" s="36"/>
      <c r="H130" s="36"/>
      <c r="I130" s="114"/>
      <c r="J130" s="36"/>
      <c r="K130" s="36"/>
      <c r="L130" s="36"/>
      <c r="M130" s="36"/>
      <c r="N130" s="266"/>
    </row>
    <row r="131" ht="15.75" spans="1:14">
      <c r="A131" s="94" t="s">
        <v>415</v>
      </c>
      <c r="B131" s="93" t="s">
        <v>1993</v>
      </c>
      <c r="C131" s="258" t="s">
        <v>1994</v>
      </c>
      <c r="D131" s="93">
        <v>1750</v>
      </c>
      <c r="E131" s="89"/>
      <c r="F131" s="17">
        <f t="shared" si="3"/>
        <v>1750</v>
      </c>
      <c r="G131" s="36"/>
      <c r="H131" s="36"/>
      <c r="I131" s="114"/>
      <c r="J131" s="36"/>
      <c r="K131" s="36"/>
      <c r="L131" s="36"/>
      <c r="M131" s="36"/>
      <c r="N131" s="266"/>
    </row>
    <row r="132" ht="15.75" spans="1:14">
      <c r="A132" s="94" t="s">
        <v>436</v>
      </c>
      <c r="B132" s="93" t="s">
        <v>1995</v>
      </c>
      <c r="C132" s="164" t="s">
        <v>1996</v>
      </c>
      <c r="D132" s="93">
        <v>2870</v>
      </c>
      <c r="E132" s="89">
        <v>2870</v>
      </c>
      <c r="F132" s="17">
        <f t="shared" si="3"/>
        <v>0</v>
      </c>
      <c r="G132" s="36"/>
      <c r="H132" s="36"/>
      <c r="I132" s="114"/>
      <c r="J132" s="36"/>
      <c r="K132" s="36"/>
      <c r="L132" s="36"/>
      <c r="M132" s="36"/>
      <c r="N132" s="266"/>
    </row>
    <row r="133" ht="15.75" spans="1:14">
      <c r="A133" s="94" t="s">
        <v>438</v>
      </c>
      <c r="B133" s="93" t="s">
        <v>1997</v>
      </c>
      <c r="C133" s="164" t="s">
        <v>1926</v>
      </c>
      <c r="D133" s="93">
        <v>1100</v>
      </c>
      <c r="E133" s="89"/>
      <c r="F133" s="17">
        <f t="shared" si="3"/>
        <v>1100</v>
      </c>
      <c r="G133" s="36"/>
      <c r="H133" s="36"/>
      <c r="I133" s="114"/>
      <c r="J133" s="36"/>
      <c r="K133" s="36"/>
      <c r="L133" s="36"/>
      <c r="M133" s="36"/>
      <c r="N133" s="266"/>
    </row>
    <row r="134" ht="15.75" spans="1:14">
      <c r="A134" s="271" t="s">
        <v>444</v>
      </c>
      <c r="B134" s="93" t="s">
        <v>1998</v>
      </c>
      <c r="C134" s="272" t="s">
        <v>1856</v>
      </c>
      <c r="D134" s="93">
        <v>1500</v>
      </c>
      <c r="E134" s="89"/>
      <c r="F134" s="17">
        <f t="shared" si="3"/>
        <v>1500</v>
      </c>
      <c r="G134" s="36"/>
      <c r="H134" s="36"/>
      <c r="I134" s="114"/>
      <c r="J134" s="36"/>
      <c r="K134" s="36"/>
      <c r="L134" s="36"/>
      <c r="M134" s="36"/>
      <c r="N134" s="266"/>
    </row>
    <row r="135" ht="15.75" spans="1:14">
      <c r="A135" s="94" t="s">
        <v>448</v>
      </c>
      <c r="B135" s="93" t="s">
        <v>1999</v>
      </c>
      <c r="C135" s="273" t="s">
        <v>2000</v>
      </c>
      <c r="D135" s="93">
        <v>13600</v>
      </c>
      <c r="E135" s="89">
        <v>13600</v>
      </c>
      <c r="F135" s="17">
        <f t="shared" si="3"/>
        <v>0</v>
      </c>
      <c r="G135" s="36"/>
      <c r="H135" s="36"/>
      <c r="I135" s="114"/>
      <c r="J135" s="36"/>
      <c r="K135" s="36"/>
      <c r="L135" s="36"/>
      <c r="M135" s="36"/>
      <c r="N135" s="266"/>
    </row>
    <row r="136" ht="16.5" spans="1:14">
      <c r="A136" s="94" t="s">
        <v>453</v>
      </c>
      <c r="B136" s="93" t="s">
        <v>2001</v>
      </c>
      <c r="C136" s="167" t="s">
        <v>1990</v>
      </c>
      <c r="D136" s="93">
        <v>925</v>
      </c>
      <c r="E136" s="89">
        <v>925</v>
      </c>
      <c r="F136" s="17">
        <f t="shared" si="3"/>
        <v>0</v>
      </c>
      <c r="G136" s="36"/>
      <c r="H136" s="36"/>
      <c r="I136" s="34"/>
      <c r="J136" s="276"/>
      <c r="K136" s="276"/>
      <c r="L136" s="276"/>
      <c r="M136" s="36"/>
      <c r="N136" s="266"/>
    </row>
    <row r="137" ht="16.5" spans="1:14">
      <c r="A137" s="94" t="s">
        <v>460</v>
      </c>
      <c r="B137" s="93" t="s">
        <v>2002</v>
      </c>
      <c r="C137" s="164" t="s">
        <v>2003</v>
      </c>
      <c r="D137" s="93">
        <v>9000</v>
      </c>
      <c r="E137" s="89"/>
      <c r="F137" s="17">
        <f t="shared" si="3"/>
        <v>9000</v>
      </c>
      <c r="G137" s="36"/>
      <c r="H137" s="36"/>
      <c r="I137" s="277" t="s">
        <v>86</v>
      </c>
      <c r="J137" s="278" t="s">
        <v>2004</v>
      </c>
      <c r="K137" s="278" t="s">
        <v>2005</v>
      </c>
      <c r="L137" s="278" t="s">
        <v>2006</v>
      </c>
      <c r="M137" s="114"/>
      <c r="N137" s="266"/>
    </row>
    <row r="138" ht="16.5" spans="1:14">
      <c r="A138" s="94">
        <v>45662</v>
      </c>
      <c r="B138" s="93" t="s">
        <v>2007</v>
      </c>
      <c r="C138" s="164" t="s">
        <v>2008</v>
      </c>
      <c r="D138" s="93">
        <v>17000</v>
      </c>
      <c r="E138" s="89">
        <v>17000</v>
      </c>
      <c r="F138" s="17">
        <f t="shared" si="3"/>
        <v>0</v>
      </c>
      <c r="G138" s="36"/>
      <c r="H138" s="36"/>
      <c r="I138" s="279" t="s">
        <v>453</v>
      </c>
      <c r="J138" s="280" t="s">
        <v>2001</v>
      </c>
      <c r="K138" s="281" t="s">
        <v>1990</v>
      </c>
      <c r="L138" s="280">
        <v>925</v>
      </c>
      <c r="M138" s="114">
        <f>L138</f>
        <v>925</v>
      </c>
      <c r="N138" s="266"/>
    </row>
    <row r="139" ht="16.5" spans="1:14">
      <c r="A139" s="94">
        <v>45662</v>
      </c>
      <c r="B139" s="93" t="s">
        <v>2009</v>
      </c>
      <c r="C139" s="167" t="s">
        <v>1854</v>
      </c>
      <c r="D139" s="93">
        <v>500</v>
      </c>
      <c r="E139" s="89">
        <v>500</v>
      </c>
      <c r="F139" s="17">
        <f t="shared" si="3"/>
        <v>0</v>
      </c>
      <c r="G139" s="36"/>
      <c r="H139" s="36"/>
      <c r="I139" s="279">
        <v>45752</v>
      </c>
      <c r="J139" s="280" t="s">
        <v>2010</v>
      </c>
      <c r="K139" s="281" t="s">
        <v>1990</v>
      </c>
      <c r="L139" s="280">
        <v>1820</v>
      </c>
      <c r="M139" s="114">
        <f>M138+L139</f>
        <v>2745</v>
      </c>
      <c r="N139" s="266"/>
    </row>
    <row r="140" ht="16.5" spans="1:14">
      <c r="A140" s="94">
        <v>45721</v>
      </c>
      <c r="B140" s="93" t="s">
        <v>2011</v>
      </c>
      <c r="C140" s="164" t="s">
        <v>2012</v>
      </c>
      <c r="D140" s="93">
        <v>3800</v>
      </c>
      <c r="E140" s="89"/>
      <c r="F140" s="17">
        <f t="shared" si="3"/>
        <v>3800</v>
      </c>
      <c r="G140" s="36"/>
      <c r="H140" s="36"/>
      <c r="I140" s="279">
        <v>45843</v>
      </c>
      <c r="J140" s="280" t="s">
        <v>2013</v>
      </c>
      <c r="K140" s="281" t="s">
        <v>1990</v>
      </c>
      <c r="L140" s="280">
        <v>3130</v>
      </c>
      <c r="M140" s="114">
        <f t="shared" ref="M140:M142" si="4">M139+L140</f>
        <v>5875</v>
      </c>
      <c r="N140" s="266"/>
    </row>
    <row r="141" ht="16.5" spans="1:14">
      <c r="A141" s="94">
        <v>45721</v>
      </c>
      <c r="B141" s="93" t="s">
        <v>2014</v>
      </c>
      <c r="C141" s="167" t="s">
        <v>1854</v>
      </c>
      <c r="D141" s="93">
        <v>8500</v>
      </c>
      <c r="E141" s="89">
        <v>8500</v>
      </c>
      <c r="F141" s="17">
        <f t="shared" si="3"/>
        <v>0</v>
      </c>
      <c r="G141" s="36"/>
      <c r="H141" s="36"/>
      <c r="I141" s="279">
        <v>45874</v>
      </c>
      <c r="J141" s="280" t="s">
        <v>2015</v>
      </c>
      <c r="K141" s="281" t="s">
        <v>1990</v>
      </c>
      <c r="L141" s="280">
        <v>550</v>
      </c>
      <c r="M141" s="114">
        <f t="shared" si="4"/>
        <v>6425</v>
      </c>
      <c r="N141" s="266"/>
    </row>
    <row r="142" ht="16.5" spans="1:14">
      <c r="A142" s="94">
        <v>45721</v>
      </c>
      <c r="B142" s="93" t="s">
        <v>2016</v>
      </c>
      <c r="C142" s="167" t="s">
        <v>2017</v>
      </c>
      <c r="D142" s="93">
        <v>7800</v>
      </c>
      <c r="E142" s="89"/>
      <c r="F142" s="17">
        <f t="shared" si="3"/>
        <v>7800</v>
      </c>
      <c r="G142" s="36"/>
      <c r="H142" s="36"/>
      <c r="I142" s="279" t="s">
        <v>441</v>
      </c>
      <c r="J142" s="280" t="s">
        <v>2018</v>
      </c>
      <c r="K142" s="281" t="s">
        <v>1990</v>
      </c>
      <c r="L142" s="280">
        <v>375</v>
      </c>
      <c r="M142" s="114">
        <f t="shared" si="4"/>
        <v>6800</v>
      </c>
      <c r="N142" s="266"/>
    </row>
    <row r="143" ht="16.5" spans="1:14">
      <c r="A143" s="94">
        <v>45782</v>
      </c>
      <c r="B143" s="93" t="s">
        <v>2019</v>
      </c>
      <c r="C143" s="273" t="s">
        <v>2000</v>
      </c>
      <c r="D143" s="93">
        <v>920</v>
      </c>
      <c r="E143" s="89">
        <v>920</v>
      </c>
      <c r="F143" s="17">
        <f t="shared" si="3"/>
        <v>0</v>
      </c>
      <c r="G143" s="36"/>
      <c r="H143" s="36"/>
      <c r="I143" s="282"/>
      <c r="J143" s="283"/>
      <c r="K143" s="278" t="s">
        <v>2020</v>
      </c>
      <c r="L143" s="284">
        <v>6800</v>
      </c>
      <c r="M143" s="114"/>
      <c r="N143" s="266"/>
    </row>
    <row r="144" ht="15.75" spans="1:14">
      <c r="A144" s="94">
        <v>45782</v>
      </c>
      <c r="B144" s="93" t="s">
        <v>2021</v>
      </c>
      <c r="C144" s="164" t="s">
        <v>2022</v>
      </c>
      <c r="D144" s="93">
        <v>2500</v>
      </c>
      <c r="E144" s="89"/>
      <c r="F144" s="17">
        <f t="shared" si="3"/>
        <v>2500</v>
      </c>
      <c r="G144" s="36"/>
      <c r="H144" s="36"/>
      <c r="I144" s="27"/>
      <c r="J144" s="285"/>
      <c r="K144" s="285"/>
      <c r="L144" s="285"/>
      <c r="M144" s="36"/>
      <c r="N144" s="266"/>
    </row>
    <row r="145" ht="15.75" spans="1:14">
      <c r="A145" s="94">
        <v>45782</v>
      </c>
      <c r="B145" s="93" t="s">
        <v>2023</v>
      </c>
      <c r="C145" s="164" t="s">
        <v>2024</v>
      </c>
      <c r="D145" s="93">
        <v>9000</v>
      </c>
      <c r="E145" s="89"/>
      <c r="F145" s="17">
        <f t="shared" si="3"/>
        <v>9000</v>
      </c>
      <c r="G145" s="36"/>
      <c r="H145" s="36"/>
      <c r="I145" s="114"/>
      <c r="J145" s="36"/>
      <c r="K145" s="36"/>
      <c r="L145" s="36"/>
      <c r="M145" s="36"/>
      <c r="N145" s="266"/>
    </row>
    <row r="146" ht="15.75" spans="1:13">
      <c r="A146" s="94">
        <v>45752</v>
      </c>
      <c r="B146" s="93" t="s">
        <v>2010</v>
      </c>
      <c r="C146" s="167" t="s">
        <v>1990</v>
      </c>
      <c r="D146" s="93">
        <v>1820</v>
      </c>
      <c r="E146" s="89">
        <v>1820</v>
      </c>
      <c r="F146" s="17">
        <f t="shared" si="3"/>
        <v>0</v>
      </c>
      <c r="G146" s="36"/>
      <c r="H146" s="36"/>
      <c r="I146" s="286" t="s">
        <v>2025</v>
      </c>
      <c r="J146" s="287" t="s">
        <v>2004</v>
      </c>
      <c r="K146" s="287" t="s">
        <v>2005</v>
      </c>
      <c r="L146" s="287" t="s">
        <v>2026</v>
      </c>
      <c r="M146" s="287" t="s">
        <v>862</v>
      </c>
    </row>
    <row r="147" ht="15.75" spans="1:13">
      <c r="A147" s="94">
        <v>45813</v>
      </c>
      <c r="B147" s="93" t="s">
        <v>2027</v>
      </c>
      <c r="C147" s="164" t="s">
        <v>2028</v>
      </c>
      <c r="D147" s="93">
        <v>7500</v>
      </c>
      <c r="E147" s="89">
        <v>7500</v>
      </c>
      <c r="F147" s="17">
        <f t="shared" si="3"/>
        <v>0</v>
      </c>
      <c r="G147" s="36"/>
      <c r="H147" s="36"/>
      <c r="I147" s="288" t="s">
        <v>448</v>
      </c>
      <c r="J147" s="174" t="s">
        <v>1999</v>
      </c>
      <c r="K147" s="167" t="s">
        <v>2000</v>
      </c>
      <c r="L147" s="93">
        <v>13600</v>
      </c>
      <c r="M147" s="89">
        <v>13600</v>
      </c>
    </row>
    <row r="148" ht="15.75" spans="1:13">
      <c r="A148" s="94">
        <v>45813</v>
      </c>
      <c r="B148" s="93" t="s">
        <v>2029</v>
      </c>
      <c r="C148" s="164" t="s">
        <v>1986</v>
      </c>
      <c r="D148" s="93">
        <v>5000</v>
      </c>
      <c r="E148" s="89">
        <v>5000</v>
      </c>
      <c r="F148" s="17">
        <f t="shared" si="3"/>
        <v>0</v>
      </c>
      <c r="G148" s="36"/>
      <c r="H148" s="36"/>
      <c r="I148" s="288">
        <v>45782</v>
      </c>
      <c r="J148" s="174" t="s">
        <v>2019</v>
      </c>
      <c r="K148" s="167" t="s">
        <v>2000</v>
      </c>
      <c r="L148" s="93">
        <v>920</v>
      </c>
      <c r="M148" s="89">
        <v>920</v>
      </c>
    </row>
    <row r="149" ht="15.75" spans="1:13">
      <c r="A149" s="94">
        <v>45813</v>
      </c>
      <c r="B149" s="93" t="s">
        <v>2030</v>
      </c>
      <c r="C149" s="167" t="s">
        <v>2031</v>
      </c>
      <c r="D149" s="274">
        <v>1300</v>
      </c>
      <c r="E149" s="89"/>
      <c r="F149" s="17">
        <f t="shared" si="3"/>
        <v>1300</v>
      </c>
      <c r="G149" s="36"/>
      <c r="H149" s="36"/>
      <c r="I149" s="288" t="s">
        <v>515</v>
      </c>
      <c r="J149" s="174" t="s">
        <v>2032</v>
      </c>
      <c r="K149" s="167" t="s">
        <v>2033</v>
      </c>
      <c r="L149" s="93">
        <v>2196</v>
      </c>
      <c r="M149" s="89"/>
    </row>
    <row r="150" ht="15.75" spans="1:13">
      <c r="A150" s="270">
        <v>45843</v>
      </c>
      <c r="B150" s="93" t="s">
        <v>2034</v>
      </c>
      <c r="C150" s="164" t="s">
        <v>1914</v>
      </c>
      <c r="D150" s="93">
        <v>1500</v>
      </c>
      <c r="E150" s="89"/>
      <c r="F150" s="17">
        <f t="shared" si="3"/>
        <v>1500</v>
      </c>
      <c r="G150" s="36"/>
      <c r="H150" s="36"/>
      <c r="I150" s="288" t="s">
        <v>1201</v>
      </c>
      <c r="J150" s="174" t="s">
        <v>2035</v>
      </c>
      <c r="K150" s="167" t="s">
        <v>2000</v>
      </c>
      <c r="L150" s="93">
        <v>9828</v>
      </c>
      <c r="M150" s="89">
        <v>9828</v>
      </c>
    </row>
    <row r="151" ht="15.75" spans="1:13">
      <c r="A151" s="94">
        <v>45843</v>
      </c>
      <c r="B151" s="93" t="s">
        <v>2013</v>
      </c>
      <c r="C151" s="167" t="s">
        <v>1990</v>
      </c>
      <c r="D151" s="93">
        <v>3130</v>
      </c>
      <c r="E151" s="89">
        <v>3130</v>
      </c>
      <c r="F151" s="17">
        <f t="shared" si="3"/>
        <v>0</v>
      </c>
      <c r="G151" s="36"/>
      <c r="H151" s="36"/>
      <c r="I151" s="288" t="s">
        <v>2036</v>
      </c>
      <c r="J151" s="174" t="s">
        <v>2037</v>
      </c>
      <c r="K151" s="167" t="s">
        <v>2000</v>
      </c>
      <c r="L151" s="93">
        <v>8000</v>
      </c>
      <c r="M151" s="89"/>
    </row>
    <row r="152" ht="15.75" spans="1:13">
      <c r="A152" s="94">
        <v>45874</v>
      </c>
      <c r="B152" s="93" t="s">
        <v>2015</v>
      </c>
      <c r="C152" s="167" t="s">
        <v>1990</v>
      </c>
      <c r="D152" s="93">
        <v>550</v>
      </c>
      <c r="E152" s="89">
        <v>550</v>
      </c>
      <c r="F152" s="17">
        <f t="shared" si="3"/>
        <v>0</v>
      </c>
      <c r="G152" s="36"/>
      <c r="H152" s="36"/>
      <c r="I152" s="288" t="s">
        <v>1510</v>
      </c>
      <c r="J152" s="174" t="s">
        <v>2038</v>
      </c>
      <c r="K152" s="167" t="s">
        <v>2039</v>
      </c>
      <c r="L152" s="93">
        <v>17640</v>
      </c>
      <c r="M152" s="89"/>
    </row>
    <row r="153" ht="15.75" spans="1:13">
      <c r="A153" s="94">
        <v>45843</v>
      </c>
      <c r="B153" s="93" t="s">
        <v>2040</v>
      </c>
      <c r="C153" s="164" t="s">
        <v>2041</v>
      </c>
      <c r="D153" s="93">
        <v>1700</v>
      </c>
      <c r="E153" s="89"/>
      <c r="F153" s="17">
        <f t="shared" si="3"/>
        <v>1700</v>
      </c>
      <c r="G153" s="36"/>
      <c r="H153" s="36"/>
      <c r="I153" s="289" t="s">
        <v>2042</v>
      </c>
      <c r="J153" s="174" t="s">
        <v>2043</v>
      </c>
      <c r="K153" s="176" t="s">
        <v>2000</v>
      </c>
      <c r="L153" s="93"/>
      <c r="M153" s="29">
        <v>6500</v>
      </c>
    </row>
    <row r="154" ht="15.75" spans="1:13">
      <c r="A154" s="94">
        <v>45996</v>
      </c>
      <c r="B154" s="93" t="s">
        <v>2044</v>
      </c>
      <c r="C154" s="164" t="s">
        <v>2045</v>
      </c>
      <c r="D154" s="93">
        <v>1350</v>
      </c>
      <c r="E154" s="89"/>
      <c r="F154" s="17">
        <f t="shared" si="3"/>
        <v>1350</v>
      </c>
      <c r="G154" s="36"/>
      <c r="H154" s="36"/>
      <c r="I154" s="289" t="s">
        <v>2046</v>
      </c>
      <c r="J154" s="174" t="s">
        <v>2043</v>
      </c>
      <c r="K154" s="176" t="s">
        <v>2000</v>
      </c>
      <c r="L154" s="29"/>
      <c r="M154" s="29">
        <v>16000</v>
      </c>
    </row>
    <row r="155" ht="15.75" spans="1:13">
      <c r="A155" s="94">
        <v>45996</v>
      </c>
      <c r="B155" s="93" t="s">
        <v>2047</v>
      </c>
      <c r="C155" s="164" t="s">
        <v>1779</v>
      </c>
      <c r="D155" s="93">
        <v>29300</v>
      </c>
      <c r="E155" s="89">
        <v>29300</v>
      </c>
      <c r="F155" s="17">
        <f t="shared" si="3"/>
        <v>0</v>
      </c>
      <c r="G155" s="36"/>
      <c r="H155" s="36"/>
      <c r="I155" s="290" t="s">
        <v>547</v>
      </c>
      <c r="J155" s="180" t="s">
        <v>2043</v>
      </c>
      <c r="K155" s="184" t="s">
        <v>101</v>
      </c>
      <c r="L155" s="29"/>
      <c r="M155" s="29">
        <v>13500</v>
      </c>
    </row>
    <row r="156" ht="15.75" spans="1:13">
      <c r="A156" s="94">
        <v>45996</v>
      </c>
      <c r="B156" s="93" t="s">
        <v>2048</v>
      </c>
      <c r="C156" s="164" t="s">
        <v>2017</v>
      </c>
      <c r="D156" s="93">
        <v>18040</v>
      </c>
      <c r="E156" s="89"/>
      <c r="F156" s="17">
        <f t="shared" si="3"/>
        <v>18040</v>
      </c>
      <c r="G156" s="36"/>
      <c r="H156" s="36"/>
      <c r="I156" s="289" t="s">
        <v>552</v>
      </c>
      <c r="J156" s="174" t="s">
        <v>2043</v>
      </c>
      <c r="K156" s="176" t="s">
        <v>2049</v>
      </c>
      <c r="L156" s="29"/>
      <c r="M156" s="29">
        <v>8900</v>
      </c>
    </row>
    <row r="157" ht="15.75" spans="1:13">
      <c r="A157" s="94" t="s">
        <v>497</v>
      </c>
      <c r="B157" s="93" t="s">
        <v>2050</v>
      </c>
      <c r="C157" s="164" t="s">
        <v>2051</v>
      </c>
      <c r="D157" s="93">
        <v>400</v>
      </c>
      <c r="E157" s="89"/>
      <c r="F157" s="17">
        <f t="shared" si="3"/>
        <v>400</v>
      </c>
      <c r="G157" s="36"/>
      <c r="H157" s="36"/>
      <c r="I157" s="291" t="s">
        <v>2052</v>
      </c>
      <c r="J157" s="292" t="s">
        <v>2053</v>
      </c>
      <c r="K157" s="292" t="s">
        <v>2054</v>
      </c>
      <c r="L157" s="293">
        <v>26908</v>
      </c>
      <c r="M157" s="293"/>
    </row>
    <row r="158" ht="15.75" spans="1:13">
      <c r="A158" s="94" t="s">
        <v>441</v>
      </c>
      <c r="B158" s="93" t="s">
        <v>2018</v>
      </c>
      <c r="C158" s="164" t="s">
        <v>1990</v>
      </c>
      <c r="D158" s="93">
        <v>375</v>
      </c>
      <c r="E158" s="89"/>
      <c r="F158" s="17">
        <f t="shared" si="3"/>
        <v>375</v>
      </c>
      <c r="G158" s="36"/>
      <c r="H158" s="36"/>
      <c r="I158" s="290" t="s">
        <v>554</v>
      </c>
      <c r="J158" s="36" t="s">
        <v>2055</v>
      </c>
      <c r="K158" s="178" t="s">
        <v>2039</v>
      </c>
      <c r="L158" s="29">
        <v>15060</v>
      </c>
      <c r="M158" s="29"/>
    </row>
    <row r="159" ht="15.75" spans="1:13">
      <c r="A159" s="94" t="s">
        <v>505</v>
      </c>
      <c r="B159" s="93" t="s">
        <v>2056</v>
      </c>
      <c r="C159" s="164" t="s">
        <v>2057</v>
      </c>
      <c r="D159" s="93">
        <v>14870</v>
      </c>
      <c r="E159" s="89"/>
      <c r="F159" s="17">
        <f t="shared" si="3"/>
        <v>14870</v>
      </c>
      <c r="G159" s="36"/>
      <c r="H159" s="36"/>
      <c r="I159" s="290" t="s">
        <v>554</v>
      </c>
      <c r="J159" s="36" t="s">
        <v>2043</v>
      </c>
      <c r="K159" s="178" t="s">
        <v>2033</v>
      </c>
      <c r="L159" s="29"/>
      <c r="M159" s="29">
        <v>1640</v>
      </c>
    </row>
    <row r="160" ht="15.75" spans="1:13">
      <c r="A160" s="94" t="s">
        <v>515</v>
      </c>
      <c r="B160" s="93" t="s">
        <v>2032</v>
      </c>
      <c r="C160" s="273" t="s">
        <v>2033</v>
      </c>
      <c r="D160" s="93">
        <v>2196</v>
      </c>
      <c r="E160" s="89"/>
      <c r="F160" s="17">
        <v>0</v>
      </c>
      <c r="G160" s="36"/>
      <c r="H160" s="36"/>
      <c r="I160" s="294">
        <v>45725</v>
      </c>
      <c r="J160" s="180" t="s">
        <v>2058</v>
      </c>
      <c r="K160" s="181" t="s">
        <v>2059</v>
      </c>
      <c r="L160" s="252">
        <v>25628</v>
      </c>
      <c r="M160" s="115"/>
    </row>
    <row r="161" ht="15.75" spans="1:14">
      <c r="A161" s="94" t="s">
        <v>516</v>
      </c>
      <c r="B161" s="93" t="s">
        <v>2060</v>
      </c>
      <c r="C161" s="167" t="s">
        <v>1990</v>
      </c>
      <c r="D161" s="93">
        <v>3640</v>
      </c>
      <c r="E161" s="89"/>
      <c r="F161" s="17">
        <f t="shared" si="3"/>
        <v>3640</v>
      </c>
      <c r="G161" s="36"/>
      <c r="H161" s="36"/>
      <c r="I161" s="295" t="s">
        <v>2061</v>
      </c>
      <c r="J161" s="180" t="s">
        <v>2062</v>
      </c>
      <c r="K161" s="182" t="s">
        <v>2059</v>
      </c>
      <c r="L161" s="252">
        <v>42550</v>
      </c>
      <c r="M161" s="29">
        <v>42550</v>
      </c>
      <c r="N161" t="s">
        <v>2063</v>
      </c>
    </row>
    <row r="162" ht="15.75" spans="1:13">
      <c r="A162" s="94" t="s">
        <v>528</v>
      </c>
      <c r="B162" s="93" t="s">
        <v>2064</v>
      </c>
      <c r="C162" s="167" t="s">
        <v>1990</v>
      </c>
      <c r="D162" s="93">
        <v>950</v>
      </c>
      <c r="E162" s="89"/>
      <c r="F162" s="17">
        <f t="shared" si="3"/>
        <v>950</v>
      </c>
      <c r="G162" s="36"/>
      <c r="H162" s="36"/>
      <c r="I162" s="290" t="s">
        <v>2061</v>
      </c>
      <c r="J162" s="180" t="s">
        <v>2043</v>
      </c>
      <c r="K162" s="184" t="s">
        <v>2065</v>
      </c>
      <c r="L162" s="29"/>
      <c r="M162" s="29">
        <v>3900</v>
      </c>
    </row>
    <row r="163" ht="15.75" spans="1:13">
      <c r="A163" s="94" t="s">
        <v>540</v>
      </c>
      <c r="B163" s="93" t="s">
        <v>2066</v>
      </c>
      <c r="C163" s="164" t="s">
        <v>2067</v>
      </c>
      <c r="D163" s="93">
        <v>4000</v>
      </c>
      <c r="E163" s="89"/>
      <c r="F163" s="17">
        <f t="shared" si="3"/>
        <v>4000</v>
      </c>
      <c r="G163" s="36"/>
      <c r="H163" s="36"/>
      <c r="I163" s="295">
        <v>45725</v>
      </c>
      <c r="J163" s="180" t="s">
        <v>2043</v>
      </c>
      <c r="K163" s="184" t="s">
        <v>157</v>
      </c>
      <c r="L163" s="29"/>
      <c r="M163" s="29">
        <v>15000</v>
      </c>
    </row>
    <row r="164" ht="15.75" spans="1:13">
      <c r="A164" s="94"/>
      <c r="B164" s="93"/>
      <c r="C164" s="164"/>
      <c r="D164" s="93"/>
      <c r="E164" s="89"/>
      <c r="F164" s="17"/>
      <c r="G164" s="36"/>
      <c r="H164" s="36"/>
      <c r="I164" s="295">
        <v>45909</v>
      </c>
      <c r="J164" s="180" t="s">
        <v>2043</v>
      </c>
      <c r="K164" s="184" t="s">
        <v>101</v>
      </c>
      <c r="L164" s="29"/>
      <c r="M164" s="29">
        <v>15000</v>
      </c>
    </row>
    <row r="165" ht="15.75" spans="1:13">
      <c r="A165" s="94">
        <v>45722</v>
      </c>
      <c r="B165" s="93" t="s">
        <v>2068</v>
      </c>
      <c r="C165" s="164" t="s">
        <v>2069</v>
      </c>
      <c r="D165" s="93">
        <v>11250</v>
      </c>
      <c r="E165" s="89"/>
      <c r="F165" s="17">
        <f t="shared" si="3"/>
        <v>11250</v>
      </c>
      <c r="G165" s="36"/>
      <c r="H165" s="36"/>
      <c r="I165" s="290" t="s">
        <v>2070</v>
      </c>
      <c r="J165" s="180" t="s">
        <v>2071</v>
      </c>
      <c r="K165" s="184" t="s">
        <v>2059</v>
      </c>
      <c r="L165" s="29">
        <v>14664</v>
      </c>
      <c r="M165" s="29"/>
    </row>
    <row r="166" ht="15.75" spans="1:13">
      <c r="A166" s="94">
        <v>45753</v>
      </c>
      <c r="B166" s="93" t="s">
        <v>2072</v>
      </c>
      <c r="C166" s="167" t="s">
        <v>2073</v>
      </c>
      <c r="D166" s="93">
        <v>4500</v>
      </c>
      <c r="E166" s="89">
        <v>4500</v>
      </c>
      <c r="F166" s="17">
        <f t="shared" si="3"/>
        <v>0</v>
      </c>
      <c r="G166" s="36"/>
      <c r="H166" s="36"/>
      <c r="I166" s="290" t="s">
        <v>2074</v>
      </c>
      <c r="J166" s="180" t="s">
        <v>2043</v>
      </c>
      <c r="K166" s="185" t="s">
        <v>2075</v>
      </c>
      <c r="L166" s="32"/>
      <c r="M166" s="29">
        <v>13000</v>
      </c>
    </row>
    <row r="167" ht="15.75" spans="1:13">
      <c r="A167" s="94">
        <v>45967</v>
      </c>
      <c r="B167" s="93" t="s">
        <v>2076</v>
      </c>
      <c r="C167" s="164" t="s">
        <v>1837</v>
      </c>
      <c r="D167" s="93">
        <v>11250</v>
      </c>
      <c r="E167" s="89">
        <v>450</v>
      </c>
      <c r="F167" s="17">
        <f t="shared" si="3"/>
        <v>10800</v>
      </c>
      <c r="G167" s="275" t="s">
        <v>2077</v>
      </c>
      <c r="H167" s="36"/>
      <c r="I167" s="290" t="s">
        <v>2078</v>
      </c>
      <c r="J167" s="36" t="s">
        <v>2079</v>
      </c>
      <c r="K167" s="36" t="s">
        <v>140</v>
      </c>
      <c r="L167" s="29">
        <v>22950</v>
      </c>
      <c r="M167" s="29"/>
    </row>
    <row r="168" ht="15.75" spans="1:13">
      <c r="A168" s="94">
        <v>45967</v>
      </c>
      <c r="B168" s="93" t="s">
        <v>2080</v>
      </c>
      <c r="C168" s="164" t="s">
        <v>2081</v>
      </c>
      <c r="D168" s="93">
        <v>700</v>
      </c>
      <c r="E168" s="89"/>
      <c r="F168" s="17">
        <f t="shared" si="3"/>
        <v>700</v>
      </c>
      <c r="G168" s="36"/>
      <c r="H168" s="36"/>
      <c r="I168" s="290" t="s">
        <v>2082</v>
      </c>
      <c r="J168" s="36" t="s">
        <v>2043</v>
      </c>
      <c r="K168" s="36" t="s">
        <v>101</v>
      </c>
      <c r="L168" s="29"/>
      <c r="M168" s="29">
        <v>15000</v>
      </c>
    </row>
    <row r="169" ht="15.75" spans="1:13">
      <c r="A169" s="94" t="s">
        <v>1173</v>
      </c>
      <c r="B169" s="93" t="s">
        <v>2083</v>
      </c>
      <c r="C169" s="167" t="s">
        <v>2084</v>
      </c>
      <c r="D169" s="93">
        <v>4500</v>
      </c>
      <c r="E169" s="89"/>
      <c r="F169" s="17">
        <f t="shared" si="3"/>
        <v>4500</v>
      </c>
      <c r="G169" s="36"/>
      <c r="H169" s="36"/>
      <c r="I169" s="290" t="s">
        <v>2085</v>
      </c>
      <c r="J169" s="36" t="s">
        <v>2086</v>
      </c>
      <c r="K169" s="36" t="s">
        <v>140</v>
      </c>
      <c r="L169" s="29">
        <v>24260</v>
      </c>
      <c r="M169" s="29"/>
    </row>
    <row r="170" ht="15.75" spans="1:13">
      <c r="A170" s="94" t="s">
        <v>1174</v>
      </c>
      <c r="B170" s="93" t="s">
        <v>2050</v>
      </c>
      <c r="C170" s="164" t="s">
        <v>1837</v>
      </c>
      <c r="D170" s="93">
        <v>1375</v>
      </c>
      <c r="E170" s="89">
        <v>1375</v>
      </c>
      <c r="F170" s="17">
        <f t="shared" si="3"/>
        <v>0</v>
      </c>
      <c r="G170" s="36"/>
      <c r="H170" s="36"/>
      <c r="I170" s="290" t="s">
        <v>2087</v>
      </c>
      <c r="J170" s="36" t="s">
        <v>2043</v>
      </c>
      <c r="K170" s="36" t="s">
        <v>157</v>
      </c>
      <c r="L170" s="29"/>
      <c r="M170" s="29">
        <v>20000</v>
      </c>
    </row>
    <row r="171" ht="15.75" spans="1:13">
      <c r="A171" s="94">
        <v>45783</v>
      </c>
      <c r="B171" s="93" t="s">
        <v>2088</v>
      </c>
      <c r="C171" s="164" t="s">
        <v>2089</v>
      </c>
      <c r="D171" s="93">
        <v>8750</v>
      </c>
      <c r="E171" s="89">
        <v>8750</v>
      </c>
      <c r="F171" s="17">
        <f t="shared" si="3"/>
        <v>0</v>
      </c>
      <c r="G171" s="36"/>
      <c r="H171" s="36"/>
      <c r="I171" s="295">
        <v>45667</v>
      </c>
      <c r="J171" s="36" t="s">
        <v>2090</v>
      </c>
      <c r="K171" s="36" t="s">
        <v>140</v>
      </c>
      <c r="L171" s="29">
        <v>24000</v>
      </c>
      <c r="M171" s="29"/>
    </row>
    <row r="172" ht="15.75" spans="1:13">
      <c r="A172" s="94" t="s">
        <v>544</v>
      </c>
      <c r="B172" s="93" t="s">
        <v>2091</v>
      </c>
      <c r="C172" s="167" t="s">
        <v>2092</v>
      </c>
      <c r="D172" s="93">
        <v>2350</v>
      </c>
      <c r="E172" s="89"/>
      <c r="F172" s="17">
        <f t="shared" si="3"/>
        <v>2350</v>
      </c>
      <c r="G172" s="36"/>
      <c r="H172" s="36"/>
      <c r="I172" s="295">
        <v>45757</v>
      </c>
      <c r="J172" s="36" t="s">
        <v>2043</v>
      </c>
      <c r="K172" s="36" t="s">
        <v>157</v>
      </c>
      <c r="L172" s="29"/>
      <c r="M172" s="29">
        <v>11000</v>
      </c>
    </row>
    <row r="173" ht="15.75" spans="1:13">
      <c r="A173" s="94" t="s">
        <v>546</v>
      </c>
      <c r="B173" s="93" t="s">
        <v>2093</v>
      </c>
      <c r="C173" s="164" t="s">
        <v>2094</v>
      </c>
      <c r="D173" s="93">
        <v>5000</v>
      </c>
      <c r="E173" s="89">
        <v>5000</v>
      </c>
      <c r="F173" s="17">
        <f t="shared" si="3"/>
        <v>0</v>
      </c>
      <c r="G173" s="36"/>
      <c r="H173" s="36"/>
      <c r="I173" s="295">
        <v>45787</v>
      </c>
      <c r="J173" s="36" t="s">
        <v>2043</v>
      </c>
      <c r="K173" s="36" t="s">
        <v>157</v>
      </c>
      <c r="L173" s="29"/>
      <c r="M173" s="29">
        <v>4000</v>
      </c>
    </row>
    <row r="174" ht="15.75" spans="1:15">
      <c r="A174" s="94" t="s">
        <v>1180</v>
      </c>
      <c r="B174" s="93" t="s">
        <v>2095</v>
      </c>
      <c r="C174" s="167" t="s">
        <v>2096</v>
      </c>
      <c r="D174" s="93">
        <v>5000</v>
      </c>
      <c r="E174" s="89">
        <v>5000</v>
      </c>
      <c r="F174" s="17">
        <f t="shared" si="3"/>
        <v>0</v>
      </c>
      <c r="G174" s="36"/>
      <c r="H174" s="36"/>
      <c r="I174" s="295">
        <v>45879</v>
      </c>
      <c r="J174" s="36" t="s">
        <v>2097</v>
      </c>
      <c r="K174" s="36" t="s">
        <v>140</v>
      </c>
      <c r="L174" s="29">
        <v>16300</v>
      </c>
      <c r="M174" s="29"/>
      <c r="N174">
        <v>27670</v>
      </c>
      <c r="O174" t="s">
        <v>2098</v>
      </c>
    </row>
    <row r="175" ht="15.75" spans="1:14">
      <c r="A175" s="94" t="s">
        <v>974</v>
      </c>
      <c r="B175" s="93" t="s">
        <v>2099</v>
      </c>
      <c r="C175" s="164" t="s">
        <v>2100</v>
      </c>
      <c r="D175" s="93">
        <v>12180</v>
      </c>
      <c r="E175" s="89"/>
      <c r="F175" s="17">
        <f t="shared" si="3"/>
        <v>12180</v>
      </c>
      <c r="G175" s="36"/>
      <c r="H175" s="36"/>
      <c r="I175" s="114"/>
      <c r="J175" s="36"/>
      <c r="K175" s="36"/>
      <c r="L175" s="36"/>
      <c r="M175" s="36"/>
      <c r="N175" s="266"/>
    </row>
    <row r="176" ht="15.75" spans="1:14">
      <c r="A176" s="94" t="s">
        <v>2101</v>
      </c>
      <c r="B176" s="93" t="s">
        <v>2102</v>
      </c>
      <c r="C176" s="164" t="s">
        <v>2092</v>
      </c>
      <c r="D176" s="93">
        <v>9750</v>
      </c>
      <c r="E176" s="89"/>
      <c r="F176" s="17">
        <f t="shared" si="3"/>
        <v>9750</v>
      </c>
      <c r="G176" s="36"/>
      <c r="H176" s="36"/>
      <c r="I176" s="114"/>
      <c r="J176" s="36"/>
      <c r="K176" s="36"/>
      <c r="L176" s="36"/>
      <c r="M176" s="36"/>
      <c r="N176" s="266"/>
    </row>
    <row r="177" ht="15.75" spans="1:14">
      <c r="A177" s="94" t="s">
        <v>1186</v>
      </c>
      <c r="B177" s="93" t="s">
        <v>2103</v>
      </c>
      <c r="C177" s="164" t="s">
        <v>1970</v>
      </c>
      <c r="D177" s="93">
        <v>13300</v>
      </c>
      <c r="E177" s="89"/>
      <c r="F177" s="17">
        <f t="shared" si="3"/>
        <v>13300</v>
      </c>
      <c r="G177" s="36"/>
      <c r="H177" s="36"/>
      <c r="I177" s="114"/>
      <c r="J177" s="36"/>
      <c r="K177" s="36"/>
      <c r="L177" s="36"/>
      <c r="M177" s="36"/>
      <c r="N177" s="266"/>
    </row>
    <row r="178" ht="15.75" spans="1:14">
      <c r="A178" s="94" t="s">
        <v>1186</v>
      </c>
      <c r="B178" s="93" t="s">
        <v>2104</v>
      </c>
      <c r="C178" s="164" t="s">
        <v>1992</v>
      </c>
      <c r="D178" s="93">
        <v>3100</v>
      </c>
      <c r="E178" s="89">
        <v>3100</v>
      </c>
      <c r="F178" s="17">
        <f t="shared" si="3"/>
        <v>0</v>
      </c>
      <c r="G178" s="36"/>
      <c r="H178" s="36"/>
      <c r="I178" s="114"/>
      <c r="J178" s="36"/>
      <c r="K178" s="36"/>
      <c r="L178" s="36"/>
      <c r="M178" s="36"/>
      <c r="N178" s="266"/>
    </row>
    <row r="179" ht="15.75" spans="1:14">
      <c r="A179" s="94">
        <v>45664</v>
      </c>
      <c r="B179" s="93" t="s">
        <v>2105</v>
      </c>
      <c r="C179" s="164" t="s">
        <v>2106</v>
      </c>
      <c r="D179" s="93">
        <v>3500</v>
      </c>
      <c r="E179" s="89"/>
      <c r="F179" s="17">
        <f t="shared" si="3"/>
        <v>3500</v>
      </c>
      <c r="G179" s="36"/>
      <c r="H179" s="36"/>
      <c r="I179" s="114"/>
      <c r="J179" s="36"/>
      <c r="K179" s="36"/>
      <c r="L179" s="36"/>
      <c r="M179" s="36"/>
      <c r="N179" s="266"/>
    </row>
    <row r="180" ht="15.75" spans="1:14">
      <c r="A180" s="94">
        <v>45723</v>
      </c>
      <c r="B180" s="93" t="s">
        <v>2107</v>
      </c>
      <c r="C180" s="164" t="s">
        <v>1854</v>
      </c>
      <c r="D180" s="93">
        <v>2100</v>
      </c>
      <c r="E180" s="89"/>
      <c r="F180" s="17">
        <f t="shared" si="3"/>
        <v>2100</v>
      </c>
      <c r="G180" s="36"/>
      <c r="H180" s="36"/>
      <c r="I180" s="114"/>
      <c r="J180" s="36"/>
      <c r="K180" s="36"/>
      <c r="L180" s="36"/>
      <c r="M180" s="36"/>
      <c r="N180" s="266"/>
    </row>
    <row r="181" ht="15.75" spans="1:14">
      <c r="A181" s="94">
        <v>45723</v>
      </c>
      <c r="B181" s="93" t="s">
        <v>2108</v>
      </c>
      <c r="C181" s="164" t="s">
        <v>2109</v>
      </c>
      <c r="D181" s="93">
        <v>650</v>
      </c>
      <c r="E181" s="89"/>
      <c r="F181" s="17">
        <f t="shared" si="3"/>
        <v>650</v>
      </c>
      <c r="G181" s="36"/>
      <c r="H181" s="36"/>
      <c r="I181" s="114"/>
      <c r="J181" s="36"/>
      <c r="K181" s="36"/>
      <c r="L181" s="36"/>
      <c r="M181" s="36"/>
      <c r="N181" s="266"/>
    </row>
    <row r="182" ht="15.75" spans="1:14">
      <c r="A182" s="94">
        <v>45784</v>
      </c>
      <c r="B182" s="93" t="s">
        <v>2110</v>
      </c>
      <c r="C182" s="164" t="s">
        <v>2111</v>
      </c>
      <c r="D182" s="93">
        <v>500</v>
      </c>
      <c r="E182" s="89"/>
      <c r="F182" s="17">
        <f t="shared" si="3"/>
        <v>500</v>
      </c>
      <c r="G182" s="36"/>
      <c r="H182" s="36"/>
      <c r="I182" s="114"/>
      <c r="J182" s="36"/>
      <c r="K182" s="36"/>
      <c r="L182" s="36"/>
      <c r="M182" s="36"/>
      <c r="N182" s="266"/>
    </row>
    <row r="183" ht="15.75" spans="1:14">
      <c r="A183" s="94">
        <v>45845</v>
      </c>
      <c r="B183" s="93" t="s">
        <v>2112</v>
      </c>
      <c r="C183" s="164" t="s">
        <v>2113</v>
      </c>
      <c r="D183" s="93">
        <v>8700</v>
      </c>
      <c r="E183" s="89">
        <v>8700</v>
      </c>
      <c r="F183" s="17">
        <f t="shared" si="3"/>
        <v>0</v>
      </c>
      <c r="G183" s="36"/>
      <c r="H183" s="36"/>
      <c r="I183" s="114"/>
      <c r="J183" s="36"/>
      <c r="K183" s="36"/>
      <c r="L183" s="36"/>
      <c r="M183" s="36"/>
      <c r="N183" s="266"/>
    </row>
    <row r="184" ht="15.75" spans="1:14">
      <c r="A184" s="94">
        <v>45845</v>
      </c>
      <c r="B184" s="93" t="s">
        <v>2114</v>
      </c>
      <c r="C184" s="164" t="s">
        <v>2073</v>
      </c>
      <c r="D184" s="93">
        <v>2000</v>
      </c>
      <c r="E184" s="89">
        <v>2000</v>
      </c>
      <c r="F184" s="17">
        <f t="shared" si="3"/>
        <v>0</v>
      </c>
      <c r="G184" s="36"/>
      <c r="H184" s="36"/>
      <c r="I184" s="114"/>
      <c r="J184" s="36"/>
      <c r="K184" s="36"/>
      <c r="L184" s="36"/>
      <c r="M184" s="36"/>
      <c r="N184" s="266"/>
    </row>
    <row r="185" ht="15.75" spans="1:14">
      <c r="A185" s="94">
        <v>45845</v>
      </c>
      <c r="B185" s="93" t="s">
        <v>2115</v>
      </c>
      <c r="C185" s="164" t="s">
        <v>1996</v>
      </c>
      <c r="D185" s="93">
        <v>8200</v>
      </c>
      <c r="E185" s="89"/>
      <c r="F185" s="17">
        <f t="shared" si="3"/>
        <v>8200</v>
      </c>
      <c r="G185" s="36"/>
      <c r="H185" s="36"/>
      <c r="I185" s="114"/>
      <c r="J185" s="36"/>
      <c r="K185" s="36"/>
      <c r="L185" s="36"/>
      <c r="M185" s="36"/>
      <c r="N185" s="266"/>
    </row>
    <row r="186" ht="15.75" spans="1:14">
      <c r="A186" s="94">
        <v>45876</v>
      </c>
      <c r="B186" s="93" t="s">
        <v>2116</v>
      </c>
      <c r="C186" s="164" t="s">
        <v>2117</v>
      </c>
      <c r="D186" s="93">
        <v>2550</v>
      </c>
      <c r="E186" s="89">
        <v>2550</v>
      </c>
      <c r="F186" s="17">
        <f t="shared" si="3"/>
        <v>0</v>
      </c>
      <c r="G186" s="36"/>
      <c r="H186" s="36"/>
      <c r="I186" s="114"/>
      <c r="J186" s="36"/>
      <c r="K186" s="36"/>
      <c r="L186" s="36"/>
      <c r="M186" s="36"/>
      <c r="N186" s="266"/>
    </row>
    <row r="187" ht="15.75" spans="1:14">
      <c r="A187" s="94">
        <v>45876</v>
      </c>
      <c r="B187" s="93" t="s">
        <v>2118</v>
      </c>
      <c r="C187" s="164" t="s">
        <v>2106</v>
      </c>
      <c r="D187" s="93">
        <v>700</v>
      </c>
      <c r="E187" s="89"/>
      <c r="F187" s="17">
        <f t="shared" si="3"/>
        <v>700</v>
      </c>
      <c r="G187" s="36"/>
      <c r="H187" s="36"/>
      <c r="I187" s="114"/>
      <c r="J187" s="36"/>
      <c r="K187" s="36"/>
      <c r="L187" s="36"/>
      <c r="M187" s="36"/>
      <c r="N187" s="266"/>
    </row>
    <row r="188" ht="15.75" spans="1:14">
      <c r="A188" s="94" t="s">
        <v>1307</v>
      </c>
      <c r="B188" s="93" t="s">
        <v>2119</v>
      </c>
      <c r="C188" s="167" t="s">
        <v>2092</v>
      </c>
      <c r="D188" s="93">
        <v>550</v>
      </c>
      <c r="E188" s="89"/>
      <c r="F188" s="17">
        <f t="shared" si="3"/>
        <v>550</v>
      </c>
      <c r="G188" s="36"/>
      <c r="H188" s="36"/>
      <c r="I188" s="114"/>
      <c r="J188" s="36"/>
      <c r="K188" s="36"/>
      <c r="L188" s="36"/>
      <c r="M188" s="36"/>
      <c r="N188" s="266"/>
    </row>
    <row r="189" ht="15.75" spans="1:14">
      <c r="A189" s="94" t="s">
        <v>1198</v>
      </c>
      <c r="B189" s="93" t="s">
        <v>2120</v>
      </c>
      <c r="C189" s="164" t="s">
        <v>2121</v>
      </c>
      <c r="D189" s="93">
        <v>12390</v>
      </c>
      <c r="E189" s="89"/>
      <c r="F189" s="17">
        <f t="shared" si="3"/>
        <v>12390</v>
      </c>
      <c r="G189" s="36"/>
      <c r="H189" s="36"/>
      <c r="I189" s="114"/>
      <c r="J189" s="36"/>
      <c r="K189" s="36"/>
      <c r="L189" s="36"/>
      <c r="M189" s="36"/>
      <c r="N189" s="266"/>
    </row>
    <row r="190" ht="15.75" spans="1:14">
      <c r="A190" s="94" t="s">
        <v>1309</v>
      </c>
      <c r="B190" s="93" t="s">
        <v>2122</v>
      </c>
      <c r="C190" s="164" t="s">
        <v>2092</v>
      </c>
      <c r="D190" s="93">
        <v>18039</v>
      </c>
      <c r="E190" s="89"/>
      <c r="F190" s="17">
        <f t="shared" si="3"/>
        <v>18039</v>
      </c>
      <c r="G190" s="36"/>
      <c r="H190" s="36"/>
      <c r="I190" s="114"/>
      <c r="J190" s="36"/>
      <c r="K190" s="36"/>
      <c r="L190" s="36"/>
      <c r="M190" s="36"/>
      <c r="N190" s="266"/>
    </row>
    <row r="191" ht="15.75" spans="1:14">
      <c r="A191" s="94" t="s">
        <v>1309</v>
      </c>
      <c r="B191" s="93" t="s">
        <v>2123</v>
      </c>
      <c r="C191" s="164" t="s">
        <v>2124</v>
      </c>
      <c r="D191" s="93">
        <v>4500</v>
      </c>
      <c r="E191" s="89"/>
      <c r="F191" s="17">
        <f t="shared" si="3"/>
        <v>4500</v>
      </c>
      <c r="G191" s="36"/>
      <c r="H191" s="36"/>
      <c r="I191" s="114"/>
      <c r="J191" s="36"/>
      <c r="K191" s="36"/>
      <c r="L191" s="36"/>
      <c r="M191" s="36"/>
      <c r="N191" s="266"/>
    </row>
    <row r="192" ht="15.75" spans="1:14">
      <c r="A192" s="94" t="s">
        <v>1199</v>
      </c>
      <c r="B192" s="93" t="s">
        <v>2125</v>
      </c>
      <c r="C192" s="164" t="s">
        <v>2126</v>
      </c>
      <c r="D192" s="93">
        <v>21000</v>
      </c>
      <c r="E192" s="89"/>
      <c r="F192" s="17">
        <f t="shared" si="3"/>
        <v>21000</v>
      </c>
      <c r="G192" s="36"/>
      <c r="H192" s="36"/>
      <c r="I192" s="114"/>
      <c r="J192" s="36"/>
      <c r="K192" s="36"/>
      <c r="L192" s="36"/>
      <c r="M192" s="36"/>
      <c r="N192" s="266"/>
    </row>
    <row r="193" ht="15.75" spans="1:14">
      <c r="A193" s="94" t="s">
        <v>2127</v>
      </c>
      <c r="B193" s="93" t="s">
        <v>2128</v>
      </c>
      <c r="C193" s="167" t="s">
        <v>2129</v>
      </c>
      <c r="D193" s="93">
        <v>5000</v>
      </c>
      <c r="E193" s="89"/>
      <c r="F193" s="17">
        <f t="shared" si="3"/>
        <v>5000</v>
      </c>
      <c r="G193" s="36"/>
      <c r="H193" s="36"/>
      <c r="I193" s="114"/>
      <c r="J193" s="36"/>
      <c r="K193" s="36"/>
      <c r="L193" s="36"/>
      <c r="M193" s="36"/>
      <c r="N193" s="266"/>
    </row>
    <row r="194" ht="15.75" spans="1:14">
      <c r="A194" s="94" t="s">
        <v>2130</v>
      </c>
      <c r="B194" s="93" t="s">
        <v>2131</v>
      </c>
      <c r="C194" s="167" t="s">
        <v>1866</v>
      </c>
      <c r="D194" s="93">
        <v>1500</v>
      </c>
      <c r="E194" s="89"/>
      <c r="F194" s="17">
        <f t="shared" si="3"/>
        <v>1500</v>
      </c>
      <c r="G194" s="36"/>
      <c r="H194" s="36"/>
      <c r="I194" s="114"/>
      <c r="J194" s="36"/>
      <c r="K194" s="36"/>
      <c r="L194" s="36"/>
      <c r="M194" s="36"/>
      <c r="N194" s="266"/>
    </row>
    <row r="195" ht="15.75" spans="1:14">
      <c r="A195" s="94" t="s">
        <v>2130</v>
      </c>
      <c r="B195" s="93" t="s">
        <v>2132</v>
      </c>
      <c r="C195" s="296" t="s">
        <v>2133</v>
      </c>
      <c r="D195" s="93">
        <v>1550</v>
      </c>
      <c r="E195" s="89">
        <v>1550</v>
      </c>
      <c r="F195" s="17">
        <f t="shared" si="3"/>
        <v>0</v>
      </c>
      <c r="G195" s="36"/>
      <c r="H195" s="36"/>
      <c r="I195" s="114"/>
      <c r="J195" s="36"/>
      <c r="K195" s="36"/>
      <c r="L195" s="36"/>
      <c r="M195" s="36"/>
      <c r="N195" s="266"/>
    </row>
    <row r="196" ht="15.75" spans="1:14">
      <c r="A196" s="94" t="s">
        <v>2130</v>
      </c>
      <c r="B196" s="93" t="s">
        <v>2134</v>
      </c>
      <c r="C196" s="164" t="s">
        <v>2135</v>
      </c>
      <c r="D196" s="93">
        <v>49000</v>
      </c>
      <c r="E196" s="89">
        <v>49000</v>
      </c>
      <c r="F196" s="17">
        <f t="shared" si="3"/>
        <v>0</v>
      </c>
      <c r="G196" s="36"/>
      <c r="H196" s="36"/>
      <c r="I196" s="114"/>
      <c r="J196" s="36"/>
      <c r="K196" s="36"/>
      <c r="L196" s="36"/>
      <c r="M196" s="36"/>
      <c r="N196" s="266"/>
    </row>
    <row r="197" ht="15.75" spans="1:14">
      <c r="A197" s="94" t="s">
        <v>2136</v>
      </c>
      <c r="B197" s="93" t="s">
        <v>2137</v>
      </c>
      <c r="C197" s="164" t="s">
        <v>2138</v>
      </c>
      <c r="D197" s="93">
        <v>7250</v>
      </c>
      <c r="E197" s="89"/>
      <c r="F197" s="17">
        <f t="shared" si="3"/>
        <v>7250</v>
      </c>
      <c r="G197" s="36"/>
      <c r="H197" s="36"/>
      <c r="I197" s="114"/>
      <c r="J197" s="36"/>
      <c r="K197" s="36"/>
      <c r="L197" s="36"/>
      <c r="M197" s="36"/>
      <c r="N197" s="266"/>
    </row>
    <row r="198" ht="15.75" spans="1:14">
      <c r="A198" s="94" t="s">
        <v>2136</v>
      </c>
      <c r="B198" s="93" t="s">
        <v>2139</v>
      </c>
      <c r="C198" s="164" t="s">
        <v>2140</v>
      </c>
      <c r="D198" s="93">
        <v>2000</v>
      </c>
      <c r="E198" s="89"/>
      <c r="F198" s="17">
        <f t="shared" si="3"/>
        <v>2000</v>
      </c>
      <c r="G198" s="36"/>
      <c r="H198" s="36"/>
      <c r="I198" s="114"/>
      <c r="J198" s="36"/>
      <c r="K198" s="36"/>
      <c r="L198" s="36"/>
      <c r="M198" s="36"/>
      <c r="N198" s="266"/>
    </row>
    <row r="199" ht="15.75" spans="1:14">
      <c r="A199" s="94" t="s">
        <v>1201</v>
      </c>
      <c r="B199" s="93" t="s">
        <v>2035</v>
      </c>
      <c r="C199" s="273" t="s">
        <v>2000</v>
      </c>
      <c r="D199" s="93">
        <v>9828</v>
      </c>
      <c r="E199" s="89">
        <v>9828</v>
      </c>
      <c r="F199" s="17">
        <f t="shared" si="3"/>
        <v>0</v>
      </c>
      <c r="G199" s="36"/>
      <c r="H199" s="36"/>
      <c r="I199" s="114"/>
      <c r="J199" s="36"/>
      <c r="K199" s="36"/>
      <c r="L199" s="36"/>
      <c r="M199" s="36"/>
      <c r="N199" s="266"/>
    </row>
    <row r="200" ht="15.75" spans="1:14">
      <c r="A200" s="94" t="s">
        <v>2141</v>
      </c>
      <c r="B200" s="93" t="s">
        <v>2142</v>
      </c>
      <c r="C200" s="164" t="s">
        <v>2143</v>
      </c>
      <c r="D200" s="93">
        <v>5300</v>
      </c>
      <c r="E200" s="89"/>
      <c r="F200" s="17">
        <f t="shared" si="3"/>
        <v>5300</v>
      </c>
      <c r="G200" s="36"/>
      <c r="H200" s="36"/>
      <c r="I200" s="114"/>
      <c r="J200" s="36"/>
      <c r="K200" s="36"/>
      <c r="L200" s="36"/>
      <c r="M200" s="36"/>
      <c r="N200" s="266"/>
    </row>
    <row r="201" ht="15.75" spans="1:14">
      <c r="A201" s="94" t="s">
        <v>1203</v>
      </c>
      <c r="B201" s="93" t="s">
        <v>2144</v>
      </c>
      <c r="C201" s="164" t="s">
        <v>2145</v>
      </c>
      <c r="D201" s="93">
        <v>1500</v>
      </c>
      <c r="E201" s="89"/>
      <c r="F201" s="17">
        <f t="shared" si="3"/>
        <v>1500</v>
      </c>
      <c r="G201" s="36"/>
      <c r="H201" s="36"/>
      <c r="I201" s="114"/>
      <c r="J201" s="36"/>
      <c r="K201" s="36"/>
      <c r="L201" s="36"/>
      <c r="M201" s="36"/>
      <c r="N201" s="266"/>
    </row>
    <row r="202" ht="15.75" spans="1:14">
      <c r="A202" s="94">
        <v>45755</v>
      </c>
      <c r="B202" s="93" t="s">
        <v>2146</v>
      </c>
      <c r="C202" s="164" t="s">
        <v>2147</v>
      </c>
      <c r="D202" s="93">
        <v>3350</v>
      </c>
      <c r="E202" s="89"/>
      <c r="F202" s="17">
        <f t="shared" si="3"/>
        <v>3350</v>
      </c>
      <c r="G202" s="36"/>
      <c r="H202" s="36"/>
      <c r="I202" s="114"/>
      <c r="J202" s="36"/>
      <c r="K202" s="36"/>
      <c r="L202" s="36"/>
      <c r="M202" s="36"/>
      <c r="N202" s="266"/>
    </row>
    <row r="203" ht="15.75" spans="1:14">
      <c r="A203" s="94" t="s">
        <v>2148</v>
      </c>
      <c r="B203" s="93" t="s">
        <v>2037</v>
      </c>
      <c r="C203" s="273" t="s">
        <v>2000</v>
      </c>
      <c r="D203" s="93">
        <v>8000</v>
      </c>
      <c r="E203" s="89"/>
      <c r="F203" s="17">
        <v>0</v>
      </c>
      <c r="G203" s="36"/>
      <c r="H203" s="36"/>
      <c r="I203" s="114"/>
      <c r="J203" s="36"/>
      <c r="K203" s="36"/>
      <c r="L203" s="36"/>
      <c r="M203" s="36"/>
      <c r="N203" s="266"/>
    </row>
    <row r="204" ht="15.75" spans="1:14">
      <c r="A204" s="94">
        <v>45816</v>
      </c>
      <c r="B204" s="93" t="s">
        <v>2149</v>
      </c>
      <c r="C204" s="167" t="s">
        <v>2150</v>
      </c>
      <c r="D204" s="93">
        <v>20000</v>
      </c>
      <c r="E204" s="89"/>
      <c r="F204" s="17">
        <v>20000</v>
      </c>
      <c r="G204" s="36"/>
      <c r="H204" s="36"/>
      <c r="I204" s="114"/>
      <c r="J204" s="36"/>
      <c r="K204" s="36"/>
      <c r="L204" s="36"/>
      <c r="M204" s="36"/>
      <c r="N204" s="266"/>
    </row>
    <row r="205" ht="15.75" spans="1:14">
      <c r="A205" s="94">
        <v>45969</v>
      </c>
      <c r="B205" s="93" t="s">
        <v>2151</v>
      </c>
      <c r="C205" s="164" t="s">
        <v>2152</v>
      </c>
      <c r="D205" s="93"/>
      <c r="E205" s="89">
        <v>1050</v>
      </c>
      <c r="F205" s="17">
        <f t="shared" si="3"/>
        <v>-1050</v>
      </c>
      <c r="G205" s="36"/>
      <c r="H205" s="36"/>
      <c r="I205" s="114"/>
      <c r="J205" s="36"/>
      <c r="K205" s="36"/>
      <c r="L205" s="36"/>
      <c r="M205" s="36"/>
      <c r="N205" s="266"/>
    </row>
    <row r="206" ht="15.75" spans="1:14">
      <c r="A206" s="94">
        <v>45969</v>
      </c>
      <c r="B206" s="93" t="s">
        <v>2043</v>
      </c>
      <c r="C206" s="164" t="s">
        <v>2152</v>
      </c>
      <c r="D206" s="93">
        <v>5000</v>
      </c>
      <c r="E206" s="89"/>
      <c r="F206" s="17">
        <v>0</v>
      </c>
      <c r="G206" s="36"/>
      <c r="H206" s="36"/>
      <c r="I206" s="114"/>
      <c r="J206" s="36"/>
      <c r="K206" s="36"/>
      <c r="L206" s="36"/>
      <c r="M206" s="36"/>
      <c r="N206" s="266"/>
    </row>
    <row r="207" ht="15.75" spans="1:14">
      <c r="A207" s="94" t="s">
        <v>1609</v>
      </c>
      <c r="B207" s="93" t="s">
        <v>2153</v>
      </c>
      <c r="C207" s="167" t="s">
        <v>2154</v>
      </c>
      <c r="D207" s="93">
        <v>2530</v>
      </c>
      <c r="E207" s="89">
        <v>2400</v>
      </c>
      <c r="F207" s="17">
        <f t="shared" si="3"/>
        <v>130</v>
      </c>
      <c r="G207" s="36"/>
      <c r="H207" s="36"/>
      <c r="I207" s="114"/>
      <c r="J207" s="36"/>
      <c r="K207" s="36"/>
      <c r="L207" s="36"/>
      <c r="M207" s="36"/>
      <c r="N207" s="266"/>
    </row>
    <row r="208" ht="15.75" spans="1:14">
      <c r="A208" s="94" t="s">
        <v>1609</v>
      </c>
      <c r="B208" s="93" t="s">
        <v>2155</v>
      </c>
      <c r="C208" s="164" t="s">
        <v>2156</v>
      </c>
      <c r="D208" s="93">
        <v>500</v>
      </c>
      <c r="E208" s="89"/>
      <c r="F208" s="17">
        <f t="shared" si="3"/>
        <v>500</v>
      </c>
      <c r="G208" s="36"/>
      <c r="H208" s="36"/>
      <c r="I208" s="114"/>
      <c r="J208" s="36"/>
      <c r="K208" s="36"/>
      <c r="L208" s="36"/>
      <c r="M208" s="36"/>
      <c r="N208" s="266"/>
    </row>
    <row r="209" ht="15.75" spans="1:14">
      <c r="A209" s="94" t="s">
        <v>1609</v>
      </c>
      <c r="B209" s="93" t="s">
        <v>2157</v>
      </c>
      <c r="C209" s="164" t="s">
        <v>2158</v>
      </c>
      <c r="D209" s="93">
        <v>1100</v>
      </c>
      <c r="E209" s="89"/>
      <c r="F209" s="17">
        <f t="shared" si="3"/>
        <v>1100</v>
      </c>
      <c r="G209" s="36"/>
      <c r="H209" s="36"/>
      <c r="I209" s="114"/>
      <c r="J209" s="36"/>
      <c r="K209" s="36"/>
      <c r="L209" s="36"/>
      <c r="M209" s="36"/>
      <c r="N209" s="266"/>
    </row>
    <row r="210" ht="15.75" spans="1:14">
      <c r="A210" s="94" t="s">
        <v>1510</v>
      </c>
      <c r="B210" s="93" t="s">
        <v>2038</v>
      </c>
      <c r="C210" s="273" t="s">
        <v>2000</v>
      </c>
      <c r="D210" s="297">
        <v>55640</v>
      </c>
      <c r="E210" s="89">
        <v>38000</v>
      </c>
      <c r="F210" s="17">
        <v>0</v>
      </c>
      <c r="G210" s="36"/>
      <c r="H210" s="36"/>
      <c r="I210" s="114"/>
      <c r="J210" s="36"/>
      <c r="K210" s="36"/>
      <c r="L210" s="36"/>
      <c r="M210" s="36"/>
      <c r="N210" s="266"/>
    </row>
    <row r="211" ht="15.75" spans="1:14">
      <c r="A211" s="102">
        <v>45785</v>
      </c>
      <c r="B211" s="93" t="s">
        <v>2159</v>
      </c>
      <c r="C211" s="298" t="s">
        <v>2160</v>
      </c>
      <c r="D211" s="297">
        <v>8700</v>
      </c>
      <c r="E211" s="93"/>
      <c r="F211" s="17">
        <f t="shared" si="3"/>
        <v>8700</v>
      </c>
      <c r="G211" s="36"/>
      <c r="H211" s="93"/>
      <c r="I211" s="114"/>
      <c r="J211" s="36"/>
      <c r="K211" s="36"/>
      <c r="L211" s="36"/>
      <c r="M211" s="36"/>
      <c r="N211" s="266"/>
    </row>
    <row r="212" ht="15.75" spans="1:14">
      <c r="A212" s="102" t="s">
        <v>2161</v>
      </c>
      <c r="B212" s="93" t="s">
        <v>2162</v>
      </c>
      <c r="C212" s="299" t="s">
        <v>2163</v>
      </c>
      <c r="D212" s="300">
        <v>22440</v>
      </c>
      <c r="E212" s="36"/>
      <c r="F212" s="17">
        <f t="shared" si="3"/>
        <v>22440</v>
      </c>
      <c r="G212" s="36"/>
      <c r="H212" s="301"/>
      <c r="I212" s="36"/>
      <c r="J212" s="36"/>
      <c r="K212" s="36"/>
      <c r="L212" s="36"/>
      <c r="M212" s="36"/>
      <c r="N212" s="36"/>
    </row>
    <row r="213" ht="15.75" spans="1:14">
      <c r="A213" s="102" t="s">
        <v>1513</v>
      </c>
      <c r="B213" s="93" t="s">
        <v>2164</v>
      </c>
      <c r="C213" s="299" t="s">
        <v>2165</v>
      </c>
      <c r="D213" s="297">
        <v>4350</v>
      </c>
      <c r="E213" s="36">
        <v>500</v>
      </c>
      <c r="F213" s="17">
        <f t="shared" ref="F213:F243" si="5">D213-E213</f>
        <v>3850</v>
      </c>
      <c r="G213" s="36"/>
      <c r="H213" s="301"/>
      <c r="I213" s="36"/>
      <c r="J213" s="36"/>
      <c r="K213" s="36"/>
      <c r="L213" s="36"/>
      <c r="M213" s="36"/>
      <c r="N213" s="36"/>
    </row>
    <row r="214" ht="15.75" spans="1:14">
      <c r="A214" s="102" t="s">
        <v>2042</v>
      </c>
      <c r="B214" s="93" t="s">
        <v>2043</v>
      </c>
      <c r="C214" s="302" t="s">
        <v>2000</v>
      </c>
      <c r="D214" s="93"/>
      <c r="E214" s="36">
        <v>6500</v>
      </c>
      <c r="F214" s="17">
        <f t="shared" si="5"/>
        <v>-6500</v>
      </c>
      <c r="G214" s="36"/>
      <c r="H214" s="301"/>
      <c r="I214" s="36"/>
      <c r="J214" s="36"/>
      <c r="K214" s="36"/>
      <c r="L214" s="36"/>
      <c r="M214" s="36"/>
      <c r="N214" s="36"/>
    </row>
    <row r="215" ht="15.75" spans="1:14">
      <c r="A215" s="102" t="s">
        <v>2042</v>
      </c>
      <c r="B215" s="93" t="s">
        <v>2166</v>
      </c>
      <c r="C215" s="299" t="s">
        <v>2167</v>
      </c>
      <c r="D215" s="36"/>
      <c r="E215" s="36">
        <v>4000</v>
      </c>
      <c r="F215" s="17">
        <f t="shared" si="5"/>
        <v>-4000</v>
      </c>
      <c r="G215" s="36"/>
      <c r="H215" s="301"/>
      <c r="I215" s="36"/>
      <c r="J215" s="36"/>
      <c r="K215" s="36"/>
      <c r="L215" s="36"/>
      <c r="M215" s="36"/>
      <c r="N215" s="36"/>
    </row>
    <row r="216" ht="15.75" spans="1:14">
      <c r="A216" s="102" t="s">
        <v>2168</v>
      </c>
      <c r="B216" s="93" t="s">
        <v>2169</v>
      </c>
      <c r="C216" s="299" t="s">
        <v>2170</v>
      </c>
      <c r="D216" s="36"/>
      <c r="E216" s="36">
        <v>2500</v>
      </c>
      <c r="F216" s="17">
        <f t="shared" si="5"/>
        <v>-2500</v>
      </c>
      <c r="G216" s="36"/>
      <c r="H216" s="301"/>
      <c r="I216" s="36"/>
      <c r="J216" s="36"/>
      <c r="K216" s="36"/>
      <c r="L216" s="36"/>
      <c r="M216" s="36"/>
      <c r="N216" s="36"/>
    </row>
    <row r="217" ht="15.75" spans="1:14">
      <c r="A217" s="102" t="s">
        <v>2168</v>
      </c>
      <c r="B217" s="93" t="s">
        <v>2171</v>
      </c>
      <c r="C217" s="176" t="s">
        <v>2172</v>
      </c>
      <c r="D217" s="36">
        <v>14600</v>
      </c>
      <c r="E217" s="36">
        <v>10000</v>
      </c>
      <c r="F217" s="17">
        <v>4600</v>
      </c>
      <c r="G217" s="36"/>
      <c r="H217" s="301"/>
      <c r="I217" s="36"/>
      <c r="J217" s="36"/>
      <c r="K217" s="36"/>
      <c r="L217" s="36"/>
      <c r="M217" s="36"/>
      <c r="N217" s="36"/>
    </row>
    <row r="218" ht="15.75" spans="1:14">
      <c r="A218" s="102" t="s">
        <v>2046</v>
      </c>
      <c r="B218" s="93" t="s">
        <v>2173</v>
      </c>
      <c r="C218" s="299" t="s">
        <v>2174</v>
      </c>
      <c r="D218" s="36">
        <v>1800</v>
      </c>
      <c r="E218" s="36"/>
      <c r="F218" s="17">
        <f t="shared" si="5"/>
        <v>1800</v>
      </c>
      <c r="G218" s="36"/>
      <c r="H218" s="301"/>
      <c r="I218" s="36"/>
      <c r="J218" s="36"/>
      <c r="K218" s="36"/>
      <c r="L218" s="36"/>
      <c r="M218" s="36"/>
      <c r="N218" s="36"/>
    </row>
    <row r="219" ht="15.75" spans="1:14">
      <c r="A219" s="102" t="s">
        <v>2046</v>
      </c>
      <c r="B219" s="93" t="s">
        <v>2175</v>
      </c>
      <c r="C219" s="299" t="s">
        <v>2174</v>
      </c>
      <c r="D219" s="36">
        <v>6500</v>
      </c>
      <c r="E219" s="36">
        <v>1500</v>
      </c>
      <c r="F219" s="17">
        <f t="shared" si="5"/>
        <v>5000</v>
      </c>
      <c r="G219" s="36"/>
      <c r="H219" s="301"/>
      <c r="I219" s="36"/>
      <c r="J219" s="36"/>
      <c r="K219" s="36"/>
      <c r="L219" s="36"/>
      <c r="M219" s="36"/>
      <c r="N219" s="36"/>
    </row>
    <row r="220" ht="15.75" spans="1:14">
      <c r="A220" s="102" t="s">
        <v>2046</v>
      </c>
      <c r="B220" s="93" t="s">
        <v>2043</v>
      </c>
      <c r="C220" s="302" t="s">
        <v>2000</v>
      </c>
      <c r="D220" s="36"/>
      <c r="E220" s="36">
        <v>16000</v>
      </c>
      <c r="F220" s="17">
        <v>0</v>
      </c>
      <c r="G220" s="36"/>
      <c r="H220" s="301"/>
      <c r="I220" s="36"/>
      <c r="J220" s="36"/>
      <c r="K220" s="36"/>
      <c r="L220" s="36"/>
      <c r="M220" s="36"/>
      <c r="N220" s="36"/>
    </row>
    <row r="221" ht="15.75" spans="1:14">
      <c r="A221" s="102" t="s">
        <v>2042</v>
      </c>
      <c r="B221" s="93" t="s">
        <v>2043</v>
      </c>
      <c r="C221" s="302" t="s">
        <v>2000</v>
      </c>
      <c r="D221" s="36"/>
      <c r="E221" s="36">
        <v>6500</v>
      </c>
      <c r="F221" s="17">
        <v>0</v>
      </c>
      <c r="G221" s="36"/>
      <c r="H221" s="301"/>
      <c r="I221" s="36"/>
      <c r="J221" s="36"/>
      <c r="K221" s="36"/>
      <c r="L221" s="36"/>
      <c r="M221" s="36"/>
      <c r="N221" s="36"/>
    </row>
    <row r="222" ht="15.75" spans="1:14">
      <c r="A222" s="102" t="s">
        <v>552</v>
      </c>
      <c r="B222" s="93" t="s">
        <v>2043</v>
      </c>
      <c r="C222" s="302" t="s">
        <v>2049</v>
      </c>
      <c r="D222" s="36"/>
      <c r="E222" s="36">
        <v>8900</v>
      </c>
      <c r="F222" s="17">
        <v>0</v>
      </c>
      <c r="G222" s="36"/>
      <c r="H222" s="301"/>
      <c r="I222" s="36"/>
      <c r="J222" s="36"/>
      <c r="K222" s="36"/>
      <c r="L222" s="36"/>
      <c r="M222" s="36"/>
      <c r="N222" s="36"/>
    </row>
    <row r="223" ht="15.75" spans="1:14">
      <c r="A223" s="102" t="s">
        <v>552</v>
      </c>
      <c r="B223" s="93" t="s">
        <v>2176</v>
      </c>
      <c r="C223" s="176" t="s">
        <v>2177</v>
      </c>
      <c r="D223" s="36">
        <v>1500</v>
      </c>
      <c r="E223" s="36"/>
      <c r="F223" s="17">
        <v>1500</v>
      </c>
      <c r="G223" s="36"/>
      <c r="H223" s="301"/>
      <c r="I223" s="36"/>
      <c r="J223" s="36"/>
      <c r="K223" s="36"/>
      <c r="L223" s="36"/>
      <c r="M223" s="36"/>
      <c r="N223" s="36"/>
    </row>
    <row r="224" ht="14.25" customHeight="1" spans="1:14">
      <c r="A224" s="102" t="s">
        <v>2178</v>
      </c>
      <c r="B224" s="93" t="s">
        <v>2179</v>
      </c>
      <c r="C224" s="299" t="s">
        <v>1914</v>
      </c>
      <c r="D224" s="36">
        <v>3000</v>
      </c>
      <c r="E224" s="36"/>
      <c r="F224" s="17">
        <v>3000</v>
      </c>
      <c r="G224" s="36"/>
      <c r="H224" s="301"/>
      <c r="I224" s="36"/>
      <c r="J224" s="36"/>
      <c r="K224" s="36"/>
      <c r="L224" s="36"/>
      <c r="M224" s="36"/>
      <c r="N224" s="36"/>
    </row>
    <row r="225" ht="15.75" spans="1:14">
      <c r="A225" s="303" t="s">
        <v>2052</v>
      </c>
      <c r="B225" s="292" t="s">
        <v>2053</v>
      </c>
      <c r="C225" s="304" t="s">
        <v>2059</v>
      </c>
      <c r="D225" s="292">
        <v>26908</v>
      </c>
      <c r="E225" s="292"/>
      <c r="F225" s="17">
        <v>60</v>
      </c>
      <c r="G225" s="36"/>
      <c r="H225" s="301"/>
      <c r="I225" s="36"/>
      <c r="J225" s="36"/>
      <c r="K225" s="36"/>
      <c r="L225" s="36"/>
      <c r="M225" s="36"/>
      <c r="N225" s="36"/>
    </row>
    <row r="226" ht="15.75" spans="1:14">
      <c r="A226" s="36" t="s">
        <v>2180</v>
      </c>
      <c r="B226" s="36" t="s">
        <v>2181</v>
      </c>
      <c r="C226" s="305" t="s">
        <v>2182</v>
      </c>
      <c r="D226" s="306">
        <v>16800</v>
      </c>
      <c r="E226" s="36"/>
      <c r="F226" s="17">
        <v>16800</v>
      </c>
      <c r="G226" s="36"/>
      <c r="H226" s="301"/>
      <c r="I226" s="36"/>
      <c r="J226" s="36"/>
      <c r="K226" s="36"/>
      <c r="L226" s="36"/>
      <c r="M226" s="36"/>
      <c r="N226" s="36"/>
    </row>
    <row r="227" ht="15.75" spans="1:14">
      <c r="A227" s="36" t="s">
        <v>552</v>
      </c>
      <c r="B227" s="36" t="s">
        <v>2183</v>
      </c>
      <c r="C227" s="36" t="s">
        <v>2184</v>
      </c>
      <c r="D227" s="36">
        <v>1200</v>
      </c>
      <c r="E227" s="36">
        <v>1200</v>
      </c>
      <c r="F227" s="17">
        <v>0</v>
      </c>
      <c r="G227" s="36"/>
      <c r="H227" s="301"/>
      <c r="I227" s="36"/>
      <c r="J227" s="36"/>
      <c r="K227" s="36"/>
      <c r="L227" s="36"/>
      <c r="M227" s="36"/>
      <c r="N227" s="36"/>
    </row>
    <row r="228" ht="15.75" spans="1:14">
      <c r="A228" s="36" t="s">
        <v>554</v>
      </c>
      <c r="B228" s="36" t="s">
        <v>2055</v>
      </c>
      <c r="C228" s="307" t="s">
        <v>2059</v>
      </c>
      <c r="D228" s="306">
        <v>15060</v>
      </c>
      <c r="E228" s="36">
        <v>15000</v>
      </c>
      <c r="F228" s="17">
        <v>60</v>
      </c>
      <c r="G228" s="36"/>
      <c r="H228" s="301"/>
      <c r="I228" s="36"/>
      <c r="J228" s="36"/>
      <c r="K228" s="36"/>
      <c r="L228" s="36"/>
      <c r="M228" s="36"/>
      <c r="N228" s="36"/>
    </row>
    <row r="229" ht="15.75" spans="1:14">
      <c r="A229" s="36" t="s">
        <v>554</v>
      </c>
      <c r="B229" s="36" t="s">
        <v>2043</v>
      </c>
      <c r="C229" s="307" t="s">
        <v>2033</v>
      </c>
      <c r="D229" s="306"/>
      <c r="E229" s="36">
        <v>1640</v>
      </c>
      <c r="F229" s="17">
        <v>0</v>
      </c>
      <c r="G229" s="36"/>
      <c r="H229" s="301"/>
      <c r="I229" s="36"/>
      <c r="J229" s="36"/>
      <c r="K229" s="36"/>
      <c r="L229" s="36"/>
      <c r="M229" s="36"/>
      <c r="N229" s="36"/>
    </row>
    <row r="230" ht="15.75" spans="1:14">
      <c r="A230" s="119">
        <v>45666</v>
      </c>
      <c r="B230" s="36" t="s">
        <v>2043</v>
      </c>
      <c r="C230" s="36" t="s">
        <v>2185</v>
      </c>
      <c r="D230" s="306"/>
      <c r="E230" s="36">
        <v>4500</v>
      </c>
      <c r="F230" s="17">
        <v>0</v>
      </c>
      <c r="G230" s="36"/>
      <c r="H230" s="301"/>
      <c r="I230" s="36"/>
      <c r="J230" s="36"/>
      <c r="K230" s="36"/>
      <c r="L230" s="36"/>
      <c r="M230" s="36"/>
      <c r="N230" s="36"/>
    </row>
    <row r="231" ht="15.75" spans="1:14">
      <c r="A231" s="119">
        <v>45666</v>
      </c>
      <c r="B231" s="36" t="s">
        <v>2043</v>
      </c>
      <c r="C231" s="308" t="s">
        <v>2186</v>
      </c>
      <c r="D231" s="36"/>
      <c r="E231" s="36">
        <v>1000</v>
      </c>
      <c r="F231" s="17">
        <v>0</v>
      </c>
      <c r="G231" s="36"/>
      <c r="H231" s="301"/>
      <c r="I231" s="36"/>
      <c r="J231" s="36"/>
      <c r="K231" s="36"/>
      <c r="L231" s="36"/>
      <c r="M231" s="36"/>
      <c r="N231" s="36"/>
    </row>
    <row r="232" ht="15.75" spans="1:14">
      <c r="A232" s="119">
        <v>45666</v>
      </c>
      <c r="B232" s="36" t="s">
        <v>2187</v>
      </c>
      <c r="C232" s="36" t="s">
        <v>2188</v>
      </c>
      <c r="D232" s="36">
        <v>34500</v>
      </c>
      <c r="E232" s="36"/>
      <c r="F232" s="17">
        <v>34500</v>
      </c>
      <c r="G232" s="36"/>
      <c r="H232" s="301"/>
      <c r="I232" s="36"/>
      <c r="J232" s="36"/>
      <c r="K232" s="36"/>
      <c r="L232" s="36"/>
      <c r="M232" s="36"/>
      <c r="N232" s="36"/>
    </row>
    <row r="233" ht="15.75" spans="1:14">
      <c r="A233" s="119">
        <v>45666</v>
      </c>
      <c r="B233" s="36" t="s">
        <v>2189</v>
      </c>
      <c r="C233" s="36" t="s">
        <v>2190</v>
      </c>
      <c r="D233" s="36">
        <v>5800</v>
      </c>
      <c r="E233" s="36">
        <v>5000</v>
      </c>
      <c r="F233" s="17">
        <v>800</v>
      </c>
      <c r="G233" s="36"/>
      <c r="H233" s="301"/>
      <c r="I233" s="36"/>
      <c r="J233" s="36"/>
      <c r="K233" s="36"/>
      <c r="L233" s="36"/>
      <c r="M233" s="36"/>
      <c r="N233" s="36"/>
    </row>
    <row r="234" ht="15.75" spans="1:14">
      <c r="A234" s="119">
        <v>45666</v>
      </c>
      <c r="B234" s="36" t="s">
        <v>2191</v>
      </c>
      <c r="C234" s="36" t="s">
        <v>2192</v>
      </c>
      <c r="D234" s="36">
        <v>6500</v>
      </c>
      <c r="E234" s="36"/>
      <c r="F234" s="17">
        <v>6500</v>
      </c>
      <c r="G234" s="36"/>
      <c r="H234" s="301"/>
      <c r="I234" s="36"/>
      <c r="J234" s="36"/>
      <c r="K234" s="36"/>
      <c r="L234" s="36"/>
      <c r="M234" s="36"/>
      <c r="N234" s="36"/>
    </row>
    <row r="235" ht="15.75" spans="1:14">
      <c r="A235" s="119">
        <v>45697</v>
      </c>
      <c r="B235" s="36" t="s">
        <v>2193</v>
      </c>
      <c r="C235" s="36" t="s">
        <v>2194</v>
      </c>
      <c r="D235" s="36">
        <v>16800</v>
      </c>
      <c r="E235" s="36"/>
      <c r="F235" s="17">
        <v>16800</v>
      </c>
      <c r="G235" s="36"/>
      <c r="H235" s="301"/>
      <c r="I235" s="36"/>
      <c r="J235" s="36"/>
      <c r="K235" s="36"/>
      <c r="L235" s="36"/>
      <c r="M235" s="36"/>
      <c r="N235" s="36"/>
    </row>
    <row r="236" ht="15.75" spans="1:14">
      <c r="A236" s="119">
        <v>45697</v>
      </c>
      <c r="B236" s="36" t="s">
        <v>2195</v>
      </c>
      <c r="C236" s="36" t="s">
        <v>2196</v>
      </c>
      <c r="D236" s="36">
        <v>10000</v>
      </c>
      <c r="E236" s="36"/>
      <c r="F236" s="17">
        <f>D236-E236</f>
        <v>10000</v>
      </c>
      <c r="G236" s="36"/>
      <c r="H236" s="301"/>
      <c r="I236" s="36"/>
      <c r="J236" s="36"/>
      <c r="K236" s="36"/>
      <c r="L236" s="36"/>
      <c r="M236" s="36"/>
      <c r="N236" s="36"/>
    </row>
    <row r="237" ht="15.75" spans="1:14">
      <c r="A237" s="119">
        <v>45725</v>
      </c>
      <c r="B237" s="36" t="s">
        <v>2197</v>
      </c>
      <c r="C237" s="36" t="s">
        <v>1862</v>
      </c>
      <c r="D237" s="36">
        <v>3750</v>
      </c>
      <c r="E237" s="36"/>
      <c r="F237" s="17">
        <v>3750</v>
      </c>
      <c r="G237" s="36"/>
      <c r="H237" s="301"/>
      <c r="I237" s="36"/>
      <c r="J237" s="36"/>
      <c r="K237" s="36"/>
      <c r="L237" s="36"/>
      <c r="M237" s="36"/>
      <c r="N237" s="36"/>
    </row>
    <row r="238" ht="15.75" spans="1:14">
      <c r="A238" s="179">
        <v>45725</v>
      </c>
      <c r="B238" s="189" t="s">
        <v>2058</v>
      </c>
      <c r="C238" s="309" t="s">
        <v>2059</v>
      </c>
      <c r="D238" s="180">
        <v>25628</v>
      </c>
      <c r="E238" s="36"/>
      <c r="F238" s="19">
        <v>25628</v>
      </c>
      <c r="G238" s="36"/>
      <c r="H238" s="301"/>
      <c r="I238" s="36"/>
      <c r="J238" s="36"/>
      <c r="K238" s="36"/>
      <c r="L238" s="36"/>
      <c r="M238" s="36"/>
      <c r="N238" s="36"/>
    </row>
    <row r="239" ht="15.75" spans="1:14">
      <c r="A239" s="119">
        <v>45725</v>
      </c>
      <c r="B239" s="180" t="s">
        <v>2198</v>
      </c>
      <c r="C239" s="310" t="s">
        <v>1970</v>
      </c>
      <c r="D239" s="180">
        <v>5700</v>
      </c>
      <c r="E239" s="36"/>
      <c r="F239" s="19">
        <f>D239-E239</f>
        <v>5700</v>
      </c>
      <c r="G239" s="36"/>
      <c r="H239" s="301"/>
      <c r="I239" s="36"/>
      <c r="J239" s="36"/>
      <c r="K239" s="36"/>
      <c r="L239" s="36"/>
      <c r="M239" s="36"/>
      <c r="N239" s="36"/>
    </row>
    <row r="240" ht="15.75" spans="1:14">
      <c r="A240" s="119">
        <v>45756</v>
      </c>
      <c r="B240" s="180" t="s">
        <v>2199</v>
      </c>
      <c r="C240" s="176" t="s">
        <v>2200</v>
      </c>
      <c r="D240" s="180">
        <v>2000</v>
      </c>
      <c r="E240" s="36"/>
      <c r="F240" s="19">
        <v>2000</v>
      </c>
      <c r="G240" s="36"/>
      <c r="H240" s="301"/>
      <c r="I240" s="36"/>
      <c r="J240" s="36"/>
      <c r="K240" s="36"/>
      <c r="L240" s="36"/>
      <c r="M240" s="36"/>
      <c r="N240" s="36"/>
    </row>
    <row r="241" ht="15.75" spans="1:14">
      <c r="A241" s="119">
        <v>45878</v>
      </c>
      <c r="B241" s="180" t="s">
        <v>2201</v>
      </c>
      <c r="C241" s="299" t="s">
        <v>2202</v>
      </c>
      <c r="D241" s="180">
        <v>4650</v>
      </c>
      <c r="E241" s="36"/>
      <c r="F241" s="19">
        <f>D241-E241</f>
        <v>4650</v>
      </c>
      <c r="G241" s="36"/>
      <c r="H241" s="301"/>
      <c r="I241" s="36"/>
      <c r="J241" s="36"/>
      <c r="K241" s="36"/>
      <c r="L241" s="36"/>
      <c r="M241" s="36"/>
      <c r="N241" s="36"/>
    </row>
    <row r="242" ht="20.25" customHeight="1" spans="1:14">
      <c r="A242" s="119">
        <v>45909</v>
      </c>
      <c r="B242" s="180" t="s">
        <v>2203</v>
      </c>
      <c r="C242" s="299" t="s">
        <v>1952</v>
      </c>
      <c r="D242" s="180">
        <v>24000</v>
      </c>
      <c r="E242" s="36"/>
      <c r="F242" s="31">
        <v>24000</v>
      </c>
      <c r="G242" s="36" t="s">
        <v>2204</v>
      </c>
      <c r="H242" s="301"/>
      <c r="I242" s="36" t="s">
        <v>2205</v>
      </c>
      <c r="J242" s="36">
        <v>2400</v>
      </c>
      <c r="K242" s="36"/>
      <c r="L242" s="36"/>
      <c r="M242" s="36"/>
      <c r="N242" s="36"/>
    </row>
    <row r="243" ht="15.75" spans="1:14">
      <c r="A243" s="311">
        <v>45909</v>
      </c>
      <c r="B243" s="180" t="s">
        <v>2206</v>
      </c>
      <c r="C243" s="299" t="s">
        <v>2207</v>
      </c>
      <c r="D243" s="180">
        <v>8700</v>
      </c>
      <c r="E243" s="36"/>
      <c r="F243" s="93">
        <v>8700</v>
      </c>
      <c r="G243" s="36"/>
      <c r="H243" s="301" t="s">
        <v>2043</v>
      </c>
      <c r="I243" s="36"/>
      <c r="J243" s="36"/>
      <c r="K243" s="36"/>
      <c r="L243" s="36"/>
      <c r="M243" s="36"/>
      <c r="N243" s="36"/>
    </row>
    <row r="244" ht="15.75" spans="1:14">
      <c r="A244" s="311">
        <v>45970</v>
      </c>
      <c r="B244" s="180" t="s">
        <v>2043</v>
      </c>
      <c r="C244" s="299" t="s">
        <v>2208</v>
      </c>
      <c r="D244" s="180"/>
      <c r="E244" s="36">
        <v>3184</v>
      </c>
      <c r="F244" s="93">
        <v>0</v>
      </c>
      <c r="G244" s="36"/>
      <c r="H244" s="301"/>
      <c r="I244" s="36"/>
      <c r="J244" s="36"/>
      <c r="K244" s="36"/>
      <c r="L244" s="36"/>
      <c r="M244" s="36"/>
      <c r="N244" s="36"/>
    </row>
    <row r="245" spans="1:14">
      <c r="A245" s="119">
        <v>45970</v>
      </c>
      <c r="B245" s="180" t="s">
        <v>2062</v>
      </c>
      <c r="C245" s="312" t="s">
        <v>2059</v>
      </c>
      <c r="D245" s="180">
        <v>42550</v>
      </c>
      <c r="E245" s="36"/>
      <c r="F245" s="313">
        <v>42550</v>
      </c>
      <c r="G245" s="36"/>
      <c r="H245" s="301"/>
      <c r="I245" s="36"/>
      <c r="J245" s="36"/>
      <c r="K245" s="36"/>
      <c r="L245" s="36"/>
      <c r="M245" s="36"/>
      <c r="N245" s="36"/>
    </row>
    <row r="246" ht="15.75" spans="1:14">
      <c r="A246" s="36" t="s">
        <v>2061</v>
      </c>
      <c r="B246" s="180" t="s">
        <v>2209</v>
      </c>
      <c r="C246" s="310" t="s">
        <v>2051</v>
      </c>
      <c r="D246" s="180">
        <v>800</v>
      </c>
      <c r="E246" s="36"/>
      <c r="F246" s="93">
        <v>800</v>
      </c>
      <c r="G246" s="36"/>
      <c r="H246" s="301"/>
      <c r="I246" s="36"/>
      <c r="J246" s="36"/>
      <c r="K246" s="36"/>
      <c r="L246" s="36"/>
      <c r="M246" s="36"/>
      <c r="N246" s="36"/>
    </row>
    <row r="247" ht="15.75" spans="1:14">
      <c r="A247" s="36" t="s">
        <v>2061</v>
      </c>
      <c r="B247" s="180" t="s">
        <v>2210</v>
      </c>
      <c r="C247" s="310" t="s">
        <v>1862</v>
      </c>
      <c r="D247" s="180">
        <v>3550</v>
      </c>
      <c r="E247" s="36"/>
      <c r="F247" s="93">
        <v>3550</v>
      </c>
      <c r="G247" s="36"/>
      <c r="H247" s="301"/>
      <c r="I247" s="36"/>
      <c r="J247" s="36"/>
      <c r="K247" s="36"/>
      <c r="L247" s="36"/>
      <c r="M247" s="36"/>
      <c r="N247" s="36"/>
    </row>
    <row r="248" ht="15.75" spans="1:14">
      <c r="A248" s="36" t="s">
        <v>2061</v>
      </c>
      <c r="B248" s="180" t="s">
        <v>2211</v>
      </c>
      <c r="C248" s="314" t="s">
        <v>2212</v>
      </c>
      <c r="D248" s="36"/>
      <c r="E248" s="36"/>
      <c r="F248" s="93">
        <v>0</v>
      </c>
      <c r="G248" s="36"/>
      <c r="H248" s="301"/>
      <c r="I248" s="36"/>
      <c r="J248" s="36"/>
      <c r="K248" s="36"/>
      <c r="L248" s="36"/>
      <c r="M248" s="36"/>
      <c r="N248" s="36"/>
    </row>
    <row r="249" ht="15.75" spans="1:14">
      <c r="A249" s="36" t="s">
        <v>2061</v>
      </c>
      <c r="B249" s="180" t="s">
        <v>2043</v>
      </c>
      <c r="C249" s="315" t="s">
        <v>2065</v>
      </c>
      <c r="D249" s="36"/>
      <c r="E249" s="36">
        <v>3900</v>
      </c>
      <c r="F249" s="93">
        <v>0</v>
      </c>
      <c r="G249" s="36"/>
      <c r="H249" s="301"/>
      <c r="I249" s="36"/>
      <c r="J249" s="36"/>
      <c r="K249" s="36"/>
      <c r="L249" s="36"/>
      <c r="M249" s="36"/>
      <c r="N249" s="36"/>
    </row>
    <row r="250" ht="15.75" spans="1:14">
      <c r="A250" s="36" t="s">
        <v>2061</v>
      </c>
      <c r="B250" s="180" t="s">
        <v>2043</v>
      </c>
      <c r="C250" s="315" t="s">
        <v>2213</v>
      </c>
      <c r="D250" s="36"/>
      <c r="E250" s="36">
        <v>42550</v>
      </c>
      <c r="F250" s="93">
        <v>0</v>
      </c>
      <c r="G250" s="36"/>
      <c r="H250" s="301"/>
      <c r="I250" s="36"/>
      <c r="J250" s="36"/>
      <c r="K250" s="36"/>
      <c r="L250" s="36"/>
      <c r="M250" s="36"/>
      <c r="N250" s="36"/>
    </row>
    <row r="251" spans="1:14">
      <c r="A251" s="36" t="s">
        <v>2070</v>
      </c>
      <c r="B251" s="180" t="s">
        <v>2071</v>
      </c>
      <c r="C251" s="315" t="s">
        <v>2059</v>
      </c>
      <c r="D251" s="36">
        <v>14664</v>
      </c>
      <c r="E251" s="36"/>
      <c r="F251" s="313">
        <v>14664</v>
      </c>
      <c r="G251" s="36"/>
      <c r="H251" s="301"/>
      <c r="I251" s="36"/>
      <c r="J251" s="36"/>
      <c r="K251" s="36"/>
      <c r="L251" s="36"/>
      <c r="M251" s="36"/>
      <c r="N251" s="36"/>
    </row>
    <row r="252" ht="15.75" spans="1:14">
      <c r="A252" s="36" t="s">
        <v>2061</v>
      </c>
      <c r="B252" s="180" t="s">
        <v>2043</v>
      </c>
      <c r="C252" s="184" t="s">
        <v>2214</v>
      </c>
      <c r="D252" s="36"/>
      <c r="E252" s="36">
        <v>18588</v>
      </c>
      <c r="F252" s="93">
        <v>0</v>
      </c>
      <c r="G252" s="36"/>
      <c r="H252" s="301"/>
      <c r="I252" s="36"/>
      <c r="J252" s="36"/>
      <c r="K252" s="36"/>
      <c r="L252" s="36"/>
      <c r="M252" s="36"/>
      <c r="N252" s="36"/>
    </row>
    <row r="253" ht="15.75" spans="1:14">
      <c r="A253" s="36" t="s">
        <v>2061</v>
      </c>
      <c r="B253" s="180" t="s">
        <v>2215</v>
      </c>
      <c r="C253" s="176" t="s">
        <v>2216</v>
      </c>
      <c r="D253" s="36"/>
      <c r="E253" s="36">
        <v>18462</v>
      </c>
      <c r="F253" s="93">
        <v>0</v>
      </c>
      <c r="G253" s="36"/>
      <c r="H253" s="301"/>
      <c r="I253" s="36"/>
      <c r="J253" s="36"/>
      <c r="K253" s="36"/>
      <c r="L253" s="36"/>
      <c r="M253" s="36"/>
      <c r="N253" s="36"/>
    </row>
    <row r="254" ht="15.75" spans="1:14">
      <c r="A254" s="36" t="s">
        <v>1682</v>
      </c>
      <c r="B254" s="180" t="s">
        <v>2043</v>
      </c>
      <c r="C254" s="176" t="s">
        <v>1905</v>
      </c>
      <c r="D254" s="36"/>
      <c r="E254" s="36">
        <v>5000</v>
      </c>
      <c r="F254" s="93">
        <v>0</v>
      </c>
      <c r="G254" s="36"/>
      <c r="H254" s="301"/>
      <c r="I254" s="36"/>
      <c r="J254" s="36"/>
      <c r="K254" s="36"/>
      <c r="L254" s="36"/>
      <c r="M254" s="36"/>
      <c r="N254" s="36"/>
    </row>
    <row r="255" ht="15.75" spans="1:14">
      <c r="A255" s="36"/>
      <c r="B255" s="180" t="s">
        <v>2043</v>
      </c>
      <c r="C255" s="176" t="s">
        <v>1905</v>
      </c>
      <c r="D255" s="36"/>
      <c r="E255" s="36">
        <v>13000</v>
      </c>
      <c r="F255" s="93">
        <v>0</v>
      </c>
      <c r="G255" s="36"/>
      <c r="H255" s="301"/>
      <c r="I255" s="36"/>
      <c r="J255" s="36"/>
      <c r="K255" s="36"/>
      <c r="L255" s="36"/>
      <c r="M255" s="36"/>
      <c r="N255" s="36"/>
    </row>
    <row r="256" spans="1:14">
      <c r="A256" s="36" t="s">
        <v>2217</v>
      </c>
      <c r="B256" s="180" t="s">
        <v>2218</v>
      </c>
      <c r="C256" s="299" t="s">
        <v>2219</v>
      </c>
      <c r="D256" s="36">
        <v>1500</v>
      </c>
      <c r="E256" s="36"/>
      <c r="F256" s="313">
        <v>1500</v>
      </c>
      <c r="G256" s="36"/>
      <c r="H256" s="301"/>
      <c r="I256" s="36"/>
      <c r="J256" s="36"/>
      <c r="K256" s="36"/>
      <c r="L256" s="36"/>
      <c r="M256" s="36"/>
      <c r="N256" s="36"/>
    </row>
    <row r="257" ht="15.75" spans="1:14">
      <c r="A257" s="36" t="s">
        <v>2220</v>
      </c>
      <c r="B257" s="180" t="s">
        <v>2043</v>
      </c>
      <c r="C257" s="299" t="s">
        <v>2221</v>
      </c>
      <c r="D257" s="36"/>
      <c r="E257" s="36">
        <v>8700</v>
      </c>
      <c r="F257" s="93">
        <v>0</v>
      </c>
      <c r="G257" s="36"/>
      <c r="H257" s="301"/>
      <c r="I257" s="36"/>
      <c r="J257" s="36"/>
      <c r="K257" s="36"/>
      <c r="L257" s="36"/>
      <c r="M257" s="36"/>
      <c r="N257" s="36"/>
    </row>
    <row r="258" ht="15.75" spans="1:14">
      <c r="A258" s="36" t="s">
        <v>2220</v>
      </c>
      <c r="B258" s="180" t="s">
        <v>2222</v>
      </c>
      <c r="C258" s="176" t="s">
        <v>2223</v>
      </c>
      <c r="D258" s="36">
        <v>100</v>
      </c>
      <c r="E258" s="36"/>
      <c r="F258" s="93">
        <v>100</v>
      </c>
      <c r="G258" s="36"/>
      <c r="H258" s="301"/>
      <c r="I258" s="36"/>
      <c r="J258" s="36"/>
      <c r="K258" s="36"/>
      <c r="L258" s="36"/>
      <c r="M258" s="36"/>
      <c r="N258" s="36"/>
    </row>
    <row r="259" ht="15.75" spans="1:14">
      <c r="A259" s="36"/>
      <c r="B259" s="180" t="s">
        <v>2224</v>
      </c>
      <c r="C259" s="176" t="s">
        <v>2225</v>
      </c>
      <c r="D259" s="36">
        <v>16806</v>
      </c>
      <c r="E259" s="36"/>
      <c r="F259" s="93">
        <v>16806</v>
      </c>
      <c r="G259" s="36"/>
      <c r="H259" s="301"/>
      <c r="I259" s="36"/>
      <c r="J259" s="36"/>
      <c r="K259" s="36"/>
      <c r="L259" s="36"/>
      <c r="M259" s="36"/>
      <c r="N259" s="36"/>
    </row>
    <row r="260" ht="15.75" spans="1:14">
      <c r="A260" s="36" t="s">
        <v>2074</v>
      </c>
      <c r="B260" s="180" t="s">
        <v>2043</v>
      </c>
      <c r="C260" s="302" t="s">
        <v>2075</v>
      </c>
      <c r="D260" s="36"/>
      <c r="E260" s="36">
        <v>30000</v>
      </c>
      <c r="F260" s="93">
        <v>0</v>
      </c>
      <c r="G260" s="36"/>
      <c r="H260" s="301"/>
      <c r="I260" s="36"/>
      <c r="J260" s="36"/>
      <c r="K260" s="36"/>
      <c r="L260" s="36"/>
      <c r="M260" s="36"/>
      <c r="N260" s="36"/>
    </row>
    <row r="261" spans="1:14">
      <c r="A261" s="36" t="s">
        <v>2074</v>
      </c>
      <c r="B261" s="36" t="s">
        <v>2043</v>
      </c>
      <c r="C261" s="299" t="s">
        <v>2212</v>
      </c>
      <c r="D261" s="36"/>
      <c r="E261" s="36">
        <v>10000</v>
      </c>
      <c r="F261" s="29">
        <v>0</v>
      </c>
      <c r="G261" s="36"/>
      <c r="H261" s="301"/>
      <c r="I261" s="36"/>
      <c r="J261" s="36"/>
      <c r="K261" s="36"/>
      <c r="L261" s="36"/>
      <c r="M261" s="36"/>
      <c r="N261" s="36"/>
    </row>
    <row r="262" spans="1:14">
      <c r="A262" s="36" t="s">
        <v>2074</v>
      </c>
      <c r="B262" s="36" t="s">
        <v>2226</v>
      </c>
      <c r="C262" s="299" t="s">
        <v>2135</v>
      </c>
      <c r="D262" s="36">
        <v>4300</v>
      </c>
      <c r="E262" s="36">
        <v>4000</v>
      </c>
      <c r="F262" s="29">
        <v>300</v>
      </c>
      <c r="G262" s="36"/>
      <c r="H262" s="301"/>
      <c r="I262" s="36"/>
      <c r="J262" s="36"/>
      <c r="K262" s="36"/>
      <c r="L262" s="36"/>
      <c r="M262" s="36"/>
      <c r="N262" s="36"/>
    </row>
    <row r="263" spans="1:14">
      <c r="A263" s="36" t="s">
        <v>2227</v>
      </c>
      <c r="B263" s="36" t="s">
        <v>2228</v>
      </c>
      <c r="C263" s="299" t="s">
        <v>2229</v>
      </c>
      <c r="D263" s="36">
        <v>1500</v>
      </c>
      <c r="E263" s="36"/>
      <c r="F263" s="29">
        <v>1500</v>
      </c>
      <c r="G263" s="36"/>
      <c r="H263" s="301"/>
      <c r="I263" s="36"/>
      <c r="J263" s="36"/>
      <c r="K263" s="36"/>
      <c r="L263" s="36"/>
      <c r="M263" s="36"/>
      <c r="N263" s="36"/>
    </row>
    <row r="264" spans="1:14">
      <c r="A264" s="36" t="s">
        <v>2227</v>
      </c>
      <c r="B264" s="36" t="s">
        <v>2230</v>
      </c>
      <c r="C264" s="176" t="s">
        <v>2231</v>
      </c>
      <c r="D264" s="36">
        <v>3504</v>
      </c>
      <c r="E264" s="36"/>
      <c r="F264" s="36">
        <v>3504</v>
      </c>
      <c r="G264" s="36"/>
      <c r="H264" s="301"/>
      <c r="I264" s="36"/>
      <c r="J264" s="36"/>
      <c r="K264" s="36"/>
      <c r="L264" s="36"/>
      <c r="M264" s="36"/>
      <c r="N264" s="36"/>
    </row>
    <row r="265" spans="1:14">
      <c r="A265" s="36" t="s">
        <v>2232</v>
      </c>
      <c r="B265" s="36" t="s">
        <v>2233</v>
      </c>
      <c r="C265" s="176" t="s">
        <v>2234</v>
      </c>
      <c r="D265" s="36">
        <v>13736</v>
      </c>
      <c r="E265" s="36"/>
      <c r="F265" s="29">
        <v>13736</v>
      </c>
      <c r="G265" s="36"/>
      <c r="H265" s="301"/>
      <c r="I265" s="36"/>
      <c r="J265" s="36"/>
      <c r="K265" s="36"/>
      <c r="L265" s="36"/>
      <c r="M265" s="36"/>
      <c r="N265" s="36"/>
    </row>
    <row r="266" spans="1:14">
      <c r="A266" s="36" t="s">
        <v>2227</v>
      </c>
      <c r="B266" s="36" t="s">
        <v>2043</v>
      </c>
      <c r="C266" s="176" t="s">
        <v>2234</v>
      </c>
      <c r="D266" s="36"/>
      <c r="E266" s="36">
        <v>4500</v>
      </c>
      <c r="F266" s="29">
        <v>0</v>
      </c>
      <c r="G266" s="36"/>
      <c r="H266" s="301"/>
      <c r="I266" s="36"/>
      <c r="J266" s="36"/>
      <c r="K266" s="36"/>
      <c r="L266" s="36"/>
      <c r="M266" s="36"/>
      <c r="N266" s="36"/>
    </row>
    <row r="267" spans="1:14">
      <c r="A267" s="36" t="s">
        <v>2235</v>
      </c>
      <c r="B267" s="36" t="s">
        <v>2043</v>
      </c>
      <c r="C267" s="176" t="s">
        <v>2234</v>
      </c>
      <c r="D267" s="36"/>
      <c r="E267" s="36">
        <v>17240</v>
      </c>
      <c r="F267" s="29">
        <v>0</v>
      </c>
      <c r="G267" s="36"/>
      <c r="H267" s="301"/>
      <c r="I267" s="36"/>
      <c r="J267" s="36"/>
      <c r="K267" s="36"/>
      <c r="L267" s="36"/>
      <c r="M267" s="36"/>
      <c r="N267" s="36"/>
    </row>
    <row r="268" spans="1:14">
      <c r="A268" s="36" t="s">
        <v>2235</v>
      </c>
      <c r="B268" s="36" t="s">
        <v>2043</v>
      </c>
      <c r="C268" s="299" t="s">
        <v>2236</v>
      </c>
      <c r="D268" s="36"/>
      <c r="E268" s="36">
        <v>20000</v>
      </c>
      <c r="F268" s="29">
        <v>0</v>
      </c>
      <c r="G268" s="36"/>
      <c r="H268" s="301"/>
      <c r="I268" s="36"/>
      <c r="J268" s="36"/>
      <c r="K268" s="36"/>
      <c r="L268" s="36"/>
      <c r="M268" s="36"/>
      <c r="N268" s="36"/>
    </row>
    <row r="269" spans="1:14">
      <c r="A269" s="36" t="s">
        <v>2082</v>
      </c>
      <c r="B269" s="36" t="s">
        <v>2237</v>
      </c>
      <c r="C269" s="316" t="s">
        <v>2238</v>
      </c>
      <c r="D269" s="36"/>
      <c r="E269" s="36">
        <v>31920</v>
      </c>
      <c r="F269" s="36">
        <v>0</v>
      </c>
      <c r="G269" s="36"/>
      <c r="H269" s="301"/>
      <c r="I269" s="36"/>
      <c r="J269" s="36"/>
      <c r="K269" s="36"/>
      <c r="L269" s="36"/>
      <c r="M269" s="36"/>
      <c r="N269" s="36"/>
    </row>
    <row r="270" ht="18.75" spans="1:14">
      <c r="A270" s="177" t="s">
        <v>2204</v>
      </c>
      <c r="B270" s="36" t="s">
        <v>2239</v>
      </c>
      <c r="C270" s="299" t="s">
        <v>1866</v>
      </c>
      <c r="D270" s="36">
        <v>1500</v>
      </c>
      <c r="E270" s="36"/>
      <c r="F270" s="36">
        <v>1500</v>
      </c>
      <c r="G270" s="36"/>
      <c r="H270" s="301"/>
      <c r="I270" s="13" t="s">
        <v>86</v>
      </c>
      <c r="J270" s="13" t="s">
        <v>87</v>
      </c>
      <c r="K270" s="13" t="s">
        <v>88</v>
      </c>
      <c r="L270" s="13" t="s">
        <v>89</v>
      </c>
      <c r="M270" s="13" t="s">
        <v>90</v>
      </c>
      <c r="N270" s="320"/>
    </row>
    <row r="271" spans="1:14">
      <c r="A271" s="251" t="s">
        <v>2240</v>
      </c>
      <c r="B271" s="180" t="s">
        <v>2241</v>
      </c>
      <c r="C271" s="299" t="s">
        <v>1862</v>
      </c>
      <c r="D271" s="36">
        <v>8000</v>
      </c>
      <c r="E271" s="36"/>
      <c r="F271" s="252">
        <v>8000</v>
      </c>
      <c r="G271" s="36"/>
      <c r="H271" s="301"/>
      <c r="I271" s="177" t="s">
        <v>2082</v>
      </c>
      <c r="J271" s="177" t="s">
        <v>2237</v>
      </c>
      <c r="K271" s="250" t="s">
        <v>2238</v>
      </c>
      <c r="L271" s="29">
        <v>31920</v>
      </c>
      <c r="M271" s="29"/>
      <c r="N271" s="29"/>
    </row>
    <row r="272" spans="1:14">
      <c r="A272" s="251" t="s">
        <v>2240</v>
      </c>
      <c r="B272" s="180" t="s">
        <v>2242</v>
      </c>
      <c r="C272" s="299" t="s">
        <v>1952</v>
      </c>
      <c r="D272" s="36">
        <v>2420</v>
      </c>
      <c r="E272" s="36"/>
      <c r="F272" s="252">
        <v>2420</v>
      </c>
      <c r="G272" s="36"/>
      <c r="H272" s="301"/>
      <c r="I272" s="119">
        <v>45667</v>
      </c>
      <c r="J272" s="251" t="s">
        <v>2243</v>
      </c>
      <c r="K272" s="250" t="s">
        <v>1871</v>
      </c>
      <c r="L272" s="29"/>
      <c r="M272" s="29">
        <v>30300</v>
      </c>
      <c r="N272" s="252"/>
    </row>
    <row r="273" spans="1:14">
      <c r="A273" s="251" t="s">
        <v>705</v>
      </c>
      <c r="B273" s="180" t="s">
        <v>2244</v>
      </c>
      <c r="C273" s="316" t="s">
        <v>1871</v>
      </c>
      <c r="D273" s="36">
        <v>30996</v>
      </c>
      <c r="E273" s="36"/>
      <c r="F273" s="252">
        <v>30996</v>
      </c>
      <c r="G273" s="36"/>
      <c r="H273" s="301"/>
      <c r="I273" s="119">
        <v>45698</v>
      </c>
      <c r="J273" s="251" t="s">
        <v>2245</v>
      </c>
      <c r="K273" s="250" t="s">
        <v>2246</v>
      </c>
      <c r="L273" s="29"/>
      <c r="M273" s="29">
        <v>29520</v>
      </c>
      <c r="N273" s="252"/>
    </row>
    <row r="274" spans="1:14">
      <c r="A274" s="251" t="s">
        <v>705</v>
      </c>
      <c r="B274" s="180" t="s">
        <v>2247</v>
      </c>
      <c r="C274" s="299" t="s">
        <v>2248</v>
      </c>
      <c r="D274" s="36">
        <v>3000</v>
      </c>
      <c r="E274" s="36"/>
      <c r="F274" s="252">
        <v>3000</v>
      </c>
      <c r="G274" s="36"/>
      <c r="H274" s="301"/>
      <c r="I274" s="119">
        <v>45879</v>
      </c>
      <c r="J274" s="251" t="s">
        <v>2249</v>
      </c>
      <c r="K274" s="250" t="s">
        <v>1871</v>
      </c>
      <c r="L274" s="29"/>
      <c r="M274" s="29">
        <v>17556</v>
      </c>
      <c r="N274" s="252"/>
    </row>
    <row r="275" spans="1:14">
      <c r="A275" s="251" t="s">
        <v>2087</v>
      </c>
      <c r="B275" s="180" t="s">
        <v>2250</v>
      </c>
      <c r="C275" s="299" t="s">
        <v>2167</v>
      </c>
      <c r="D275" s="36">
        <v>1000</v>
      </c>
      <c r="E275" s="36"/>
      <c r="F275" s="252">
        <v>1000</v>
      </c>
      <c r="G275" s="36"/>
      <c r="H275" s="301"/>
      <c r="I275" s="119"/>
      <c r="J275" s="251"/>
      <c r="K275" s="250" t="s">
        <v>2251</v>
      </c>
      <c r="L275" s="29">
        <v>50000</v>
      </c>
      <c r="M275" s="29"/>
      <c r="N275" s="252"/>
    </row>
    <row r="276" spans="1:14">
      <c r="A276" s="251" t="s">
        <v>2252</v>
      </c>
      <c r="B276" s="180" t="s">
        <v>2253</v>
      </c>
      <c r="C276" s="176" t="s">
        <v>2254</v>
      </c>
      <c r="D276" s="36">
        <v>6212</v>
      </c>
      <c r="E276" s="36">
        <v>6212</v>
      </c>
      <c r="F276" s="252">
        <v>0</v>
      </c>
      <c r="G276" s="36" t="s">
        <v>2255</v>
      </c>
      <c r="H276" s="301"/>
      <c r="I276" s="177"/>
      <c r="J276" s="177"/>
      <c r="K276" s="250" t="s">
        <v>2256</v>
      </c>
      <c r="L276" s="29">
        <v>50000</v>
      </c>
      <c r="M276" s="29"/>
      <c r="N276" s="29"/>
    </row>
    <row r="277" spans="1:14">
      <c r="A277" s="119">
        <v>45667</v>
      </c>
      <c r="B277" s="180" t="s">
        <v>2243</v>
      </c>
      <c r="C277" s="316" t="s">
        <v>1871</v>
      </c>
      <c r="D277" s="36">
        <v>30300</v>
      </c>
      <c r="E277" s="36"/>
      <c r="F277" s="252">
        <v>30300</v>
      </c>
      <c r="G277" s="36"/>
      <c r="H277" s="301"/>
      <c r="I277" s="36"/>
      <c r="J277" s="36"/>
      <c r="K277" s="36"/>
      <c r="L277" s="36"/>
      <c r="M277" s="36"/>
      <c r="N277" s="36"/>
    </row>
    <row r="278" spans="1:14">
      <c r="A278" s="119">
        <v>45667</v>
      </c>
      <c r="B278" s="180" t="s">
        <v>2257</v>
      </c>
      <c r="C278" s="299" t="s">
        <v>2258</v>
      </c>
      <c r="D278" s="36">
        <v>6050</v>
      </c>
      <c r="E278" s="36"/>
      <c r="F278" s="252">
        <v>6050</v>
      </c>
      <c r="G278" s="36"/>
      <c r="H278" s="301"/>
      <c r="I278" s="36"/>
      <c r="J278" s="36"/>
      <c r="K278" s="36"/>
      <c r="L278" s="36"/>
      <c r="M278" s="36"/>
      <c r="N278" s="36"/>
    </row>
    <row r="279" ht="31.5" customHeight="1" spans="1:14">
      <c r="A279" s="119">
        <v>45698</v>
      </c>
      <c r="B279" s="180" t="s">
        <v>2259</v>
      </c>
      <c r="C279" s="317" t="s">
        <v>2260</v>
      </c>
      <c r="D279" s="36">
        <v>10637</v>
      </c>
      <c r="E279" s="36"/>
      <c r="F279" s="252">
        <v>10637</v>
      </c>
      <c r="G279" s="36"/>
      <c r="H279" s="301"/>
      <c r="I279" s="321" t="s">
        <v>2261</v>
      </c>
      <c r="J279" s="322"/>
      <c r="K279" s="322"/>
      <c r="L279" s="322"/>
      <c r="M279" s="323"/>
      <c r="N279" s="324">
        <v>38612</v>
      </c>
    </row>
    <row r="280" spans="1:14">
      <c r="A280" s="119">
        <v>45698</v>
      </c>
      <c r="B280" s="180" t="s">
        <v>2245</v>
      </c>
      <c r="C280" s="316" t="s">
        <v>2246</v>
      </c>
      <c r="D280" s="36">
        <v>29520</v>
      </c>
      <c r="E280" s="36"/>
      <c r="F280" s="252">
        <v>29520</v>
      </c>
      <c r="G280" s="36"/>
      <c r="H280" s="36"/>
      <c r="I280" s="114"/>
      <c r="J280" s="36"/>
      <c r="K280" s="36"/>
      <c r="L280" s="36"/>
      <c r="M280" s="36"/>
      <c r="N280" s="36"/>
    </row>
    <row r="281" spans="1:14">
      <c r="A281" s="119">
        <v>45817</v>
      </c>
      <c r="B281" s="180" t="s">
        <v>2262</v>
      </c>
      <c r="C281" s="299" t="s">
        <v>2263</v>
      </c>
      <c r="D281" s="36">
        <v>8000</v>
      </c>
      <c r="E281" s="36">
        <v>8000</v>
      </c>
      <c r="F281" s="252">
        <v>0</v>
      </c>
      <c r="G281" s="36"/>
      <c r="H281" s="36"/>
      <c r="I281" s="114"/>
      <c r="J281" s="36"/>
      <c r="K281" s="36"/>
      <c r="L281" s="36"/>
      <c r="M281" s="36"/>
      <c r="N281" s="36"/>
    </row>
    <row r="282" spans="1:14">
      <c r="A282" s="119">
        <v>45879</v>
      </c>
      <c r="B282" s="180" t="s">
        <v>2264</v>
      </c>
      <c r="C282" s="299" t="s">
        <v>1914</v>
      </c>
      <c r="D282">
        <v>350</v>
      </c>
      <c r="E282" s="276"/>
      <c r="F282" s="318">
        <v>350</v>
      </c>
      <c r="G282" s="36"/>
      <c r="H282" s="36"/>
      <c r="I282" s="114"/>
      <c r="J282" s="36"/>
      <c r="K282" s="36"/>
      <c r="L282" s="36"/>
      <c r="M282" s="36"/>
      <c r="N282" s="36"/>
    </row>
    <row r="283" spans="1:14">
      <c r="A283" s="119">
        <v>45879</v>
      </c>
      <c r="B283" s="180" t="s">
        <v>2249</v>
      </c>
      <c r="C283" s="319" t="s">
        <v>1871</v>
      </c>
      <c r="D283" s="36">
        <v>17556</v>
      </c>
      <c r="E283" s="36"/>
      <c r="F283" s="252">
        <v>17556</v>
      </c>
      <c r="G283" s="36"/>
      <c r="H283" s="36"/>
      <c r="I283" s="114"/>
      <c r="J283" s="36"/>
      <c r="K283" s="36"/>
      <c r="L283" s="36"/>
      <c r="M283" s="36"/>
      <c r="N283" s="36"/>
    </row>
    <row r="284" spans="1:14">
      <c r="A284" s="119"/>
      <c r="B284" s="180"/>
      <c r="C284" s="316" t="s">
        <v>2251</v>
      </c>
      <c r="D284" s="36"/>
      <c r="E284" s="36">
        <v>50000</v>
      </c>
      <c r="F284" s="252">
        <v>0</v>
      </c>
      <c r="G284" s="36"/>
      <c r="H284" s="36"/>
      <c r="I284" s="114"/>
      <c r="J284" s="36"/>
      <c r="K284" s="36"/>
      <c r="L284" s="36"/>
      <c r="M284" s="36"/>
      <c r="N284" s="36"/>
    </row>
    <row r="285" spans="1:14">
      <c r="A285" s="177"/>
      <c r="B285" s="36"/>
      <c r="C285" s="316" t="s">
        <v>2256</v>
      </c>
      <c r="D285" s="36"/>
      <c r="E285" s="36">
        <v>50000</v>
      </c>
      <c r="F285" s="46">
        <v>0</v>
      </c>
      <c r="G285" s="178"/>
      <c r="H285" s="36"/>
      <c r="I285" s="114"/>
      <c r="J285" s="36"/>
      <c r="K285" s="36"/>
      <c r="L285" s="36"/>
      <c r="M285" s="36"/>
      <c r="N285" s="36"/>
    </row>
    <row r="286" spans="1:14">
      <c r="A286" s="119">
        <v>45910</v>
      </c>
      <c r="B286" s="36" t="s">
        <v>2265</v>
      </c>
      <c r="C286" s="299" t="s">
        <v>2266</v>
      </c>
      <c r="D286" s="36">
        <v>2900</v>
      </c>
      <c r="E286" s="36"/>
      <c r="F286" s="36">
        <v>2900</v>
      </c>
      <c r="G286" s="36"/>
      <c r="H286" s="36"/>
      <c r="I286" s="114"/>
      <c r="J286" s="36"/>
      <c r="K286" s="36"/>
      <c r="L286" s="36"/>
      <c r="M286" s="36"/>
      <c r="N286" s="36"/>
    </row>
    <row r="287" spans="1:14">
      <c r="A287" s="177" t="s">
        <v>2267</v>
      </c>
      <c r="B287" s="36" t="s">
        <v>2268</v>
      </c>
      <c r="C287" s="316" t="s">
        <v>1871</v>
      </c>
      <c r="D287" s="36">
        <v>30240</v>
      </c>
      <c r="E287" s="36"/>
      <c r="F287" s="36">
        <v>30240</v>
      </c>
      <c r="G287" s="36"/>
      <c r="H287" s="36"/>
      <c r="I287" s="114"/>
      <c r="J287" s="36"/>
      <c r="K287" s="36"/>
      <c r="L287" s="36"/>
      <c r="M287" s="36"/>
      <c r="N287" s="36"/>
    </row>
    <row r="288" spans="1:14">
      <c r="A288" s="177" t="s">
        <v>2269</v>
      </c>
      <c r="B288" s="36" t="s">
        <v>2270</v>
      </c>
      <c r="C288" s="299" t="s">
        <v>1827</v>
      </c>
      <c r="D288" s="36">
        <v>1500</v>
      </c>
      <c r="E288" s="36"/>
      <c r="F288" s="36">
        <v>1500</v>
      </c>
      <c r="G288" s="36"/>
      <c r="H288" s="36"/>
      <c r="I288" s="114"/>
      <c r="J288" s="36"/>
      <c r="K288" s="36"/>
      <c r="L288" s="36"/>
      <c r="M288" s="36"/>
      <c r="N288" s="36"/>
    </row>
    <row r="289" spans="1:14">
      <c r="A289" s="177" t="s">
        <v>1755</v>
      </c>
      <c r="B289" s="36" t="s">
        <v>2271</v>
      </c>
      <c r="C289" s="299" t="s">
        <v>1779</v>
      </c>
      <c r="D289" s="36">
        <v>2050</v>
      </c>
      <c r="E289" s="36"/>
      <c r="F289" s="36">
        <v>2050</v>
      </c>
      <c r="G289" s="36"/>
      <c r="H289" s="36"/>
      <c r="I289" s="114"/>
      <c r="J289" s="36"/>
      <c r="K289" s="36"/>
      <c r="L289" s="36"/>
      <c r="M289" s="36"/>
      <c r="N289" s="36"/>
    </row>
    <row r="290" spans="1:14">
      <c r="A290" s="177" t="s">
        <v>2272</v>
      </c>
      <c r="B290" s="36" t="s">
        <v>2273</v>
      </c>
      <c r="C290" s="299" t="s">
        <v>2274</v>
      </c>
      <c r="D290" s="36">
        <v>21000</v>
      </c>
      <c r="E290" s="36"/>
      <c r="F290" s="36">
        <v>21000</v>
      </c>
      <c r="G290" s="36"/>
      <c r="H290" s="36"/>
      <c r="I290" s="114"/>
      <c r="J290" s="36"/>
      <c r="K290" s="36"/>
      <c r="L290" s="36"/>
      <c r="M290" s="36"/>
      <c r="N290" s="36"/>
    </row>
    <row r="291" spans="1:14">
      <c r="A291" s="177" t="s">
        <v>2275</v>
      </c>
      <c r="B291" s="36" t="s">
        <v>2276</v>
      </c>
      <c r="C291" s="299" t="s">
        <v>2277</v>
      </c>
      <c r="D291" s="36">
        <v>1100</v>
      </c>
      <c r="E291" s="36"/>
      <c r="F291" s="36">
        <v>1100</v>
      </c>
      <c r="G291" s="36"/>
      <c r="H291" s="36"/>
      <c r="I291" s="114"/>
      <c r="J291" s="36"/>
      <c r="K291" s="36"/>
      <c r="L291" s="36"/>
      <c r="M291" s="36"/>
      <c r="N291" s="36"/>
    </row>
    <row r="292" spans="1:14">
      <c r="A292" s="119">
        <v>45699</v>
      </c>
      <c r="B292" s="36" t="s">
        <v>2043</v>
      </c>
      <c r="C292" s="299" t="s">
        <v>2278</v>
      </c>
      <c r="D292" s="36"/>
      <c r="E292" s="36">
        <v>1000</v>
      </c>
      <c r="F292" s="36">
        <v>0</v>
      </c>
      <c r="G292" s="36"/>
      <c r="H292" s="36"/>
      <c r="I292" s="114"/>
      <c r="J292" s="36"/>
      <c r="K292" s="36"/>
      <c r="L292" s="36"/>
      <c r="M292" s="36"/>
      <c r="N292" s="36"/>
    </row>
    <row r="293" spans="1:14">
      <c r="A293" s="119">
        <v>45727</v>
      </c>
      <c r="B293" s="36" t="s">
        <v>2043</v>
      </c>
      <c r="C293" s="299" t="s">
        <v>2279</v>
      </c>
      <c r="D293" s="36"/>
      <c r="E293" s="36">
        <v>2700</v>
      </c>
      <c r="F293" s="36">
        <v>0</v>
      </c>
      <c r="G293" s="36"/>
      <c r="H293" s="36"/>
      <c r="I293" s="114"/>
      <c r="J293" s="36"/>
      <c r="K293" s="36"/>
      <c r="L293" s="36"/>
      <c r="M293" s="36"/>
      <c r="N293" s="36"/>
    </row>
    <row r="294" spans="1:14">
      <c r="A294" s="119">
        <v>45758</v>
      </c>
      <c r="B294" s="36" t="s">
        <v>2280</v>
      </c>
      <c r="C294" s="299" t="s">
        <v>2281</v>
      </c>
      <c r="D294" s="36">
        <v>8200</v>
      </c>
      <c r="E294" s="36"/>
      <c r="F294" s="36">
        <v>8200</v>
      </c>
      <c r="G294" s="36"/>
      <c r="H294" s="36"/>
      <c r="I294" s="114"/>
      <c r="J294" s="36"/>
      <c r="K294" s="36"/>
      <c r="L294" s="36"/>
      <c r="M294" s="36"/>
      <c r="N294" s="36"/>
    </row>
    <row r="295" spans="1:14">
      <c r="A295" s="119">
        <v>45788</v>
      </c>
      <c r="B295" s="36" t="s">
        <v>2282</v>
      </c>
      <c r="C295" s="299" t="s">
        <v>1970</v>
      </c>
      <c r="D295" s="36">
        <v>11660</v>
      </c>
      <c r="E295" s="36">
        <v>9000</v>
      </c>
      <c r="F295" s="36">
        <v>2660</v>
      </c>
      <c r="G295" s="36"/>
      <c r="H295" s="36"/>
      <c r="I295" s="114"/>
      <c r="J295" s="36"/>
      <c r="K295" s="36"/>
      <c r="L295" s="36"/>
      <c r="M295" s="36"/>
      <c r="N295" s="36"/>
    </row>
    <row r="296" spans="1:14">
      <c r="A296" s="70">
        <v>45880</v>
      </c>
      <c r="B296" s="36" t="s">
        <v>2283</v>
      </c>
      <c r="C296" s="299" t="s">
        <v>2284</v>
      </c>
      <c r="D296" s="36">
        <v>5000</v>
      </c>
      <c r="E296" s="36">
        <v>5000</v>
      </c>
      <c r="F296" s="36">
        <v>0</v>
      </c>
      <c r="G296" s="36"/>
      <c r="H296" s="36"/>
      <c r="I296" s="114"/>
      <c r="J296" s="36"/>
      <c r="K296" s="36"/>
      <c r="L296" s="36"/>
      <c r="M296" s="36"/>
      <c r="N296" s="36"/>
    </row>
    <row r="297" spans="1:14">
      <c r="A297" s="70">
        <v>46002</v>
      </c>
      <c r="B297" s="36" t="s">
        <v>2043</v>
      </c>
      <c r="C297" s="299" t="s">
        <v>2285</v>
      </c>
      <c r="D297" s="36"/>
      <c r="E297" s="36">
        <v>1500</v>
      </c>
      <c r="F297" s="36">
        <v>0</v>
      </c>
      <c r="G297" s="36"/>
      <c r="H297" s="36"/>
      <c r="I297" s="114"/>
      <c r="J297" s="36"/>
      <c r="K297" s="36"/>
      <c r="L297" s="36"/>
      <c r="M297" s="36"/>
      <c r="N297" s="36"/>
    </row>
    <row r="298" spans="1:14">
      <c r="A298" s="36"/>
      <c r="B298" s="36"/>
      <c r="C298" s="299"/>
      <c r="D298" s="36"/>
      <c r="E298" s="36"/>
      <c r="F298" s="36"/>
      <c r="G298" s="36"/>
      <c r="H298" s="36"/>
      <c r="I298" s="114"/>
      <c r="J298" s="36"/>
      <c r="K298" s="36"/>
      <c r="L298" s="36"/>
      <c r="M298" s="36"/>
      <c r="N298" s="36"/>
    </row>
    <row r="299" spans="1:14">
      <c r="A299" s="36"/>
      <c r="B299" s="36"/>
      <c r="C299" s="299"/>
      <c r="D299" s="36"/>
      <c r="E299" s="36"/>
      <c r="F299" s="36"/>
      <c r="G299" s="36"/>
      <c r="H299" s="36"/>
      <c r="I299" s="114"/>
      <c r="J299" s="36"/>
      <c r="K299" s="36"/>
      <c r="L299" s="36"/>
      <c r="M299" s="36"/>
      <c r="N299" s="36"/>
    </row>
    <row r="300" spans="1:14">
      <c r="A300" s="36"/>
      <c r="B300" s="36"/>
      <c r="C300" s="299"/>
      <c r="D300" s="36"/>
      <c r="E300" s="36"/>
      <c r="F300" s="36"/>
      <c r="G300" s="36"/>
      <c r="H300" s="36"/>
      <c r="I300" s="114"/>
      <c r="J300" s="36"/>
      <c r="K300" s="36"/>
      <c r="L300" s="36"/>
      <c r="M300" s="36"/>
      <c r="N300" s="36"/>
    </row>
    <row r="301" spans="1:14">
      <c r="A301" s="36"/>
      <c r="B301" s="36"/>
      <c r="C301" s="299"/>
      <c r="D301" s="36"/>
      <c r="E301" s="36"/>
      <c r="F301" s="36"/>
      <c r="G301" s="36"/>
      <c r="H301" s="36"/>
      <c r="I301" s="114"/>
      <c r="J301" s="36"/>
      <c r="K301" s="36"/>
      <c r="L301" s="36"/>
      <c r="M301" s="36"/>
      <c r="N301" s="36"/>
    </row>
    <row r="302" spans="1:14">
      <c r="A302" s="36"/>
      <c r="B302" s="36"/>
      <c r="C302" s="299"/>
      <c r="D302" s="36"/>
      <c r="E302" s="36"/>
      <c r="F302" s="36"/>
      <c r="G302" s="36"/>
      <c r="H302" s="36"/>
      <c r="I302" s="114"/>
      <c r="J302" s="36"/>
      <c r="K302" s="36"/>
      <c r="L302" s="36"/>
      <c r="M302" s="36"/>
      <c r="N302" s="36"/>
    </row>
    <row r="303" spans="1:14">
      <c r="A303" s="36"/>
      <c r="B303" s="36"/>
      <c r="C303" s="299"/>
      <c r="D303" s="36"/>
      <c r="E303" s="36"/>
      <c r="F303" s="36"/>
      <c r="G303" s="36"/>
      <c r="H303" s="36"/>
      <c r="I303" s="114"/>
      <c r="J303" s="36"/>
      <c r="K303" s="36"/>
      <c r="L303" s="36"/>
      <c r="M303" s="36"/>
      <c r="N303" s="36"/>
    </row>
    <row r="304" spans="1:14">
      <c r="A304" s="36"/>
      <c r="B304" s="36"/>
      <c r="C304" s="299"/>
      <c r="D304" s="36"/>
      <c r="E304" s="36"/>
      <c r="F304" s="36"/>
      <c r="G304" s="36"/>
      <c r="H304" s="36"/>
      <c r="I304" s="114"/>
      <c r="J304" s="36"/>
      <c r="K304" s="36"/>
      <c r="L304" s="36"/>
      <c r="M304" s="36"/>
      <c r="N304" s="36"/>
    </row>
    <row r="305" spans="1:14">
      <c r="A305" s="36"/>
      <c r="B305" s="36"/>
      <c r="C305" s="299"/>
      <c r="D305" s="36"/>
      <c r="E305" s="36"/>
      <c r="F305" s="36"/>
      <c r="G305" s="36"/>
      <c r="H305" s="36"/>
      <c r="I305" s="114"/>
      <c r="J305" s="36"/>
      <c r="K305" s="36"/>
      <c r="L305" s="36"/>
      <c r="M305" s="36"/>
      <c r="N305" s="36"/>
    </row>
    <row r="306" spans="1:14">
      <c r="A306" s="36"/>
      <c r="B306" s="36"/>
      <c r="C306" s="299"/>
      <c r="D306" s="36"/>
      <c r="E306" s="36"/>
      <c r="F306" s="36"/>
      <c r="G306" s="36"/>
      <c r="H306" s="36"/>
      <c r="I306" s="114"/>
      <c r="J306" s="36"/>
      <c r="K306" s="36"/>
      <c r="L306" s="36"/>
      <c r="M306" s="36"/>
      <c r="N306" s="36"/>
    </row>
    <row r="307" spans="1:14">
      <c r="A307" s="36"/>
      <c r="B307" s="36"/>
      <c r="C307" s="299"/>
      <c r="D307" s="36"/>
      <c r="E307" s="36"/>
      <c r="F307" s="36"/>
      <c r="G307" s="36"/>
      <c r="H307" s="36"/>
      <c r="I307" s="114"/>
      <c r="J307" s="36"/>
      <c r="K307" s="36"/>
      <c r="L307" s="36"/>
      <c r="M307" s="36"/>
      <c r="N307" s="36"/>
    </row>
    <row r="308" spans="1:14">
      <c r="A308" s="36"/>
      <c r="B308" s="36"/>
      <c r="C308" s="299"/>
      <c r="D308" s="36"/>
      <c r="E308" s="36"/>
      <c r="F308" s="36"/>
      <c r="G308" s="36"/>
      <c r="H308" s="36"/>
      <c r="I308" s="114"/>
      <c r="J308" s="36"/>
      <c r="K308" s="36"/>
      <c r="L308" s="36"/>
      <c r="M308" s="36"/>
      <c r="N308" s="36"/>
    </row>
    <row r="309" spans="1:14">
      <c r="A309" s="36"/>
      <c r="B309" s="36"/>
      <c r="C309" s="299"/>
      <c r="D309" s="36"/>
      <c r="E309" s="36"/>
      <c r="F309" s="36"/>
      <c r="G309" s="36"/>
      <c r="H309" s="36"/>
      <c r="I309" s="114"/>
      <c r="J309" s="36"/>
      <c r="K309" s="36"/>
      <c r="L309" s="36"/>
      <c r="M309" s="36"/>
      <c r="N309" s="36"/>
    </row>
    <row r="310" spans="1:14">
      <c r="A310" s="36"/>
      <c r="B310" s="36"/>
      <c r="C310" s="299"/>
      <c r="D310" s="36"/>
      <c r="E310" s="36"/>
      <c r="F310" s="36"/>
      <c r="G310" s="36"/>
      <c r="H310" s="36"/>
      <c r="I310" s="114"/>
      <c r="J310" s="36"/>
      <c r="K310" s="36"/>
      <c r="L310" s="36"/>
      <c r="M310" s="36"/>
      <c r="N310" s="36"/>
    </row>
    <row r="311" spans="1:14">
      <c r="A311" s="36"/>
      <c r="B311" s="36"/>
      <c r="C311" s="299"/>
      <c r="D311" s="36"/>
      <c r="E311" s="36"/>
      <c r="F311" s="36"/>
      <c r="G311" s="36"/>
      <c r="H311" s="36"/>
      <c r="I311" s="114"/>
      <c r="J311" s="36"/>
      <c r="K311" s="36"/>
      <c r="L311" s="36"/>
      <c r="M311" s="36"/>
      <c r="N311" s="36"/>
    </row>
    <row r="312" spans="1:14">
      <c r="A312" s="36"/>
      <c r="B312" s="36"/>
      <c r="C312" s="299"/>
      <c r="D312" s="36"/>
      <c r="E312" s="36"/>
      <c r="F312" s="36"/>
      <c r="G312" s="36"/>
      <c r="H312" s="36"/>
      <c r="I312" s="114"/>
      <c r="J312" s="36"/>
      <c r="K312" s="36"/>
      <c r="L312" s="36"/>
      <c r="M312" s="36"/>
      <c r="N312" s="36"/>
    </row>
    <row r="313" spans="1:14">
      <c r="A313" s="36"/>
      <c r="B313" s="36"/>
      <c r="C313" s="299"/>
      <c r="D313" s="36"/>
      <c r="E313" s="36"/>
      <c r="F313" s="36"/>
      <c r="G313" s="36"/>
      <c r="H313" s="36"/>
      <c r="I313" s="114"/>
      <c r="J313" s="36"/>
      <c r="K313" s="36"/>
      <c r="L313" s="36"/>
      <c r="M313" s="36"/>
      <c r="N313" s="36"/>
    </row>
    <row r="314" spans="1:14">
      <c r="A314" s="36"/>
      <c r="B314" s="36"/>
      <c r="C314" s="299"/>
      <c r="D314" s="36"/>
      <c r="E314" s="36"/>
      <c r="F314" s="36"/>
      <c r="G314" s="36"/>
      <c r="H314" s="36"/>
      <c r="I314" s="114"/>
      <c r="J314" s="36"/>
      <c r="K314" s="36"/>
      <c r="L314" s="36"/>
      <c r="M314" s="36"/>
      <c r="N314" s="36"/>
    </row>
    <row r="315" spans="1:14">
      <c r="A315" s="36"/>
      <c r="B315" s="36"/>
      <c r="C315" s="299"/>
      <c r="D315" s="36"/>
      <c r="E315" s="36"/>
      <c r="F315" s="36"/>
      <c r="G315" s="36"/>
      <c r="H315" s="36"/>
      <c r="I315" s="114"/>
      <c r="J315" s="36"/>
      <c r="K315" s="36"/>
      <c r="L315" s="36"/>
      <c r="M315" s="36"/>
      <c r="N315" s="36"/>
    </row>
    <row r="316" spans="1:14">
      <c r="A316" s="36"/>
      <c r="B316" s="36"/>
      <c r="C316" s="299"/>
      <c r="D316" s="36"/>
      <c r="E316" s="36"/>
      <c r="F316" s="36"/>
      <c r="G316" s="36"/>
      <c r="H316" s="36"/>
      <c r="I316" s="114"/>
      <c r="J316" s="36"/>
      <c r="K316" s="36"/>
      <c r="L316" s="36"/>
      <c r="M316" s="36"/>
      <c r="N316" s="36"/>
    </row>
    <row r="317" spans="1:14">
      <c r="A317" s="36"/>
      <c r="B317" s="36"/>
      <c r="C317" s="299"/>
      <c r="D317" s="36"/>
      <c r="E317" s="36"/>
      <c r="F317" s="36"/>
      <c r="G317" s="36"/>
      <c r="H317" s="36"/>
      <c r="I317" s="114"/>
      <c r="J317" s="36"/>
      <c r="K317" s="36"/>
      <c r="L317" s="36"/>
      <c r="M317" s="36"/>
      <c r="N317" s="36"/>
    </row>
    <row r="318" spans="1:14">
      <c r="A318" s="36"/>
      <c r="B318" s="36"/>
      <c r="C318" s="299"/>
      <c r="D318" s="36"/>
      <c r="E318" s="36"/>
      <c r="F318" s="36"/>
      <c r="G318" s="36"/>
      <c r="H318" s="36"/>
      <c r="I318" s="114"/>
      <c r="J318" s="36"/>
      <c r="K318" s="36"/>
      <c r="L318" s="36"/>
      <c r="M318" s="36"/>
      <c r="N318" s="36"/>
    </row>
    <row r="319" spans="1:14">
      <c r="A319" s="36"/>
      <c r="B319" s="36"/>
      <c r="C319" s="299"/>
      <c r="D319" s="36"/>
      <c r="E319" s="36"/>
      <c r="F319" s="36"/>
      <c r="G319" s="36"/>
      <c r="H319" s="36"/>
      <c r="I319" s="114"/>
      <c r="J319" s="36"/>
      <c r="K319" s="36"/>
      <c r="L319" s="36"/>
      <c r="M319" s="36"/>
      <c r="N319" s="36"/>
    </row>
    <row r="320" spans="1:14">
      <c r="A320" s="36"/>
      <c r="B320" s="36"/>
      <c r="C320" s="299"/>
      <c r="D320" s="36"/>
      <c r="E320" s="36"/>
      <c r="F320" s="36"/>
      <c r="G320" s="36"/>
      <c r="H320" s="36"/>
      <c r="I320" s="114"/>
      <c r="J320" s="36"/>
      <c r="K320" s="36"/>
      <c r="L320" s="36"/>
      <c r="M320" s="36"/>
      <c r="N320" s="36"/>
    </row>
    <row r="321" spans="1:14">
      <c r="A321" s="36"/>
      <c r="B321" s="36"/>
      <c r="C321" s="299"/>
      <c r="D321" s="36"/>
      <c r="E321" s="36"/>
      <c r="F321" s="36"/>
      <c r="G321" s="36"/>
      <c r="H321" s="301"/>
      <c r="I321" s="36"/>
      <c r="J321" s="36"/>
      <c r="K321" s="36"/>
      <c r="L321" s="36"/>
      <c r="M321" s="36"/>
      <c r="N321" s="36"/>
    </row>
    <row r="322" spans="1:14">
      <c r="A322" s="36"/>
      <c r="B322" s="36"/>
      <c r="C322" s="299"/>
      <c r="D322" s="36"/>
      <c r="E322" s="36"/>
      <c r="F322" s="36"/>
      <c r="G322" s="36"/>
      <c r="H322" s="301"/>
      <c r="I322" s="36"/>
      <c r="J322" s="36"/>
      <c r="K322" s="36"/>
      <c r="L322" s="36"/>
      <c r="M322" s="36"/>
      <c r="N322" s="36"/>
    </row>
    <row r="323" spans="1:14">
      <c r="A323" s="36"/>
      <c r="B323" s="36"/>
      <c r="C323" s="299"/>
      <c r="D323" s="36"/>
      <c r="E323" s="36"/>
      <c r="F323" s="36"/>
      <c r="G323" s="36"/>
      <c r="H323" s="301"/>
      <c r="I323" s="36"/>
      <c r="J323" s="36"/>
      <c r="K323" s="36"/>
      <c r="L323" s="36"/>
      <c r="M323" s="36"/>
      <c r="N323" s="36"/>
    </row>
    <row r="324" spans="1:14">
      <c r="A324" s="36"/>
      <c r="B324" s="36"/>
      <c r="C324" s="299"/>
      <c r="D324" s="36"/>
      <c r="E324" s="36"/>
      <c r="F324" s="36"/>
      <c r="G324" s="36"/>
      <c r="H324" s="301"/>
      <c r="I324" s="36"/>
      <c r="J324" s="36"/>
      <c r="K324" s="36"/>
      <c r="L324" s="36"/>
      <c r="M324" s="36"/>
      <c r="N324" s="36"/>
    </row>
    <row r="325" spans="1:14">
      <c r="A325" s="36"/>
      <c r="B325" s="36"/>
      <c r="C325" s="299"/>
      <c r="D325" s="36"/>
      <c r="E325" s="36"/>
      <c r="F325" s="36"/>
      <c r="G325" s="36"/>
      <c r="H325" s="301"/>
      <c r="I325" s="36"/>
      <c r="J325" s="36"/>
      <c r="K325" s="36"/>
      <c r="L325" s="36"/>
      <c r="M325" s="36"/>
      <c r="N325" s="36"/>
    </row>
    <row r="326" spans="1:14">
      <c r="A326" s="36"/>
      <c r="B326" s="36"/>
      <c r="C326" s="299"/>
      <c r="D326" s="36"/>
      <c r="E326" s="36"/>
      <c r="F326" s="36"/>
      <c r="G326" s="36"/>
      <c r="H326" s="301"/>
      <c r="I326" s="36"/>
      <c r="J326" s="36"/>
      <c r="K326" s="36"/>
      <c r="L326" s="36"/>
      <c r="M326" s="36"/>
      <c r="N326" s="36"/>
    </row>
    <row r="327" spans="1:14">
      <c r="A327" s="36"/>
      <c r="B327" s="36"/>
      <c r="C327" s="299"/>
      <c r="D327" s="36"/>
      <c r="E327" s="36"/>
      <c r="F327" s="36"/>
      <c r="G327" s="36"/>
      <c r="H327" s="301"/>
      <c r="I327" s="36"/>
      <c r="J327" s="36"/>
      <c r="K327" s="36"/>
      <c r="L327" s="36"/>
      <c r="M327" s="36"/>
      <c r="N327" s="36"/>
    </row>
    <row r="328" spans="1:14">
      <c r="A328" s="36"/>
      <c r="B328" s="36"/>
      <c r="C328" s="299"/>
      <c r="D328" s="36"/>
      <c r="E328" s="36"/>
      <c r="F328" s="36"/>
      <c r="G328" s="36"/>
      <c r="H328" s="301"/>
      <c r="I328" s="36"/>
      <c r="J328" s="36"/>
      <c r="K328" s="36"/>
      <c r="L328" s="36"/>
      <c r="M328" s="36"/>
      <c r="N328" s="36"/>
    </row>
    <row r="329" spans="1:14">
      <c r="A329" s="36"/>
      <c r="B329" s="36"/>
      <c r="C329" s="299"/>
      <c r="D329" s="36"/>
      <c r="E329" s="36"/>
      <c r="F329" s="36"/>
      <c r="G329" s="36"/>
      <c r="H329" s="301"/>
      <c r="I329" s="36"/>
      <c r="J329" s="36"/>
      <c r="K329" s="36"/>
      <c r="L329" s="36"/>
      <c r="M329" s="36"/>
      <c r="N329" s="36"/>
    </row>
    <row r="330" spans="1:14">
      <c r="A330" s="36"/>
      <c r="B330" s="36"/>
      <c r="C330" s="299"/>
      <c r="D330" s="36"/>
      <c r="E330" s="36"/>
      <c r="F330" s="36"/>
      <c r="G330" s="36"/>
      <c r="H330" s="301"/>
      <c r="I330" s="36"/>
      <c r="J330" s="36"/>
      <c r="K330" s="36"/>
      <c r="L330" s="36"/>
      <c r="M330" s="36"/>
      <c r="N330" s="36"/>
    </row>
    <row r="331" spans="1:14">
      <c r="A331" s="36"/>
      <c r="B331" s="36"/>
      <c r="C331" s="299"/>
      <c r="D331" s="36"/>
      <c r="E331" s="36"/>
      <c r="F331" s="36"/>
      <c r="G331" s="36"/>
      <c r="H331" s="301"/>
      <c r="I331" s="36"/>
      <c r="J331" s="36"/>
      <c r="K331" s="36"/>
      <c r="L331" s="36"/>
      <c r="M331" s="36"/>
      <c r="N331" s="36"/>
    </row>
    <row r="332" spans="1:14">
      <c r="A332" s="36"/>
      <c r="B332" s="36"/>
      <c r="C332" s="299"/>
      <c r="D332" s="36"/>
      <c r="E332" s="36"/>
      <c r="F332" s="36"/>
      <c r="G332" s="36"/>
      <c r="H332" s="301"/>
      <c r="I332" s="36"/>
      <c r="J332" s="36"/>
      <c r="K332" s="36"/>
      <c r="L332" s="36"/>
      <c r="M332" s="36"/>
      <c r="N332" s="36"/>
    </row>
    <row r="333" spans="1:14">
      <c r="A333" s="36"/>
      <c r="B333" s="36"/>
      <c r="C333" s="299"/>
      <c r="D333" s="36"/>
      <c r="E333" s="36"/>
      <c r="F333" s="36"/>
      <c r="G333" s="36"/>
      <c r="H333" s="301"/>
      <c r="I333" s="36"/>
      <c r="J333" s="36"/>
      <c r="K333" s="36"/>
      <c r="L333" s="36"/>
      <c r="M333" s="36"/>
      <c r="N333" s="36"/>
    </row>
    <row r="334" spans="1:14">
      <c r="A334" s="36"/>
      <c r="B334" s="36"/>
      <c r="C334" s="299"/>
      <c r="D334" s="36"/>
      <c r="E334" s="36"/>
      <c r="F334" s="36"/>
      <c r="G334" s="36"/>
      <c r="H334" s="301"/>
      <c r="I334" s="36"/>
      <c r="J334" s="36"/>
      <c r="K334" s="36"/>
      <c r="L334" s="36"/>
      <c r="M334" s="36"/>
      <c r="N334" s="36"/>
    </row>
    <row r="335" spans="1:14">
      <c r="A335" s="36"/>
      <c r="B335" s="36"/>
      <c r="C335" s="299"/>
      <c r="D335" s="36"/>
      <c r="E335" s="36"/>
      <c r="F335" s="36"/>
      <c r="G335" s="36"/>
      <c r="H335" s="301"/>
      <c r="I335" s="36"/>
      <c r="J335" s="36"/>
      <c r="K335" s="36"/>
      <c r="L335" s="36"/>
      <c r="M335" s="36"/>
      <c r="N335" s="36"/>
    </row>
    <row r="336" spans="1:14">
      <c r="A336" s="36"/>
      <c r="B336" s="36"/>
      <c r="C336" s="299"/>
      <c r="D336" s="36"/>
      <c r="E336" s="36"/>
      <c r="F336" s="36"/>
      <c r="G336" s="36"/>
      <c r="H336" s="301"/>
      <c r="I336" s="36"/>
      <c r="J336" s="36"/>
      <c r="K336" s="36"/>
      <c r="L336" s="36"/>
      <c r="M336" s="36"/>
      <c r="N336" s="36"/>
    </row>
    <row r="337" spans="1:14">
      <c r="A337" s="36"/>
      <c r="B337" s="36"/>
      <c r="C337" s="299"/>
      <c r="D337" s="36"/>
      <c r="E337" s="36"/>
      <c r="F337" s="36"/>
      <c r="G337" s="36"/>
      <c r="H337" s="301"/>
      <c r="I337" s="36"/>
      <c r="J337" s="36"/>
      <c r="K337" s="36"/>
      <c r="L337" s="36"/>
      <c r="M337" s="36"/>
      <c r="N337" s="36"/>
    </row>
    <row r="338" spans="1:14">
      <c r="A338" s="36"/>
      <c r="B338" s="36"/>
      <c r="C338" s="299"/>
      <c r="D338" s="36"/>
      <c r="E338" s="36"/>
      <c r="F338" s="36"/>
      <c r="G338" s="36"/>
      <c r="H338" s="301"/>
      <c r="I338" s="36"/>
      <c r="J338" s="36"/>
      <c r="K338" s="36"/>
      <c r="L338" s="36"/>
      <c r="M338" s="36"/>
      <c r="N338" s="36"/>
    </row>
    <row r="339" spans="1:14">
      <c r="A339" s="36"/>
      <c r="B339" s="36"/>
      <c r="C339" s="299"/>
      <c r="D339" s="36"/>
      <c r="E339" s="36"/>
      <c r="F339" s="36"/>
      <c r="G339" s="36"/>
      <c r="H339" s="301"/>
      <c r="I339" s="36"/>
      <c r="J339" s="36"/>
      <c r="K339" s="36"/>
      <c r="L339" s="36"/>
      <c r="M339" s="36"/>
      <c r="N339" s="36"/>
    </row>
    <row r="340" spans="1:14">
      <c r="A340" s="36"/>
      <c r="B340" s="36"/>
      <c r="C340" s="299"/>
      <c r="D340" s="36"/>
      <c r="E340" s="36"/>
      <c r="F340" s="36"/>
      <c r="G340" s="36"/>
      <c r="H340" s="301"/>
      <c r="I340" s="36"/>
      <c r="J340" s="36"/>
      <c r="K340" s="36"/>
      <c r="L340" s="36"/>
      <c r="M340" s="36"/>
      <c r="N340" s="36"/>
    </row>
    <row r="341" spans="1:14">
      <c r="A341" s="36"/>
      <c r="B341" s="36"/>
      <c r="C341" s="299"/>
      <c r="D341" s="36"/>
      <c r="E341" s="36"/>
      <c r="F341" s="36"/>
      <c r="G341" s="36"/>
      <c r="H341" s="301"/>
      <c r="I341" s="36"/>
      <c r="J341" s="36"/>
      <c r="K341" s="36"/>
      <c r="L341" s="36"/>
      <c r="M341" s="36"/>
      <c r="N341" s="36"/>
    </row>
    <row r="342" spans="1:14">
      <c r="A342" s="36"/>
      <c r="B342" s="36"/>
      <c r="C342" s="299"/>
      <c r="D342" s="36"/>
      <c r="E342" s="36"/>
      <c r="F342" s="36"/>
      <c r="G342" s="36"/>
      <c r="H342" s="301"/>
      <c r="I342" s="36"/>
      <c r="J342" s="36"/>
      <c r="K342" s="36"/>
      <c r="L342" s="36"/>
      <c r="M342" s="36"/>
      <c r="N342" s="36"/>
    </row>
    <row r="343" spans="1:14">
      <c r="A343" s="36"/>
      <c r="B343" s="36"/>
      <c r="C343" s="299"/>
      <c r="D343" s="36"/>
      <c r="E343" s="36"/>
      <c r="F343" s="36"/>
      <c r="G343" s="36"/>
      <c r="H343" s="301"/>
      <c r="I343" s="36"/>
      <c r="J343" s="36"/>
      <c r="K343" s="36"/>
      <c r="L343" s="36"/>
      <c r="M343" s="36"/>
      <c r="N343" s="36"/>
    </row>
    <row r="344" spans="1:14">
      <c r="A344" s="36"/>
      <c r="B344" s="36"/>
      <c r="C344" s="299"/>
      <c r="D344" s="36"/>
      <c r="E344" s="36"/>
      <c r="F344" s="36"/>
      <c r="G344" s="36"/>
      <c r="H344" s="301"/>
      <c r="I344" s="36"/>
      <c r="J344" s="36"/>
      <c r="K344" s="36"/>
      <c r="L344" s="36"/>
      <c r="M344" s="36"/>
      <c r="N344" s="36"/>
    </row>
    <row r="345" spans="1:14">
      <c r="A345" s="36"/>
      <c r="B345" s="36"/>
      <c r="C345" s="299"/>
      <c r="D345" s="36"/>
      <c r="E345" s="36"/>
      <c r="F345" s="36"/>
      <c r="G345" s="36"/>
      <c r="H345" s="301"/>
      <c r="I345" s="36"/>
      <c r="J345" s="36"/>
      <c r="K345" s="36"/>
      <c r="L345" s="36"/>
      <c r="M345" s="36"/>
      <c r="N345" s="36"/>
    </row>
    <row r="346" spans="1:14">
      <c r="A346" s="36"/>
      <c r="B346" s="36"/>
      <c r="C346" s="299"/>
      <c r="D346" s="36"/>
      <c r="E346" s="36"/>
      <c r="F346" s="36"/>
      <c r="G346" s="36"/>
      <c r="H346" s="301"/>
      <c r="I346" s="36"/>
      <c r="J346" s="36"/>
      <c r="K346" s="36"/>
      <c r="L346" s="36"/>
      <c r="M346" s="36"/>
      <c r="N346" s="36"/>
    </row>
    <row r="347" spans="1:14">
      <c r="A347" s="36"/>
      <c r="B347" s="36"/>
      <c r="C347" s="299"/>
      <c r="D347" s="36"/>
      <c r="E347" s="36"/>
      <c r="F347" s="36"/>
      <c r="G347" s="36"/>
      <c r="H347" s="301"/>
      <c r="I347" s="36"/>
      <c r="J347" s="36"/>
      <c r="K347" s="36"/>
      <c r="L347" s="36"/>
      <c r="M347" s="36"/>
      <c r="N347" s="36"/>
    </row>
    <row r="348" spans="1:14">
      <c r="A348" s="36"/>
      <c r="B348" s="36"/>
      <c r="C348" s="299"/>
      <c r="D348" s="36"/>
      <c r="E348" s="36"/>
      <c r="F348" s="36"/>
      <c r="G348" s="36"/>
      <c r="H348" s="301"/>
      <c r="I348" s="36"/>
      <c r="J348" s="36"/>
      <c r="K348" s="36"/>
      <c r="L348" s="36"/>
      <c r="M348" s="36"/>
      <c r="N348" s="36"/>
    </row>
    <row r="349" spans="1:14">
      <c r="A349" s="36"/>
      <c r="B349" s="36"/>
      <c r="C349" s="299"/>
      <c r="D349" s="36"/>
      <c r="E349" s="36"/>
      <c r="F349" s="36"/>
      <c r="G349" s="36"/>
      <c r="H349" s="301"/>
      <c r="I349" s="36"/>
      <c r="J349" s="36"/>
      <c r="K349" s="36"/>
      <c r="L349" s="36"/>
      <c r="M349" s="36"/>
      <c r="N349" s="36"/>
    </row>
    <row r="350" spans="1:14">
      <c r="A350" s="36"/>
      <c r="B350" s="36"/>
      <c r="C350" s="299"/>
      <c r="D350" s="36"/>
      <c r="E350" s="36"/>
      <c r="F350" s="36"/>
      <c r="G350" s="36"/>
      <c r="H350" s="301"/>
      <c r="I350" s="36"/>
      <c r="J350" s="36"/>
      <c r="K350" s="36"/>
      <c r="L350" s="36"/>
      <c r="M350" s="36"/>
      <c r="N350" s="36"/>
    </row>
    <row r="351" spans="1:14">
      <c r="A351" s="36"/>
      <c r="B351" s="36"/>
      <c r="C351" s="299"/>
      <c r="D351" s="36"/>
      <c r="E351" s="36"/>
      <c r="F351" s="36"/>
      <c r="G351" s="36"/>
      <c r="H351" s="301"/>
      <c r="I351" s="36"/>
      <c r="J351" s="36"/>
      <c r="K351" s="36"/>
      <c r="L351" s="36"/>
      <c r="M351" s="36"/>
      <c r="N351" s="36"/>
    </row>
    <row r="352" spans="1:14">
      <c r="A352" s="36"/>
      <c r="B352" s="36"/>
      <c r="C352" s="299"/>
      <c r="D352" s="36"/>
      <c r="E352" s="36"/>
      <c r="F352" s="36"/>
      <c r="G352" s="36"/>
      <c r="H352" s="301"/>
      <c r="I352" s="36"/>
      <c r="J352" s="36"/>
      <c r="K352" s="36"/>
      <c r="L352" s="36"/>
      <c r="M352" s="36"/>
      <c r="N352" s="36"/>
    </row>
    <row r="353" spans="1:14">
      <c r="A353" s="36"/>
      <c r="B353" s="36"/>
      <c r="C353" s="299"/>
      <c r="D353" s="36"/>
      <c r="E353" s="36"/>
      <c r="F353" s="36"/>
      <c r="G353" s="36"/>
      <c r="H353" s="301"/>
      <c r="I353" s="36"/>
      <c r="J353" s="36"/>
      <c r="K353" s="36"/>
      <c r="L353" s="36"/>
      <c r="M353" s="36"/>
      <c r="N353" s="36"/>
    </row>
    <row r="354" spans="1:14">
      <c r="A354" s="36"/>
      <c r="B354" s="36"/>
      <c r="C354" s="299"/>
      <c r="D354" s="36"/>
      <c r="E354" s="36"/>
      <c r="F354" s="36"/>
      <c r="G354" s="36"/>
      <c r="H354" s="301"/>
      <c r="I354" s="36"/>
      <c r="J354" s="36"/>
      <c r="K354" s="36"/>
      <c r="L354" s="36"/>
      <c r="M354" s="36"/>
      <c r="N354" s="36"/>
    </row>
    <row r="355" spans="1:14">
      <c r="A355" s="36"/>
      <c r="B355" s="36"/>
      <c r="C355" s="299"/>
      <c r="D355" s="36"/>
      <c r="E355" s="36"/>
      <c r="F355" s="36"/>
      <c r="G355" s="36"/>
      <c r="H355" s="301"/>
      <c r="I355" s="36"/>
      <c r="J355" s="36"/>
      <c r="K355" s="36"/>
      <c r="L355" s="36"/>
      <c r="M355" s="36"/>
      <c r="N355" s="36"/>
    </row>
    <row r="356" spans="1:14">
      <c r="A356" s="36"/>
      <c r="B356" s="36"/>
      <c r="C356" s="299"/>
      <c r="D356" s="36"/>
      <c r="E356" s="36"/>
      <c r="F356" s="36"/>
      <c r="G356" s="36"/>
      <c r="H356" s="301"/>
      <c r="I356" s="36"/>
      <c r="J356" s="36"/>
      <c r="K356" s="36"/>
      <c r="L356" s="36"/>
      <c r="M356" s="36"/>
      <c r="N356" s="36"/>
    </row>
    <row r="357" spans="1:14">
      <c r="A357" s="36"/>
      <c r="B357" s="36"/>
      <c r="C357" s="299"/>
      <c r="D357" s="36"/>
      <c r="E357" s="36"/>
      <c r="F357" s="36"/>
      <c r="G357" s="36"/>
      <c r="H357" s="301"/>
      <c r="I357" s="36"/>
      <c r="J357" s="36"/>
      <c r="K357" s="36"/>
      <c r="L357" s="36"/>
      <c r="M357" s="36"/>
      <c r="N357" s="36"/>
    </row>
    <row r="358" spans="1:14">
      <c r="A358" s="36"/>
      <c r="B358" s="36"/>
      <c r="C358" s="299"/>
      <c r="D358" s="36"/>
      <c r="E358" s="36"/>
      <c r="F358" s="36"/>
      <c r="G358" s="36"/>
      <c r="H358" s="301"/>
      <c r="I358" s="36"/>
      <c r="J358" s="36"/>
      <c r="K358" s="36"/>
      <c r="L358" s="36"/>
      <c r="M358" s="36"/>
      <c r="N358" s="36"/>
    </row>
    <row r="359" spans="1:14">
      <c r="A359" s="36"/>
      <c r="B359" s="36"/>
      <c r="C359" s="299"/>
      <c r="D359" s="36"/>
      <c r="E359" s="36"/>
      <c r="F359" s="36"/>
      <c r="G359" s="36"/>
      <c r="H359" s="301"/>
      <c r="I359" s="36"/>
      <c r="J359" s="36"/>
      <c r="K359" s="36"/>
      <c r="L359" s="36"/>
      <c r="M359" s="36"/>
      <c r="N359" s="36"/>
    </row>
    <row r="360" spans="1:14">
      <c r="A360" s="36"/>
      <c r="B360" s="36"/>
      <c r="C360" s="299"/>
      <c r="D360" s="36"/>
      <c r="E360" s="36"/>
      <c r="F360" s="36"/>
      <c r="G360" s="36"/>
      <c r="H360" s="301"/>
      <c r="I360" s="36"/>
      <c r="J360" s="36"/>
      <c r="K360" s="36"/>
      <c r="L360" s="36"/>
      <c r="M360" s="36"/>
      <c r="N360" s="36"/>
    </row>
    <row r="361" spans="1:14">
      <c r="A361" s="36"/>
      <c r="B361" s="36"/>
      <c r="C361" s="299"/>
      <c r="D361" s="36"/>
      <c r="E361" s="36"/>
      <c r="F361" s="36"/>
      <c r="G361" s="36"/>
      <c r="H361" s="301"/>
      <c r="I361" s="36"/>
      <c r="J361" s="36"/>
      <c r="K361" s="36"/>
      <c r="L361" s="36"/>
      <c r="M361" s="36"/>
      <c r="N361" s="36"/>
    </row>
    <row r="362" spans="1:14">
      <c r="A362" s="36"/>
      <c r="B362" s="36"/>
      <c r="C362" s="299"/>
      <c r="D362" s="36"/>
      <c r="E362" s="36"/>
      <c r="F362" s="36"/>
      <c r="G362" s="36"/>
      <c r="H362" s="301"/>
      <c r="I362" s="36"/>
      <c r="J362" s="36"/>
      <c r="K362" s="36"/>
      <c r="L362" s="36"/>
      <c r="M362" s="36"/>
      <c r="N362" s="36"/>
    </row>
    <row r="363" spans="1:14">
      <c r="A363" s="36"/>
      <c r="B363" s="36"/>
      <c r="C363" s="299"/>
      <c r="D363" s="36"/>
      <c r="E363" s="36"/>
      <c r="F363" s="36"/>
      <c r="G363" s="36"/>
      <c r="H363" s="301"/>
      <c r="I363" s="36"/>
      <c r="J363" s="36"/>
      <c r="K363" s="36"/>
      <c r="L363" s="36"/>
      <c r="M363" s="36"/>
      <c r="N363" s="36"/>
    </row>
    <row r="364" spans="1:14">
      <c r="A364" s="36"/>
      <c r="B364" s="36"/>
      <c r="C364" s="299"/>
      <c r="D364" s="36"/>
      <c r="E364" s="36"/>
      <c r="F364" s="36"/>
      <c r="G364" s="36"/>
      <c r="H364" s="301"/>
      <c r="I364" s="36"/>
      <c r="J364" s="36"/>
      <c r="K364" s="36"/>
      <c r="L364" s="36"/>
      <c r="M364" s="36"/>
      <c r="N364" s="36"/>
    </row>
    <row r="365" spans="1:14">
      <c r="A365" s="36"/>
      <c r="B365" s="36"/>
      <c r="C365" s="299"/>
      <c r="D365" s="36"/>
      <c r="E365" s="36"/>
      <c r="F365" s="36"/>
      <c r="G365" s="36"/>
      <c r="H365" s="301"/>
      <c r="I365" s="36"/>
      <c r="J365" s="36"/>
      <c r="K365" s="36"/>
      <c r="L365" s="36"/>
      <c r="M365" s="36"/>
      <c r="N365" s="36"/>
    </row>
    <row r="366" spans="1:14">
      <c r="A366" s="36"/>
      <c r="B366" s="36"/>
      <c r="C366" s="299"/>
      <c r="D366" s="36"/>
      <c r="E366" s="36"/>
      <c r="F366" s="36"/>
      <c r="G366" s="36"/>
      <c r="H366" s="301"/>
      <c r="I366" s="36"/>
      <c r="J366" s="36"/>
      <c r="K366" s="36"/>
      <c r="L366" s="36"/>
      <c r="M366" s="36"/>
      <c r="N366" s="36"/>
    </row>
    <row r="367" spans="1:14">
      <c r="A367" s="36"/>
      <c r="B367" s="36"/>
      <c r="C367" s="299"/>
      <c r="D367" s="36"/>
      <c r="E367" s="36"/>
      <c r="F367" s="36"/>
      <c r="G367" s="36"/>
      <c r="H367" s="301"/>
      <c r="I367" s="36"/>
      <c r="J367" s="36"/>
      <c r="K367" s="36"/>
      <c r="L367" s="36"/>
      <c r="M367" s="36"/>
      <c r="N367" s="36"/>
    </row>
    <row r="368" spans="1:14">
      <c r="A368" s="36"/>
      <c r="B368" s="36"/>
      <c r="C368" s="299"/>
      <c r="D368" s="36"/>
      <c r="E368" s="36"/>
      <c r="F368" s="36"/>
      <c r="G368" s="36"/>
      <c r="H368" s="301"/>
      <c r="I368" s="36"/>
      <c r="J368" s="36"/>
      <c r="K368" s="36"/>
      <c r="L368" s="36"/>
      <c r="M368" s="36"/>
      <c r="N368" s="36"/>
    </row>
    <row r="369" spans="1:14">
      <c r="A369" s="36"/>
      <c r="B369" s="36"/>
      <c r="C369" s="299"/>
      <c r="D369" s="36"/>
      <c r="E369" s="36"/>
      <c r="F369" s="36"/>
      <c r="G369" s="36"/>
      <c r="H369" s="301"/>
      <c r="I369" s="36"/>
      <c r="J369" s="36"/>
      <c r="K369" s="36"/>
      <c r="L369" s="36"/>
      <c r="M369" s="36"/>
      <c r="N369" s="36"/>
    </row>
    <row r="370" spans="1:14">
      <c r="A370" s="36"/>
      <c r="B370" s="36"/>
      <c r="C370" s="299"/>
      <c r="D370" s="36"/>
      <c r="E370" s="36"/>
      <c r="F370" s="36"/>
      <c r="G370" s="36"/>
      <c r="H370" s="301"/>
      <c r="I370" s="36"/>
      <c r="J370" s="36"/>
      <c r="K370" s="36"/>
      <c r="L370" s="36"/>
      <c r="M370" s="36"/>
      <c r="N370" s="36"/>
    </row>
    <row r="371" spans="1:14">
      <c r="A371" s="36"/>
      <c r="B371" s="36"/>
      <c r="C371" s="299"/>
      <c r="D371" s="36"/>
      <c r="E371" s="36"/>
      <c r="F371" s="36"/>
      <c r="G371" s="36"/>
      <c r="H371" s="301"/>
      <c r="I371" s="36"/>
      <c r="J371" s="36"/>
      <c r="K371" s="36"/>
      <c r="L371" s="36"/>
      <c r="M371" s="36"/>
      <c r="N371" s="36"/>
    </row>
    <row r="372" spans="1:14">
      <c r="A372" s="36"/>
      <c r="B372" s="36"/>
      <c r="C372" s="299"/>
      <c r="D372" s="36"/>
      <c r="E372" s="36"/>
      <c r="F372" s="36"/>
      <c r="G372" s="36"/>
      <c r="H372" s="301"/>
      <c r="I372" s="36"/>
      <c r="J372" s="36"/>
      <c r="K372" s="36"/>
      <c r="L372" s="36"/>
      <c r="M372" s="36"/>
      <c r="N372" s="36"/>
    </row>
    <row r="373" spans="1:14">
      <c r="A373" s="36"/>
      <c r="B373" s="36"/>
      <c r="C373" s="299"/>
      <c r="D373" s="36"/>
      <c r="E373" s="36"/>
      <c r="F373" s="36"/>
      <c r="G373" s="36"/>
      <c r="H373" s="301"/>
      <c r="I373" s="36"/>
      <c r="J373" s="36"/>
      <c r="K373" s="36"/>
      <c r="L373" s="36"/>
      <c r="M373" s="36"/>
      <c r="N373" s="36"/>
    </row>
    <row r="374" spans="1:14">
      <c r="A374" s="36"/>
      <c r="B374" s="36"/>
      <c r="C374" s="299"/>
      <c r="D374" s="36"/>
      <c r="E374" s="36"/>
      <c r="F374" s="36"/>
      <c r="G374" s="36"/>
      <c r="H374" s="301"/>
      <c r="I374" s="36"/>
      <c r="J374" s="36"/>
      <c r="K374" s="36"/>
      <c r="L374" s="36"/>
      <c r="M374" s="36"/>
      <c r="N374" s="36"/>
    </row>
    <row r="375" spans="1:14">
      <c r="A375" s="36"/>
      <c r="B375" s="36"/>
      <c r="C375" s="299"/>
      <c r="D375" s="36"/>
      <c r="E375" s="36"/>
      <c r="F375" s="36"/>
      <c r="G375" s="36"/>
      <c r="H375" s="301"/>
      <c r="I375" s="36"/>
      <c r="J375" s="36"/>
      <c r="K375" s="36"/>
      <c r="L375" s="36"/>
      <c r="M375" s="36"/>
      <c r="N375" s="36"/>
    </row>
    <row r="376" spans="1:14">
      <c r="A376" s="36"/>
      <c r="B376" s="36"/>
      <c r="C376" s="299"/>
      <c r="D376" s="36"/>
      <c r="E376" s="36"/>
      <c r="F376" s="36"/>
      <c r="G376" s="36"/>
      <c r="H376" s="301"/>
      <c r="I376" s="36"/>
      <c r="J376" s="36"/>
      <c r="K376" s="36"/>
      <c r="L376" s="36"/>
      <c r="M376" s="36"/>
      <c r="N376" s="36"/>
    </row>
    <row r="377" spans="1:14">
      <c r="A377" s="36"/>
      <c r="B377" s="36"/>
      <c r="C377" s="299"/>
      <c r="D377" s="36"/>
      <c r="E377" s="36"/>
      <c r="F377" s="36"/>
      <c r="G377" s="36"/>
      <c r="H377" s="301"/>
      <c r="I377" s="36"/>
      <c r="J377" s="36"/>
      <c r="K377" s="36"/>
      <c r="L377" s="36"/>
      <c r="M377" s="36"/>
      <c r="N377" s="36"/>
    </row>
    <row r="378" spans="1:14">
      <c r="A378" s="36"/>
      <c r="B378" s="36"/>
      <c r="C378" s="299"/>
      <c r="D378" s="36"/>
      <c r="E378" s="36"/>
      <c r="F378" s="36"/>
      <c r="G378" s="36"/>
      <c r="H378" s="301"/>
      <c r="I378" s="36"/>
      <c r="J378" s="36"/>
      <c r="K378" s="36"/>
      <c r="L378" s="36"/>
      <c r="M378" s="36"/>
      <c r="N378" s="36"/>
    </row>
    <row r="379" spans="1:14">
      <c r="A379" s="36"/>
      <c r="B379" s="36"/>
      <c r="C379" s="299"/>
      <c r="D379" s="36"/>
      <c r="E379" s="36"/>
      <c r="F379" s="36"/>
      <c r="G379" s="36"/>
      <c r="H379" s="301"/>
      <c r="I379" s="36"/>
      <c r="J379" s="36"/>
      <c r="K379" s="36"/>
      <c r="L379" s="36"/>
      <c r="M379" s="36"/>
      <c r="N379" s="36"/>
    </row>
    <row r="380" spans="1:14">
      <c r="A380" s="36"/>
      <c r="B380" s="36"/>
      <c r="C380" s="299"/>
      <c r="D380" s="36"/>
      <c r="E380" s="36"/>
      <c r="F380" s="36"/>
      <c r="G380" s="36"/>
      <c r="H380" s="301"/>
      <c r="I380" s="36"/>
      <c r="J380" s="36"/>
      <c r="K380" s="36"/>
      <c r="L380" s="36"/>
      <c r="M380" s="36"/>
      <c r="N380" s="36"/>
    </row>
    <row r="381" spans="1:14">
      <c r="A381" s="36"/>
      <c r="B381" s="36"/>
      <c r="C381" s="299"/>
      <c r="D381" s="36"/>
      <c r="E381" s="36"/>
      <c r="F381" s="36"/>
      <c r="G381" s="36"/>
      <c r="H381" s="301"/>
      <c r="I381" s="36"/>
      <c r="J381" s="36"/>
      <c r="K381" s="36"/>
      <c r="L381" s="36"/>
      <c r="M381" s="36"/>
      <c r="N381" s="36"/>
    </row>
    <row r="382" spans="1:14">
      <c r="A382" s="36"/>
      <c r="B382" s="36"/>
      <c r="C382" s="299"/>
      <c r="D382" s="36"/>
      <c r="E382" s="36"/>
      <c r="F382" s="36"/>
      <c r="G382" s="36"/>
      <c r="H382" s="301"/>
      <c r="I382" s="36"/>
      <c r="J382" s="36"/>
      <c r="K382" s="36"/>
      <c r="L382" s="36"/>
      <c r="M382" s="36"/>
      <c r="N382" s="36"/>
    </row>
    <row r="383" spans="1:14">
      <c r="A383" s="36"/>
      <c r="B383" s="36"/>
      <c r="C383" s="299"/>
      <c r="D383" s="36"/>
      <c r="E383" s="36"/>
      <c r="F383" s="36"/>
      <c r="G383" s="36"/>
      <c r="H383" s="301"/>
      <c r="I383" s="36"/>
      <c r="J383" s="36"/>
      <c r="K383" s="36"/>
      <c r="L383" s="36"/>
      <c r="M383" s="36"/>
      <c r="N383" s="36"/>
    </row>
    <row r="384" spans="1:14">
      <c r="A384" s="36"/>
      <c r="B384" s="36"/>
      <c r="C384" s="299"/>
      <c r="D384" s="36"/>
      <c r="E384" s="36"/>
      <c r="F384" s="36"/>
      <c r="G384" s="36"/>
      <c r="H384" s="301"/>
      <c r="I384" s="36"/>
      <c r="J384" s="36"/>
      <c r="K384" s="36"/>
      <c r="L384" s="36"/>
      <c r="M384" s="36"/>
      <c r="N384" s="36"/>
    </row>
    <row r="385" spans="1:14">
      <c r="A385" s="36"/>
      <c r="B385" s="36"/>
      <c r="C385" s="299"/>
      <c r="D385" s="36"/>
      <c r="E385" s="36"/>
      <c r="F385" s="36"/>
      <c r="G385" s="36"/>
      <c r="H385" s="301"/>
      <c r="I385" s="36"/>
      <c r="J385" s="36"/>
      <c r="K385" s="36"/>
      <c r="L385" s="36"/>
      <c r="M385" s="36"/>
      <c r="N385" s="36"/>
    </row>
    <row r="386" spans="1:14">
      <c r="A386" s="36"/>
      <c r="B386" s="36"/>
      <c r="C386" s="299"/>
      <c r="D386" s="36"/>
      <c r="E386" s="36"/>
      <c r="F386" s="36"/>
      <c r="G386" s="36"/>
      <c r="H386" s="301"/>
      <c r="I386" s="36"/>
      <c r="J386" s="36"/>
      <c r="K386" s="36"/>
      <c r="L386" s="36"/>
      <c r="M386" s="36"/>
      <c r="N386" s="36"/>
    </row>
    <row r="387" spans="1:14">
      <c r="A387" s="36"/>
      <c r="B387" s="36"/>
      <c r="C387" s="299"/>
      <c r="D387" s="36"/>
      <c r="E387" s="36"/>
      <c r="F387" s="36"/>
      <c r="G387" s="36"/>
      <c r="H387" s="301"/>
      <c r="I387" s="36"/>
      <c r="J387" s="36"/>
      <c r="K387" s="36"/>
      <c r="L387" s="36"/>
      <c r="M387" s="36"/>
      <c r="N387" s="36"/>
    </row>
    <row r="388" spans="1:14">
      <c r="A388" s="36"/>
      <c r="B388" s="36"/>
      <c r="C388" s="299"/>
      <c r="D388" s="36"/>
      <c r="E388" s="36"/>
      <c r="F388" s="36"/>
      <c r="G388" s="36"/>
      <c r="H388" s="301"/>
      <c r="I388" s="36"/>
      <c r="J388" s="36"/>
      <c r="K388" s="36"/>
      <c r="L388" s="36"/>
      <c r="M388" s="36"/>
      <c r="N388" s="36"/>
    </row>
    <row r="389" spans="1:14">
      <c r="A389" s="36"/>
      <c r="B389" s="36"/>
      <c r="C389" s="299"/>
      <c r="D389" s="36"/>
      <c r="E389" s="36"/>
      <c r="F389" s="36"/>
      <c r="G389" s="36"/>
      <c r="H389" s="301"/>
      <c r="I389" s="36"/>
      <c r="J389" s="36"/>
      <c r="K389" s="36"/>
      <c r="L389" s="36"/>
      <c r="M389" s="36"/>
      <c r="N389" s="36"/>
    </row>
    <row r="390" spans="1:14">
      <c r="A390" s="36"/>
      <c r="B390" s="36"/>
      <c r="C390" s="299"/>
      <c r="D390" s="36"/>
      <c r="E390" s="36"/>
      <c r="F390" s="36"/>
      <c r="G390" s="36"/>
      <c r="H390" s="301"/>
      <c r="I390" s="36"/>
      <c r="J390" s="36"/>
      <c r="K390" s="36"/>
      <c r="L390" s="36"/>
      <c r="M390" s="36"/>
      <c r="N390" s="36"/>
    </row>
    <row r="391" spans="1:14">
      <c r="A391" s="36"/>
      <c r="B391" s="36"/>
      <c r="C391" s="299"/>
      <c r="D391" s="36"/>
      <c r="E391" s="36"/>
      <c r="F391" s="36"/>
      <c r="G391" s="36"/>
      <c r="H391" s="301"/>
      <c r="I391" s="36"/>
      <c r="J391" s="36"/>
      <c r="K391" s="36"/>
      <c r="L391" s="36"/>
      <c r="M391" s="36"/>
      <c r="N391" s="36"/>
    </row>
    <row r="392" spans="1:14">
      <c r="A392" s="36"/>
      <c r="B392" s="36"/>
      <c r="C392" s="299"/>
      <c r="D392" s="36"/>
      <c r="E392" s="36"/>
      <c r="F392" s="36"/>
      <c r="G392" s="36"/>
      <c r="H392" s="301"/>
      <c r="I392" s="36"/>
      <c r="J392" s="36"/>
      <c r="K392" s="36"/>
      <c r="L392" s="36"/>
      <c r="M392" s="36"/>
      <c r="N392" s="36"/>
    </row>
    <row r="393" spans="1:14">
      <c r="A393" s="36"/>
      <c r="B393" s="36"/>
      <c r="C393" s="299"/>
      <c r="D393" s="36"/>
      <c r="E393" s="36"/>
      <c r="F393" s="36"/>
      <c r="G393" s="36"/>
      <c r="H393" s="301"/>
      <c r="I393" s="36"/>
      <c r="J393" s="36"/>
      <c r="K393" s="36"/>
      <c r="L393" s="36"/>
      <c r="M393" s="36"/>
      <c r="N393" s="36"/>
    </row>
    <row r="394" spans="1:14">
      <c r="A394" s="36"/>
      <c r="B394" s="36"/>
      <c r="C394" s="299"/>
      <c r="D394" s="36"/>
      <c r="E394" s="36"/>
      <c r="F394" s="36"/>
      <c r="G394" s="36"/>
      <c r="H394" s="301"/>
      <c r="I394" s="36"/>
      <c r="J394" s="36"/>
      <c r="K394" s="36"/>
      <c r="L394" s="36"/>
      <c r="M394" s="36"/>
      <c r="N394" s="36"/>
    </row>
    <row r="395" spans="1:14">
      <c r="A395" s="36"/>
      <c r="B395" s="36"/>
      <c r="C395" s="299"/>
      <c r="D395" s="36"/>
      <c r="E395" s="36"/>
      <c r="F395" s="301"/>
      <c r="G395" s="36"/>
      <c r="H395" s="36"/>
      <c r="I395" s="36"/>
      <c r="J395" s="36"/>
      <c r="K395" s="36"/>
      <c r="L395" s="36"/>
      <c r="M395" s="36"/>
      <c r="N395" s="36"/>
    </row>
    <row r="396" spans="1:14">
      <c r="A396" s="36"/>
      <c r="B396" s="36"/>
      <c r="C396" s="299"/>
      <c r="D396" s="36"/>
      <c r="E396" s="36"/>
      <c r="F396" s="301"/>
      <c r="G396" s="36"/>
      <c r="H396" s="36"/>
      <c r="I396" s="36"/>
      <c r="J396" s="36"/>
      <c r="K396" s="36"/>
      <c r="L396" s="36"/>
      <c r="M396" s="36"/>
      <c r="N396" s="36"/>
    </row>
    <row r="397" spans="1:14">
      <c r="A397" s="36"/>
      <c r="B397" s="36"/>
      <c r="C397" s="299"/>
      <c r="D397" s="36"/>
      <c r="E397" s="36"/>
      <c r="F397" s="301"/>
      <c r="G397" s="36"/>
      <c r="H397" s="36"/>
      <c r="I397" s="36"/>
      <c r="J397" s="36"/>
      <c r="K397" s="36"/>
      <c r="L397" s="36"/>
      <c r="M397" s="36"/>
      <c r="N397" s="36"/>
    </row>
    <row r="398" spans="1:14">
      <c r="A398" s="36"/>
      <c r="B398" s="36"/>
      <c r="C398" s="299"/>
      <c r="D398" s="36"/>
      <c r="E398" s="36"/>
      <c r="F398" s="301"/>
      <c r="G398" s="36"/>
      <c r="H398" s="36"/>
      <c r="I398" s="36"/>
      <c r="J398" s="36"/>
      <c r="K398" s="36"/>
      <c r="L398" s="36"/>
      <c r="M398" s="36"/>
      <c r="N398" s="36"/>
    </row>
    <row r="399" spans="1:14">
      <c r="A399" s="36"/>
      <c r="B399" s="36"/>
      <c r="C399" s="299"/>
      <c r="D399" s="36"/>
      <c r="E399" s="36"/>
      <c r="F399" s="301"/>
      <c r="G399" s="36"/>
      <c r="H399" s="36"/>
      <c r="I399" s="36"/>
      <c r="J399" s="36"/>
      <c r="K399" s="36"/>
      <c r="L399" s="36"/>
      <c r="M399" s="36"/>
      <c r="N399" s="36"/>
    </row>
    <row r="400" spans="1:14">
      <c r="A400" s="36"/>
      <c r="B400" s="36"/>
      <c r="C400" s="299"/>
      <c r="D400" s="36"/>
      <c r="E400" s="36"/>
      <c r="F400" s="301"/>
      <c r="G400" s="36"/>
      <c r="H400" s="36"/>
      <c r="I400" s="36"/>
      <c r="J400" s="36"/>
      <c r="K400" s="36"/>
      <c r="L400" s="36"/>
      <c r="M400" s="36"/>
      <c r="N400" s="36"/>
    </row>
    <row r="401" spans="1:14">
      <c r="A401" s="36"/>
      <c r="B401" s="36"/>
      <c r="C401" s="299"/>
      <c r="D401" s="36"/>
      <c r="E401" s="36"/>
      <c r="F401" s="301"/>
      <c r="G401" s="36"/>
      <c r="H401" s="36"/>
      <c r="I401" s="36"/>
      <c r="J401" s="36"/>
      <c r="K401" s="36"/>
      <c r="L401" s="36"/>
      <c r="M401" s="36"/>
      <c r="N401" s="36"/>
    </row>
    <row r="402" spans="1:14">
      <c r="A402" s="36"/>
      <c r="B402" s="36"/>
      <c r="C402" s="299"/>
      <c r="D402" s="36"/>
      <c r="E402" s="36"/>
      <c r="F402" s="301"/>
      <c r="G402" s="36"/>
      <c r="H402" s="36"/>
      <c r="I402" s="36"/>
      <c r="J402" s="36"/>
      <c r="K402" s="36"/>
      <c r="L402" s="36"/>
      <c r="M402" s="36"/>
      <c r="N402" s="36"/>
    </row>
    <row r="403" spans="1:14">
      <c r="A403" s="36"/>
      <c r="B403" s="36"/>
      <c r="C403" s="299"/>
      <c r="D403" s="36"/>
      <c r="E403" s="36"/>
      <c r="F403" s="301"/>
      <c r="G403" s="36"/>
      <c r="H403" s="36"/>
      <c r="I403" s="36"/>
      <c r="J403" s="36"/>
      <c r="K403" s="36"/>
      <c r="L403" s="36"/>
      <c r="M403" s="36"/>
      <c r="N403" s="36"/>
    </row>
    <row r="404" spans="1:14">
      <c r="A404" s="36"/>
      <c r="B404" s="36"/>
      <c r="C404" s="299"/>
      <c r="D404" s="36"/>
      <c r="E404" s="36"/>
      <c r="F404" s="301"/>
      <c r="G404" s="36"/>
      <c r="H404" s="36"/>
      <c r="I404" s="36"/>
      <c r="J404" s="36"/>
      <c r="K404" s="36"/>
      <c r="L404" s="36"/>
      <c r="M404" s="36"/>
      <c r="N404" s="36"/>
    </row>
    <row r="405" spans="1:14">
      <c r="A405" s="36"/>
      <c r="B405" s="36"/>
      <c r="C405" s="299"/>
      <c r="D405" s="36"/>
      <c r="E405" s="36"/>
      <c r="F405" s="301"/>
      <c r="G405" s="36"/>
      <c r="H405" s="36"/>
      <c r="I405" s="36"/>
      <c r="J405" s="36"/>
      <c r="K405" s="36"/>
      <c r="L405" s="36"/>
      <c r="M405" s="36"/>
      <c r="N405" s="36"/>
    </row>
    <row r="406" spans="1:14">
      <c r="A406" s="36"/>
      <c r="B406" s="36"/>
      <c r="C406" s="299"/>
      <c r="D406" s="36"/>
      <c r="E406" s="36"/>
      <c r="F406" s="301"/>
      <c r="G406" s="36"/>
      <c r="H406" s="36"/>
      <c r="I406" s="36"/>
      <c r="J406" s="36"/>
      <c r="K406" s="36"/>
      <c r="L406" s="36"/>
      <c r="M406" s="36"/>
      <c r="N406" s="36"/>
    </row>
    <row r="407" spans="1:14">
      <c r="A407" s="36"/>
      <c r="B407" s="36"/>
      <c r="C407" s="299"/>
      <c r="D407" s="36"/>
      <c r="E407" s="36"/>
      <c r="F407" s="301"/>
      <c r="G407" s="36"/>
      <c r="H407" s="36"/>
      <c r="I407" s="36"/>
      <c r="J407" s="36"/>
      <c r="K407" s="36"/>
      <c r="L407" s="36"/>
      <c r="M407" s="36"/>
      <c r="N407" s="36"/>
    </row>
    <row r="408" spans="1:14">
      <c r="A408" s="36"/>
      <c r="B408" s="36"/>
      <c r="C408" s="299"/>
      <c r="D408" s="36"/>
      <c r="E408" s="36"/>
      <c r="F408" s="301"/>
      <c r="G408" s="36"/>
      <c r="H408" s="36"/>
      <c r="I408" s="36"/>
      <c r="J408" s="36"/>
      <c r="K408" s="36"/>
      <c r="L408" s="36"/>
      <c r="M408" s="36"/>
      <c r="N408" s="36"/>
    </row>
    <row r="409" spans="1:14">
      <c r="A409" s="36"/>
      <c r="B409" s="36"/>
      <c r="C409" s="299"/>
      <c r="D409" s="36"/>
      <c r="E409" s="36"/>
      <c r="F409" s="301"/>
      <c r="G409" s="36"/>
      <c r="H409" s="36"/>
      <c r="I409" s="36"/>
      <c r="J409" s="36"/>
      <c r="K409" s="36"/>
      <c r="L409" s="36"/>
      <c r="M409" s="36"/>
      <c r="N409" s="36"/>
    </row>
    <row r="410" spans="1:14">
      <c r="A410" s="36"/>
      <c r="B410" s="36"/>
      <c r="C410" s="299"/>
      <c r="D410" s="36"/>
      <c r="E410" s="36"/>
      <c r="F410" s="301"/>
      <c r="G410" s="36"/>
      <c r="H410" s="36"/>
      <c r="I410" s="36"/>
      <c r="J410" s="36"/>
      <c r="K410" s="36"/>
      <c r="L410" s="36"/>
      <c r="M410" s="36"/>
      <c r="N410" s="36"/>
    </row>
    <row r="411" spans="1:14">
      <c r="A411" s="36"/>
      <c r="B411" s="36"/>
      <c r="C411" s="299"/>
      <c r="D411" s="36"/>
      <c r="E411" s="36"/>
      <c r="F411" s="301"/>
      <c r="G411" s="36"/>
      <c r="H411" s="36"/>
      <c r="I411" s="36"/>
      <c r="J411" s="36"/>
      <c r="K411" s="36"/>
      <c r="L411" s="36"/>
      <c r="M411" s="36"/>
      <c r="N411" s="36"/>
    </row>
    <row r="412" spans="1:14">
      <c r="A412" s="36"/>
      <c r="B412" s="36"/>
      <c r="C412" s="299"/>
      <c r="D412" s="36"/>
      <c r="E412" s="36"/>
      <c r="F412" s="301"/>
      <c r="G412" s="36"/>
      <c r="H412" s="36"/>
      <c r="I412" s="36"/>
      <c r="J412" s="36"/>
      <c r="K412" s="36"/>
      <c r="L412" s="36"/>
      <c r="M412" s="36"/>
      <c r="N412" s="36"/>
    </row>
    <row r="413" spans="1:14">
      <c r="A413" s="36"/>
      <c r="B413" s="36"/>
      <c r="C413" s="299"/>
      <c r="D413" s="36"/>
      <c r="E413" s="36"/>
      <c r="F413" s="301"/>
      <c r="G413" s="36"/>
      <c r="H413" s="36"/>
      <c r="I413" s="36"/>
      <c r="J413" s="36"/>
      <c r="K413" s="36"/>
      <c r="L413" s="36"/>
      <c r="M413" s="36"/>
      <c r="N413" s="36"/>
    </row>
    <row r="414" spans="1:14">
      <c r="A414" s="36"/>
      <c r="B414" s="36"/>
      <c r="C414" s="299"/>
      <c r="D414" s="36"/>
      <c r="E414" s="36"/>
      <c r="F414" s="301"/>
      <c r="G414" s="36"/>
      <c r="H414" s="36"/>
      <c r="I414" s="36"/>
      <c r="J414" s="36"/>
      <c r="K414" s="36"/>
      <c r="L414" s="36"/>
      <c r="M414" s="36"/>
      <c r="N414" s="36"/>
    </row>
    <row r="415" spans="1:14">
      <c r="A415" s="36"/>
      <c r="B415" s="36"/>
      <c r="C415" s="299"/>
      <c r="D415" s="36"/>
      <c r="E415" s="36"/>
      <c r="F415" s="301"/>
      <c r="G415" s="36"/>
      <c r="H415" s="36"/>
      <c r="I415" s="36"/>
      <c r="J415" s="36"/>
      <c r="K415" s="36"/>
      <c r="L415" s="36"/>
      <c r="M415" s="36"/>
      <c r="N415" s="36"/>
    </row>
    <row r="416" spans="1:14">
      <c r="A416" s="36"/>
      <c r="B416" s="36"/>
      <c r="C416" s="299"/>
      <c r="D416" s="36"/>
      <c r="E416" s="36"/>
      <c r="F416" s="301"/>
      <c r="G416" s="36"/>
      <c r="H416" s="36"/>
      <c r="I416" s="36"/>
      <c r="J416" s="36"/>
      <c r="K416" s="36"/>
      <c r="L416" s="36"/>
      <c r="M416" s="36"/>
      <c r="N416" s="36"/>
    </row>
    <row r="417" spans="1:14">
      <c r="A417" s="36"/>
      <c r="B417" s="36"/>
      <c r="C417" s="299"/>
      <c r="D417" s="36"/>
      <c r="E417" s="36"/>
      <c r="F417" s="301"/>
      <c r="G417" s="36"/>
      <c r="H417" s="36"/>
      <c r="I417" s="36"/>
      <c r="J417" s="36"/>
      <c r="K417" s="36"/>
      <c r="L417" s="36"/>
      <c r="M417" s="36"/>
      <c r="N417" s="36"/>
    </row>
    <row r="418" spans="1:14">
      <c r="A418" s="36"/>
      <c r="B418" s="36"/>
      <c r="C418" s="299"/>
      <c r="D418" s="36"/>
      <c r="E418" s="36"/>
      <c r="F418" s="301"/>
      <c r="G418" s="36"/>
      <c r="H418" s="36"/>
      <c r="I418" s="36"/>
      <c r="J418" s="36"/>
      <c r="K418" s="36"/>
      <c r="L418" s="36"/>
      <c r="M418" s="36"/>
      <c r="N418" s="36"/>
    </row>
    <row r="419" spans="1:14">
      <c r="A419" s="36"/>
      <c r="B419" s="36"/>
      <c r="C419" s="299"/>
      <c r="D419" s="36"/>
      <c r="E419" s="36"/>
      <c r="F419" s="301"/>
      <c r="G419" s="36"/>
      <c r="H419" s="36"/>
      <c r="I419" s="36"/>
      <c r="J419" s="36"/>
      <c r="K419" s="36"/>
      <c r="L419" s="36"/>
      <c r="M419" s="36"/>
      <c r="N419" s="36"/>
    </row>
    <row r="420" spans="1:14">
      <c r="A420" s="36"/>
      <c r="B420" s="36"/>
      <c r="C420" s="299"/>
      <c r="D420" s="36"/>
      <c r="E420" s="36"/>
      <c r="F420" s="301"/>
      <c r="G420" s="36"/>
      <c r="H420" s="36"/>
      <c r="I420" s="36"/>
      <c r="J420" s="36"/>
      <c r="K420" s="36"/>
      <c r="L420" s="36"/>
      <c r="M420" s="36"/>
      <c r="N420" s="36"/>
    </row>
    <row r="421" spans="1:14">
      <c r="A421" s="36"/>
      <c r="B421" s="36"/>
      <c r="C421" s="299"/>
      <c r="D421" s="36"/>
      <c r="E421" s="36"/>
      <c r="F421" s="301"/>
      <c r="G421" s="36"/>
      <c r="H421" s="36"/>
      <c r="I421" s="36"/>
      <c r="J421" s="36"/>
      <c r="K421" s="36"/>
      <c r="L421" s="36"/>
      <c r="M421" s="36"/>
      <c r="N421" s="36"/>
    </row>
    <row r="422" spans="1:14">
      <c r="A422" s="36"/>
      <c r="B422" s="36"/>
      <c r="C422" s="299"/>
      <c r="D422" s="36"/>
      <c r="E422" s="36"/>
      <c r="F422" s="301"/>
      <c r="G422" s="36"/>
      <c r="H422" s="36"/>
      <c r="I422" s="36"/>
      <c r="J422" s="36"/>
      <c r="K422" s="36"/>
      <c r="L422" s="36"/>
      <c r="M422" s="36"/>
      <c r="N422" s="36"/>
    </row>
    <row r="423" spans="1:14">
      <c r="A423" s="36"/>
      <c r="B423" s="36"/>
      <c r="C423" s="299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spans="1:14">
      <c r="A424" s="36"/>
      <c r="B424" s="36"/>
      <c r="C424" s="299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spans="1:14">
      <c r="A425" s="36"/>
      <c r="B425" s="36"/>
      <c r="C425" s="299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spans="1:14">
      <c r="A426" s="36"/>
      <c r="B426" s="36"/>
      <c r="C426" s="299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spans="1:14">
      <c r="A427" s="36"/>
      <c r="B427" s="36"/>
      <c r="C427" s="299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spans="1:14">
      <c r="A428" s="36"/>
      <c r="B428" s="36"/>
      <c r="C428" s="299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spans="1:14">
      <c r="A429" s="36"/>
      <c r="B429" s="36"/>
      <c r="C429" s="299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spans="1:14">
      <c r="A430" s="36"/>
      <c r="B430" s="36"/>
      <c r="C430" s="299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spans="1:14">
      <c r="A431" s="36"/>
      <c r="B431" s="36"/>
      <c r="C431" s="299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spans="1:14">
      <c r="A432" s="36"/>
      <c r="B432" s="36"/>
      <c r="C432" s="299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spans="1:14">
      <c r="A433" s="36"/>
      <c r="B433" s="36"/>
      <c r="C433" s="299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spans="1:14">
      <c r="A434" s="36"/>
      <c r="B434" s="36"/>
      <c r="C434" s="299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</sheetData>
  <mergeCells count="4">
    <mergeCell ref="I9:O9"/>
    <mergeCell ref="I279:M279"/>
    <mergeCell ref="A1:F3"/>
    <mergeCell ref="I1:N3"/>
  </mergeCells>
  <pageMargins left="0.7" right="0.7" top="0.75" bottom="0.75" header="0.3" footer="0.3"/>
  <pageSetup paperSize="9" orientation="portrait"/>
  <headerFooter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K35"/>
  <sheetViews>
    <sheetView topLeftCell="A13" workbookViewId="0">
      <selection activeCell="B26" sqref="B26"/>
    </sheetView>
  </sheetViews>
  <sheetFormatPr defaultColWidth="9" defaultRowHeight="15"/>
  <cols>
    <col min="1" max="1" width="11.8571428571429" customWidth="1"/>
    <col min="2" max="2" width="9.57142857142857" customWidth="1"/>
    <col min="3" max="3" width="29.1428571428571" customWidth="1"/>
    <col min="4" max="4" width="10" customWidth="1"/>
    <col min="5" max="6" width="9.42857142857143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2286</v>
      </c>
      <c r="E3" s="11"/>
      <c r="F3" s="12"/>
    </row>
    <row r="4" ht="18.75" spans="1:6">
      <c r="A4" s="13" t="s">
        <v>84</v>
      </c>
      <c r="B4" s="13"/>
      <c r="C4" s="14"/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/>
    </row>
    <row r="6" spans="1:6">
      <c r="A6" s="177" t="s">
        <v>2082</v>
      </c>
      <c r="B6" s="177" t="s">
        <v>2237</v>
      </c>
      <c r="C6" s="250" t="s">
        <v>2238</v>
      </c>
      <c r="D6" s="29">
        <v>31920</v>
      </c>
      <c r="E6" s="29"/>
      <c r="F6" s="29"/>
    </row>
    <row r="7" spans="1:6">
      <c r="A7" s="251" t="s">
        <v>705</v>
      </c>
      <c r="B7" s="251" t="s">
        <v>2244</v>
      </c>
      <c r="C7" s="250" t="s">
        <v>1871</v>
      </c>
      <c r="D7" s="29"/>
      <c r="E7" s="29">
        <v>30996</v>
      </c>
      <c r="F7" s="252">
        <f>F6+E7-D7</f>
        <v>30996</v>
      </c>
    </row>
    <row r="8" spans="1:6">
      <c r="A8" s="119">
        <v>45667</v>
      </c>
      <c r="B8" s="251" t="s">
        <v>2243</v>
      </c>
      <c r="C8" s="250" t="s">
        <v>1871</v>
      </c>
      <c r="D8" s="29"/>
      <c r="E8" s="29">
        <v>30300</v>
      </c>
      <c r="F8" s="252">
        <f t="shared" ref="F8:F24" si="0">F7+E8-D8</f>
        <v>61296</v>
      </c>
    </row>
    <row r="9" spans="1:6">
      <c r="A9" s="119">
        <v>45698</v>
      </c>
      <c r="B9" s="251" t="s">
        <v>2245</v>
      </c>
      <c r="C9" s="250" t="s">
        <v>2246</v>
      </c>
      <c r="D9" s="29"/>
      <c r="E9" s="29">
        <v>29520</v>
      </c>
      <c r="F9" s="252">
        <f t="shared" si="0"/>
        <v>90816</v>
      </c>
    </row>
    <row r="10" spans="1:11">
      <c r="A10" s="119">
        <v>45879</v>
      </c>
      <c r="B10" s="251" t="s">
        <v>2249</v>
      </c>
      <c r="C10" s="250" t="s">
        <v>1871</v>
      </c>
      <c r="D10" s="29"/>
      <c r="E10" s="29">
        <v>17556</v>
      </c>
      <c r="F10" s="252">
        <f t="shared" si="0"/>
        <v>108372</v>
      </c>
      <c r="K10" s="85"/>
    </row>
    <row r="11" spans="1:6">
      <c r="A11" s="119"/>
      <c r="B11" s="251"/>
      <c r="C11" s="250" t="s">
        <v>2251</v>
      </c>
      <c r="D11" s="29">
        <v>50000</v>
      </c>
      <c r="E11" s="29"/>
      <c r="F11" s="252">
        <f t="shared" si="0"/>
        <v>58372</v>
      </c>
    </row>
    <row r="12" spans="1:6">
      <c r="A12" s="177"/>
      <c r="B12" s="177"/>
      <c r="C12" s="250" t="s">
        <v>2256</v>
      </c>
      <c r="D12" s="29">
        <v>50000</v>
      </c>
      <c r="E12" s="29"/>
      <c r="F12" s="252">
        <f t="shared" si="0"/>
        <v>8372</v>
      </c>
    </row>
    <row r="13" spans="1:6">
      <c r="A13" s="177" t="s">
        <v>2267</v>
      </c>
      <c r="B13" s="177" t="s">
        <v>2268</v>
      </c>
      <c r="C13" s="250" t="s">
        <v>2287</v>
      </c>
      <c r="D13" s="29"/>
      <c r="E13" s="29">
        <v>30240</v>
      </c>
      <c r="F13" s="252">
        <f t="shared" si="0"/>
        <v>38612</v>
      </c>
    </row>
    <row r="14" spans="1:6">
      <c r="A14" s="36" t="s">
        <v>2288</v>
      </c>
      <c r="B14" s="36" t="s">
        <v>2289</v>
      </c>
      <c r="C14" s="36" t="s">
        <v>786</v>
      </c>
      <c r="D14" s="36"/>
      <c r="E14" s="46">
        <v>2000</v>
      </c>
      <c r="F14" s="252">
        <f t="shared" si="0"/>
        <v>40612</v>
      </c>
    </row>
    <row r="15" spans="1:6">
      <c r="A15" s="36" t="s">
        <v>2290</v>
      </c>
      <c r="B15" s="36" t="s">
        <v>2291</v>
      </c>
      <c r="C15" s="36" t="s">
        <v>2292</v>
      </c>
      <c r="D15" s="36"/>
      <c r="E15" s="46">
        <v>5500</v>
      </c>
      <c r="F15" s="252">
        <f t="shared" si="0"/>
        <v>46112</v>
      </c>
    </row>
    <row r="16" spans="1:6">
      <c r="A16" s="36" t="s">
        <v>2293</v>
      </c>
      <c r="B16" s="36" t="s">
        <v>2294</v>
      </c>
      <c r="C16" s="36" t="s">
        <v>2295</v>
      </c>
      <c r="D16" s="36"/>
      <c r="E16" s="46">
        <v>31920</v>
      </c>
      <c r="F16" s="252">
        <f t="shared" si="0"/>
        <v>78032</v>
      </c>
    </row>
    <row r="17" spans="1:6">
      <c r="A17" s="36"/>
      <c r="B17" s="36"/>
      <c r="C17" s="36" t="s">
        <v>2296</v>
      </c>
      <c r="D17" s="36">
        <v>14742</v>
      </c>
      <c r="E17" s="46"/>
      <c r="F17" s="252">
        <f t="shared" si="0"/>
        <v>63290</v>
      </c>
    </row>
    <row r="18" spans="1:6">
      <c r="A18" s="36" t="s">
        <v>2297</v>
      </c>
      <c r="B18" s="36" t="s">
        <v>2298</v>
      </c>
      <c r="C18" s="36"/>
      <c r="D18" s="36"/>
      <c r="E18" s="46"/>
      <c r="F18" s="252">
        <f t="shared" si="0"/>
        <v>63290</v>
      </c>
    </row>
    <row r="19" spans="1:6">
      <c r="A19" s="36"/>
      <c r="B19" s="36"/>
      <c r="C19" s="36" t="s">
        <v>2299</v>
      </c>
      <c r="D19" s="36">
        <v>50000</v>
      </c>
      <c r="E19" s="46"/>
      <c r="F19" s="252">
        <f t="shared" si="0"/>
        <v>13290</v>
      </c>
    </row>
    <row r="20" spans="1:6">
      <c r="A20" s="36" t="s">
        <v>2297</v>
      </c>
      <c r="B20" s="36"/>
      <c r="C20" s="36" t="s">
        <v>2300</v>
      </c>
      <c r="D20" s="36">
        <v>13000</v>
      </c>
      <c r="E20" s="46"/>
      <c r="F20" s="252">
        <f t="shared" si="0"/>
        <v>290</v>
      </c>
    </row>
    <row r="21" spans="1:6">
      <c r="A21" s="36" t="s">
        <v>2301</v>
      </c>
      <c r="B21" s="36" t="s">
        <v>2302</v>
      </c>
      <c r="C21" s="36" t="s">
        <v>2303</v>
      </c>
      <c r="D21" s="36"/>
      <c r="E21" s="46">
        <v>0</v>
      </c>
      <c r="F21" s="252">
        <v>0</v>
      </c>
    </row>
    <row r="22" spans="1:6">
      <c r="A22" s="36" t="s">
        <v>2297</v>
      </c>
      <c r="B22" s="36" t="s">
        <v>2304</v>
      </c>
      <c r="C22" s="36" t="s">
        <v>2305</v>
      </c>
      <c r="D22" s="36"/>
      <c r="E22" s="46">
        <v>2400</v>
      </c>
      <c r="F22" s="252">
        <f>F21+E22-D22</f>
        <v>2400</v>
      </c>
    </row>
    <row r="23" spans="1:6">
      <c r="A23" s="36" t="s">
        <v>2306</v>
      </c>
      <c r="B23" s="36" t="s">
        <v>2307</v>
      </c>
      <c r="C23" s="36" t="s">
        <v>2308</v>
      </c>
      <c r="D23" s="36"/>
      <c r="E23" s="46">
        <v>20200</v>
      </c>
      <c r="F23" s="252">
        <f>F22+E23-D23</f>
        <v>22600</v>
      </c>
    </row>
    <row r="24" spans="1:6">
      <c r="A24" s="70">
        <v>46236</v>
      </c>
      <c r="B24" s="36" t="s">
        <v>2309</v>
      </c>
      <c r="C24" s="36" t="s">
        <v>2310</v>
      </c>
      <c r="D24" s="36"/>
      <c r="E24" s="46">
        <v>1500</v>
      </c>
      <c r="F24" s="252">
        <f>F23+E24-D24</f>
        <v>24100</v>
      </c>
    </row>
    <row r="25" spans="1:6">
      <c r="A25" s="70">
        <v>46267</v>
      </c>
      <c r="B25" s="36"/>
      <c r="C25" s="36" t="s">
        <v>2311</v>
      </c>
      <c r="D25" s="36"/>
      <c r="E25" s="46">
        <v>18500</v>
      </c>
      <c r="F25" s="252">
        <f t="shared" ref="F25:F36" si="1">F24+E25-D25</f>
        <v>42600</v>
      </c>
    </row>
    <row r="26" spans="1:6">
      <c r="A26" s="36"/>
      <c r="B26" s="36"/>
      <c r="C26" s="36"/>
      <c r="D26" s="36"/>
      <c r="E26" s="46"/>
      <c r="F26" s="252">
        <f t="shared" si="1"/>
        <v>42600</v>
      </c>
    </row>
    <row r="27" spans="1:6">
      <c r="A27" s="36"/>
      <c r="B27" s="36"/>
      <c r="C27" s="36"/>
      <c r="D27" s="36"/>
      <c r="E27" s="46"/>
      <c r="F27" s="252">
        <f t="shared" si="1"/>
        <v>42600</v>
      </c>
    </row>
    <row r="28" spans="1:6">
      <c r="A28" s="36"/>
      <c r="B28" s="36"/>
      <c r="C28" s="36"/>
      <c r="D28" s="36"/>
      <c r="E28" s="46"/>
      <c r="F28" s="252">
        <f t="shared" si="1"/>
        <v>42600</v>
      </c>
    </row>
    <row r="29" spans="1:6">
      <c r="A29" s="36"/>
      <c r="B29" s="36"/>
      <c r="C29" s="36"/>
      <c r="D29" s="36"/>
      <c r="E29" s="46"/>
      <c r="F29" s="252">
        <f t="shared" si="1"/>
        <v>42600</v>
      </c>
    </row>
    <row r="30" spans="1:6">
      <c r="A30" s="36"/>
      <c r="B30" s="36"/>
      <c r="C30" s="36"/>
      <c r="D30" s="36"/>
      <c r="E30" s="46"/>
      <c r="F30" s="252">
        <f t="shared" si="1"/>
        <v>42600</v>
      </c>
    </row>
    <row r="31" spans="1:6">
      <c r="A31" s="36"/>
      <c r="B31" s="36"/>
      <c r="C31" s="36"/>
      <c r="D31" s="36"/>
      <c r="E31" s="46"/>
      <c r="F31" s="252">
        <f t="shared" si="1"/>
        <v>42600</v>
      </c>
    </row>
    <row r="32" spans="1:6">
      <c r="A32" s="36"/>
      <c r="B32" s="36"/>
      <c r="C32" s="36"/>
      <c r="D32" s="36"/>
      <c r="E32" s="46"/>
      <c r="F32" s="252">
        <f t="shared" si="1"/>
        <v>42600</v>
      </c>
    </row>
    <row r="33" spans="1:6">
      <c r="A33" s="36"/>
      <c r="B33" s="36"/>
      <c r="C33" s="36"/>
      <c r="D33" s="36"/>
      <c r="E33" s="46"/>
      <c r="F33" s="252">
        <f t="shared" si="1"/>
        <v>42600</v>
      </c>
    </row>
    <row r="34" spans="1:6">
      <c r="A34" s="36"/>
      <c r="B34" s="36"/>
      <c r="C34" s="36"/>
      <c r="D34" s="36"/>
      <c r="E34" s="46"/>
      <c r="F34" s="252">
        <f t="shared" si="1"/>
        <v>42600</v>
      </c>
    </row>
    <row r="35" ht="26.25" spans="1:6">
      <c r="A35" s="253" t="s">
        <v>2312</v>
      </c>
      <c r="B35" s="253"/>
      <c r="C35" s="253"/>
      <c r="D35" s="253"/>
      <c r="E35" s="253"/>
      <c r="F35" s="252">
        <f t="shared" si="1"/>
        <v>42600</v>
      </c>
    </row>
  </sheetData>
  <mergeCells count="6">
    <mergeCell ref="A3:C3"/>
    <mergeCell ref="D3:F3"/>
    <mergeCell ref="A4:B4"/>
    <mergeCell ref="C4:F4"/>
    <mergeCell ref="A35:E35"/>
    <mergeCell ref="A1:F2"/>
  </mergeCells>
  <pageMargins left="0.7" right="0.7" top="0.75" bottom="0.75" header="0.3" footer="0.3"/>
  <pageSetup paperSize="9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347"/>
  <sheetViews>
    <sheetView zoomScale="120" zoomScaleNormal="120" topLeftCell="A328" workbookViewId="0">
      <selection activeCell="C344" sqref="C344"/>
    </sheetView>
  </sheetViews>
  <sheetFormatPr defaultColWidth="9" defaultRowHeight="15"/>
  <cols>
    <col min="1" max="1" width="11" customWidth="1"/>
    <col min="2" max="2" width="10.2857142857143" customWidth="1"/>
    <col min="3" max="3" width="27.5714285714286" customWidth="1"/>
    <col min="4" max="4" width="9.14285714285714" customWidth="1"/>
    <col min="5" max="5" width="10.1428571428571" customWidth="1"/>
    <col min="6" max="6" width="11.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2313</v>
      </c>
      <c r="E3" s="11"/>
      <c r="F3" s="12"/>
    </row>
    <row r="4" ht="22.5" customHeight="1" spans="1:13">
      <c r="A4" s="13" t="s">
        <v>84</v>
      </c>
      <c r="B4" s="13"/>
      <c r="C4" s="14" t="s">
        <v>2314</v>
      </c>
      <c r="D4" s="15"/>
      <c r="E4" s="15"/>
      <c r="F4" s="16"/>
      <c r="M4">
        <v>1785</v>
      </c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/>
      <c r="B6" s="19"/>
      <c r="C6" s="17" t="s">
        <v>1168</v>
      </c>
      <c r="D6" s="17"/>
      <c r="E6" s="17">
        <v>157180</v>
      </c>
      <c r="F6" s="17">
        <f>E6-D6</f>
        <v>157180</v>
      </c>
    </row>
    <row r="7" ht="15.75" spans="1:6">
      <c r="A7" s="17" t="s">
        <v>1216</v>
      </c>
      <c r="B7" s="19" t="s">
        <v>253</v>
      </c>
      <c r="C7" s="17" t="s">
        <v>157</v>
      </c>
      <c r="D7" s="17">
        <v>97300</v>
      </c>
      <c r="E7" s="17"/>
      <c r="F7" s="17">
        <f>F6-D7+E7</f>
        <v>59880</v>
      </c>
    </row>
    <row r="8" ht="15.75" spans="1:6">
      <c r="A8" s="18">
        <v>45293</v>
      </c>
      <c r="B8" s="19" t="s">
        <v>2315</v>
      </c>
      <c r="C8" s="17" t="s">
        <v>2316</v>
      </c>
      <c r="D8" s="17"/>
      <c r="E8" s="17">
        <v>27500</v>
      </c>
      <c r="F8" s="17">
        <f t="shared" ref="F8:F71" si="0">F7-D8+E8</f>
        <v>87380</v>
      </c>
    </row>
    <row r="9" ht="15.75" spans="1:6">
      <c r="A9" s="18">
        <v>45445</v>
      </c>
      <c r="B9" s="19" t="s">
        <v>2317</v>
      </c>
      <c r="C9" s="17" t="s">
        <v>94</v>
      </c>
      <c r="D9" s="17"/>
      <c r="E9" s="17">
        <v>54600</v>
      </c>
      <c r="F9" s="17">
        <f t="shared" si="0"/>
        <v>141980</v>
      </c>
    </row>
    <row r="10" ht="15.75" spans="1:6">
      <c r="A10" s="18" t="s">
        <v>564</v>
      </c>
      <c r="B10" s="19" t="s">
        <v>2318</v>
      </c>
      <c r="C10" s="17" t="s">
        <v>2316</v>
      </c>
      <c r="D10" s="17"/>
      <c r="E10" s="17">
        <v>27000</v>
      </c>
      <c r="F10" s="17">
        <f t="shared" si="0"/>
        <v>168980</v>
      </c>
    </row>
    <row r="11" ht="15.75" spans="1:6">
      <c r="A11" s="18" t="s">
        <v>564</v>
      </c>
      <c r="B11" s="19" t="s">
        <v>253</v>
      </c>
      <c r="C11" s="17" t="s">
        <v>157</v>
      </c>
      <c r="D11" s="17">
        <v>109200</v>
      </c>
      <c r="E11" s="17"/>
      <c r="F11" s="17">
        <f t="shared" si="0"/>
        <v>59780</v>
      </c>
    </row>
    <row r="12" ht="15.75" spans="1:6">
      <c r="A12" s="18" t="s">
        <v>615</v>
      </c>
      <c r="B12" s="19" t="s">
        <v>2319</v>
      </c>
      <c r="C12" s="17" t="s">
        <v>94</v>
      </c>
      <c r="D12" s="17"/>
      <c r="E12" s="17">
        <v>50400</v>
      </c>
      <c r="F12" s="17">
        <f t="shared" si="0"/>
        <v>110180</v>
      </c>
    </row>
    <row r="13" ht="15.75" spans="1:6">
      <c r="A13" s="18">
        <v>45294</v>
      </c>
      <c r="B13" s="19"/>
      <c r="C13" s="17" t="s">
        <v>157</v>
      </c>
      <c r="D13" s="17">
        <v>104000</v>
      </c>
      <c r="E13" s="17"/>
      <c r="F13" s="17">
        <f t="shared" si="0"/>
        <v>6180</v>
      </c>
    </row>
    <row r="14" ht="15.75" spans="1:6">
      <c r="A14" s="18">
        <v>45294</v>
      </c>
      <c r="B14" s="19"/>
      <c r="C14" s="17" t="s">
        <v>752</v>
      </c>
      <c r="D14" s="17">
        <v>6180</v>
      </c>
      <c r="E14" s="17"/>
      <c r="F14" s="17">
        <f t="shared" si="0"/>
        <v>0</v>
      </c>
    </row>
    <row r="15" ht="15.75" spans="1:6">
      <c r="A15" s="18">
        <v>45385</v>
      </c>
      <c r="B15" s="19" t="s">
        <v>2320</v>
      </c>
      <c r="C15" s="17" t="s">
        <v>94</v>
      </c>
      <c r="D15" s="17"/>
      <c r="E15" s="17">
        <v>39020</v>
      </c>
      <c r="F15" s="17">
        <f t="shared" si="0"/>
        <v>39020</v>
      </c>
    </row>
    <row r="16" ht="15.75" spans="1:6">
      <c r="A16" s="18">
        <v>45385</v>
      </c>
      <c r="B16" s="19" t="s">
        <v>2321</v>
      </c>
      <c r="C16" s="17" t="s">
        <v>648</v>
      </c>
      <c r="D16" s="17"/>
      <c r="E16" s="17">
        <v>36460</v>
      </c>
      <c r="F16" s="17">
        <f t="shared" si="0"/>
        <v>75480</v>
      </c>
    </row>
    <row r="17" ht="15.75" spans="1:6">
      <c r="A17" s="18" t="s">
        <v>891</v>
      </c>
      <c r="B17" s="19" t="s">
        <v>2322</v>
      </c>
      <c r="C17" s="17" t="s">
        <v>2316</v>
      </c>
      <c r="D17" s="17"/>
      <c r="E17" s="17">
        <v>32450</v>
      </c>
      <c r="F17" s="17">
        <f t="shared" si="0"/>
        <v>107930</v>
      </c>
    </row>
    <row r="18" ht="15.75" spans="1:6">
      <c r="A18" s="18" t="s">
        <v>2323</v>
      </c>
      <c r="B18" s="19" t="s">
        <v>253</v>
      </c>
      <c r="C18" s="17" t="s">
        <v>157</v>
      </c>
      <c r="D18" s="17">
        <v>25000</v>
      </c>
      <c r="E18" s="17"/>
      <c r="F18" s="17">
        <f t="shared" si="0"/>
        <v>82930</v>
      </c>
    </row>
    <row r="19" ht="15.75" spans="1:6">
      <c r="A19" s="18" t="s">
        <v>1436</v>
      </c>
      <c r="B19" s="19" t="s">
        <v>2324</v>
      </c>
      <c r="C19" s="17" t="s">
        <v>568</v>
      </c>
      <c r="D19" s="17"/>
      <c r="E19" s="17">
        <v>6840</v>
      </c>
      <c r="F19" s="17">
        <f t="shared" si="0"/>
        <v>89770</v>
      </c>
    </row>
    <row r="20" ht="15.75" spans="1:6">
      <c r="A20" s="18" t="s">
        <v>1439</v>
      </c>
      <c r="B20" s="19" t="s">
        <v>2325</v>
      </c>
      <c r="C20" s="17" t="s">
        <v>648</v>
      </c>
      <c r="D20" s="17"/>
      <c r="E20" s="17">
        <v>36460</v>
      </c>
      <c r="F20" s="17">
        <f t="shared" si="0"/>
        <v>126230</v>
      </c>
    </row>
    <row r="21" ht="15.75" spans="1:6">
      <c r="A21" s="18" t="s">
        <v>1439</v>
      </c>
      <c r="B21" s="19" t="s">
        <v>2326</v>
      </c>
      <c r="C21" s="17" t="s">
        <v>562</v>
      </c>
      <c r="D21" s="17"/>
      <c r="E21" s="17">
        <v>46830</v>
      </c>
      <c r="F21" s="17">
        <f t="shared" si="0"/>
        <v>173060</v>
      </c>
    </row>
    <row r="22" ht="15.75" spans="1:6">
      <c r="A22" s="18" t="s">
        <v>1439</v>
      </c>
      <c r="B22" s="19" t="s">
        <v>253</v>
      </c>
      <c r="C22" s="17" t="s">
        <v>688</v>
      </c>
      <c r="D22" s="17">
        <v>27700</v>
      </c>
      <c r="E22" s="17"/>
      <c r="F22" s="17">
        <f t="shared" si="0"/>
        <v>145360</v>
      </c>
    </row>
    <row r="23" ht="15.75" spans="1:6">
      <c r="A23" s="18" t="s">
        <v>1439</v>
      </c>
      <c r="B23" s="19" t="s">
        <v>253</v>
      </c>
      <c r="C23" s="17" t="s">
        <v>752</v>
      </c>
      <c r="D23" s="17">
        <v>180</v>
      </c>
      <c r="E23" s="17"/>
      <c r="F23" s="17">
        <f t="shared" si="0"/>
        <v>145180</v>
      </c>
    </row>
    <row r="24" ht="15.75" spans="1:6">
      <c r="A24" s="18"/>
      <c r="B24" s="19"/>
      <c r="C24" s="17" t="s">
        <v>2327</v>
      </c>
      <c r="D24" s="17">
        <v>22600</v>
      </c>
      <c r="E24" s="17"/>
      <c r="F24" s="17">
        <f t="shared" si="0"/>
        <v>122580</v>
      </c>
    </row>
    <row r="25" ht="15.75" spans="1:6">
      <c r="A25" s="18">
        <v>45386</v>
      </c>
      <c r="B25" s="19" t="s">
        <v>253</v>
      </c>
      <c r="C25" s="17" t="s">
        <v>157</v>
      </c>
      <c r="D25" s="17">
        <v>100000</v>
      </c>
      <c r="E25" s="17"/>
      <c r="F25" s="17">
        <f t="shared" si="0"/>
        <v>22580</v>
      </c>
    </row>
    <row r="26" ht="15.75" spans="1:6">
      <c r="A26" s="18">
        <v>45386</v>
      </c>
      <c r="B26" s="19" t="s">
        <v>253</v>
      </c>
      <c r="C26" s="17" t="s">
        <v>752</v>
      </c>
      <c r="D26" s="17">
        <v>300</v>
      </c>
      <c r="E26" s="17"/>
      <c r="F26" s="17">
        <f t="shared" si="0"/>
        <v>22280</v>
      </c>
    </row>
    <row r="27" ht="15.75" spans="1:6">
      <c r="A27" s="18">
        <v>45386</v>
      </c>
      <c r="B27" s="19" t="s">
        <v>2328</v>
      </c>
      <c r="C27" s="17" t="s">
        <v>562</v>
      </c>
      <c r="D27" s="17"/>
      <c r="E27" s="17">
        <v>47040</v>
      </c>
      <c r="F27" s="17">
        <f t="shared" si="0"/>
        <v>69320</v>
      </c>
    </row>
    <row r="28" ht="15.75" spans="1:6">
      <c r="A28" s="18">
        <v>45386</v>
      </c>
      <c r="B28" s="19" t="s">
        <v>2329</v>
      </c>
      <c r="C28" s="17" t="s">
        <v>648</v>
      </c>
      <c r="D28" s="17"/>
      <c r="E28" s="17">
        <v>36720</v>
      </c>
      <c r="F28" s="17">
        <f t="shared" si="0"/>
        <v>106040</v>
      </c>
    </row>
    <row r="29" ht="15.75" spans="1:6">
      <c r="A29" s="18" t="s">
        <v>589</v>
      </c>
      <c r="B29" s="19" t="s">
        <v>2330</v>
      </c>
      <c r="C29" s="17" t="s">
        <v>2316</v>
      </c>
      <c r="D29" s="17"/>
      <c r="E29" s="17">
        <v>27000</v>
      </c>
      <c r="F29" s="17">
        <f t="shared" si="0"/>
        <v>133040</v>
      </c>
    </row>
    <row r="30" ht="15.75" spans="1:6">
      <c r="A30" s="18" t="s">
        <v>589</v>
      </c>
      <c r="B30" s="19" t="s">
        <v>2331</v>
      </c>
      <c r="C30" s="17" t="s">
        <v>562</v>
      </c>
      <c r="D30" s="17"/>
      <c r="E30" s="17">
        <v>55125</v>
      </c>
      <c r="F30" s="17">
        <f t="shared" si="0"/>
        <v>188165</v>
      </c>
    </row>
    <row r="31" ht="15.75" spans="1:6">
      <c r="A31" s="18" t="s">
        <v>2332</v>
      </c>
      <c r="B31" s="19" t="s">
        <v>253</v>
      </c>
      <c r="C31" s="17" t="s">
        <v>157</v>
      </c>
      <c r="D31" s="17">
        <v>100000</v>
      </c>
      <c r="E31" s="17"/>
      <c r="F31" s="17">
        <f t="shared" si="0"/>
        <v>88165</v>
      </c>
    </row>
    <row r="32" ht="15.75" spans="1:6">
      <c r="A32" s="18">
        <v>45387</v>
      </c>
      <c r="B32" s="19"/>
      <c r="C32" s="17" t="s">
        <v>157</v>
      </c>
      <c r="D32" s="17">
        <v>88000</v>
      </c>
      <c r="E32" s="17"/>
      <c r="F32" s="17">
        <f t="shared" si="0"/>
        <v>165</v>
      </c>
    </row>
    <row r="33" ht="15.75" spans="1:6">
      <c r="A33" s="18">
        <v>45387</v>
      </c>
      <c r="B33" s="19"/>
      <c r="C33" s="17" t="s">
        <v>752</v>
      </c>
      <c r="D33" s="17">
        <v>165</v>
      </c>
      <c r="E33" s="17"/>
      <c r="F33" s="17">
        <f t="shared" si="0"/>
        <v>0</v>
      </c>
    </row>
    <row r="34" ht="15.75" spans="1:6">
      <c r="A34" s="18">
        <v>45478</v>
      </c>
      <c r="B34" s="19" t="s">
        <v>2333</v>
      </c>
      <c r="C34" s="17" t="s">
        <v>562</v>
      </c>
      <c r="D34" s="17"/>
      <c r="E34" s="17">
        <v>63000</v>
      </c>
      <c r="F34" s="17">
        <f t="shared" si="0"/>
        <v>63000</v>
      </c>
    </row>
    <row r="35" ht="15.75" spans="1:6">
      <c r="A35" s="18">
        <v>45478</v>
      </c>
      <c r="B35" s="19" t="s">
        <v>2334</v>
      </c>
      <c r="C35" s="17" t="s">
        <v>648</v>
      </c>
      <c r="D35" s="17"/>
      <c r="E35" s="17">
        <v>49300</v>
      </c>
      <c r="F35" s="17">
        <f t="shared" si="0"/>
        <v>112300</v>
      </c>
    </row>
    <row r="36" ht="15.75" spans="1:6">
      <c r="A36" s="18">
        <v>45478</v>
      </c>
      <c r="B36" s="19" t="s">
        <v>2335</v>
      </c>
      <c r="C36" s="17" t="s">
        <v>2336</v>
      </c>
      <c r="D36" s="17"/>
      <c r="E36" s="17">
        <v>700</v>
      </c>
      <c r="F36" s="17">
        <f t="shared" si="0"/>
        <v>113000</v>
      </c>
    </row>
    <row r="37" ht="15.75" spans="1:6">
      <c r="A37" s="18">
        <v>45601</v>
      </c>
      <c r="B37" s="19" t="s">
        <v>2337</v>
      </c>
      <c r="C37" s="17" t="s">
        <v>571</v>
      </c>
      <c r="D37" s="17"/>
      <c r="E37" s="17">
        <v>19440</v>
      </c>
      <c r="F37" s="17">
        <f t="shared" si="0"/>
        <v>132440</v>
      </c>
    </row>
    <row r="38" ht="15.75" spans="1:6">
      <c r="A38" s="18" t="s">
        <v>1453</v>
      </c>
      <c r="B38" s="19"/>
      <c r="C38" s="17" t="s">
        <v>157</v>
      </c>
      <c r="D38" s="17">
        <v>131740</v>
      </c>
      <c r="E38" s="17"/>
      <c r="F38" s="17">
        <f t="shared" si="0"/>
        <v>700</v>
      </c>
    </row>
    <row r="39" ht="15.75" spans="1:6">
      <c r="A39" s="18" t="s">
        <v>1453</v>
      </c>
      <c r="B39" s="19"/>
      <c r="C39" s="17" t="s">
        <v>752</v>
      </c>
      <c r="D39" s="17">
        <v>300</v>
      </c>
      <c r="E39" s="17"/>
      <c r="F39" s="17">
        <f t="shared" si="0"/>
        <v>400</v>
      </c>
    </row>
    <row r="40" ht="15.75" spans="1:6">
      <c r="A40" s="18" t="s">
        <v>656</v>
      </c>
      <c r="B40" s="19" t="s">
        <v>2338</v>
      </c>
      <c r="C40" s="17" t="s">
        <v>562</v>
      </c>
      <c r="D40" s="17"/>
      <c r="E40" s="17">
        <v>62720</v>
      </c>
      <c r="F40" s="17">
        <f t="shared" si="0"/>
        <v>63120</v>
      </c>
    </row>
    <row r="41" ht="15.75" spans="1:6">
      <c r="A41" s="18" t="s">
        <v>92</v>
      </c>
      <c r="B41" s="19" t="s">
        <v>2339</v>
      </c>
      <c r="C41" s="17" t="s">
        <v>2340</v>
      </c>
      <c r="D41" s="17"/>
      <c r="E41" s="17">
        <v>68000</v>
      </c>
      <c r="F41" s="17">
        <f t="shared" si="0"/>
        <v>131120</v>
      </c>
    </row>
    <row r="42" ht="15.75" spans="1:6">
      <c r="A42" s="18" t="s">
        <v>1147</v>
      </c>
      <c r="B42" s="19" t="s">
        <v>2341</v>
      </c>
      <c r="C42" s="17" t="s">
        <v>562</v>
      </c>
      <c r="D42" s="17"/>
      <c r="E42" s="17">
        <v>11760</v>
      </c>
      <c r="F42" s="17">
        <f t="shared" si="0"/>
        <v>142880</v>
      </c>
    </row>
    <row r="43" ht="15.75" spans="1:6">
      <c r="A43" s="18" t="s">
        <v>1340</v>
      </c>
      <c r="B43" s="19" t="s">
        <v>2342</v>
      </c>
      <c r="C43" s="17" t="s">
        <v>568</v>
      </c>
      <c r="D43" s="17"/>
      <c r="E43" s="17">
        <v>12798</v>
      </c>
      <c r="F43" s="17">
        <f t="shared" si="0"/>
        <v>155678</v>
      </c>
    </row>
    <row r="44" ht="15.75" spans="1:6">
      <c r="A44" s="18" t="s">
        <v>591</v>
      </c>
      <c r="B44" s="19" t="s">
        <v>726</v>
      </c>
      <c r="C44" s="17" t="s">
        <v>2343</v>
      </c>
      <c r="D44" s="17"/>
      <c r="E44" s="17">
        <v>5500</v>
      </c>
      <c r="F44" s="17">
        <f t="shared" si="0"/>
        <v>161178</v>
      </c>
    </row>
    <row r="45" ht="15.75" spans="1:6">
      <c r="A45" s="18" t="s">
        <v>2344</v>
      </c>
      <c r="B45" s="19" t="s">
        <v>2345</v>
      </c>
      <c r="C45" s="17" t="s">
        <v>2316</v>
      </c>
      <c r="D45" s="17"/>
      <c r="E45" s="17">
        <v>42644</v>
      </c>
      <c r="F45" s="17">
        <f t="shared" si="0"/>
        <v>203822</v>
      </c>
    </row>
    <row r="46" ht="15.75" spans="1:6">
      <c r="A46" s="18">
        <v>45297</v>
      </c>
      <c r="B46" s="19" t="s">
        <v>2346</v>
      </c>
      <c r="C46" s="17" t="s">
        <v>562</v>
      </c>
      <c r="D46" s="17"/>
      <c r="E46" s="17">
        <v>64400</v>
      </c>
      <c r="F46" s="17">
        <f t="shared" si="0"/>
        <v>268222</v>
      </c>
    </row>
    <row r="47" ht="15.75" spans="1:6">
      <c r="A47" s="18">
        <v>45328</v>
      </c>
      <c r="B47" s="19" t="s">
        <v>2347</v>
      </c>
      <c r="C47" s="17" t="s">
        <v>648</v>
      </c>
      <c r="D47" s="17"/>
      <c r="E47" s="17">
        <v>51000</v>
      </c>
      <c r="F47" s="17">
        <f t="shared" si="0"/>
        <v>319222</v>
      </c>
    </row>
    <row r="48" ht="15.75" spans="1:6">
      <c r="A48" s="18">
        <v>45328</v>
      </c>
      <c r="B48" s="19" t="s">
        <v>253</v>
      </c>
      <c r="C48" s="17" t="s">
        <v>157</v>
      </c>
      <c r="D48" s="17">
        <v>100000</v>
      </c>
      <c r="E48" s="17"/>
      <c r="F48" s="17">
        <f t="shared" si="0"/>
        <v>219222</v>
      </c>
    </row>
    <row r="49" ht="15.75" spans="1:6">
      <c r="A49" s="18">
        <v>45510</v>
      </c>
      <c r="B49" s="19" t="s">
        <v>253</v>
      </c>
      <c r="C49" s="17" t="s">
        <v>157</v>
      </c>
      <c r="D49" s="17">
        <v>65500</v>
      </c>
      <c r="E49" s="17"/>
      <c r="F49" s="17">
        <f t="shared" si="0"/>
        <v>153722</v>
      </c>
    </row>
    <row r="50" ht="15.75" spans="1:6">
      <c r="A50" s="18">
        <v>45510</v>
      </c>
      <c r="B50" s="19" t="s">
        <v>2348</v>
      </c>
      <c r="C50" s="17" t="s">
        <v>568</v>
      </c>
      <c r="D50" s="17"/>
      <c r="E50" s="17">
        <v>9950</v>
      </c>
      <c r="F50" s="17">
        <f t="shared" si="0"/>
        <v>163672</v>
      </c>
    </row>
    <row r="51" ht="15.75" spans="1:6">
      <c r="A51" s="18">
        <v>45632</v>
      </c>
      <c r="B51" s="19" t="s">
        <v>2349</v>
      </c>
      <c r="C51" s="17" t="s">
        <v>648</v>
      </c>
      <c r="D51" s="17"/>
      <c r="E51" s="17">
        <v>31875</v>
      </c>
      <c r="F51" s="17">
        <f t="shared" si="0"/>
        <v>195547</v>
      </c>
    </row>
    <row r="52" ht="15.75" spans="1:6">
      <c r="A52" s="18">
        <v>45632</v>
      </c>
      <c r="B52" s="19" t="s">
        <v>2350</v>
      </c>
      <c r="C52" s="17" t="s">
        <v>562</v>
      </c>
      <c r="D52" s="17"/>
      <c r="E52" s="17">
        <v>9660</v>
      </c>
      <c r="F52" s="17">
        <f t="shared" si="0"/>
        <v>205207</v>
      </c>
    </row>
    <row r="53" ht="15.75" spans="1:6">
      <c r="A53" s="18" t="s">
        <v>2351</v>
      </c>
      <c r="B53" s="19" t="s">
        <v>2352</v>
      </c>
      <c r="C53" s="17" t="s">
        <v>2353</v>
      </c>
      <c r="D53" s="17"/>
      <c r="E53" s="17">
        <v>9954</v>
      </c>
      <c r="F53" s="17">
        <f t="shared" si="0"/>
        <v>215161</v>
      </c>
    </row>
    <row r="54" ht="15.75" spans="1:6">
      <c r="A54" s="18" t="s">
        <v>2354</v>
      </c>
      <c r="B54" s="19" t="s">
        <v>253</v>
      </c>
      <c r="C54" s="17" t="s">
        <v>157</v>
      </c>
      <c r="D54" s="17">
        <v>100000</v>
      </c>
      <c r="E54" s="17"/>
      <c r="F54" s="17">
        <f t="shared" si="0"/>
        <v>115161</v>
      </c>
    </row>
    <row r="55" ht="15.75" spans="1:6">
      <c r="A55" s="17" t="s">
        <v>118</v>
      </c>
      <c r="B55" s="31" t="s">
        <v>2355</v>
      </c>
      <c r="C55" s="17" t="s">
        <v>2316</v>
      </c>
      <c r="D55" s="17"/>
      <c r="E55" s="17">
        <v>8100</v>
      </c>
      <c r="F55" s="17">
        <f t="shared" si="0"/>
        <v>123261</v>
      </c>
    </row>
    <row r="56" ht="15.75" spans="1:6">
      <c r="A56" s="17" t="s">
        <v>1800</v>
      </c>
      <c r="B56" s="93" t="s">
        <v>2356</v>
      </c>
      <c r="C56" s="72" t="s">
        <v>402</v>
      </c>
      <c r="D56" s="17"/>
      <c r="E56" s="17">
        <v>27370</v>
      </c>
      <c r="F56" s="17">
        <f t="shared" si="0"/>
        <v>150631</v>
      </c>
    </row>
    <row r="57" ht="15.75" spans="1:6">
      <c r="A57" s="18">
        <v>45329</v>
      </c>
      <c r="B57" s="93" t="s">
        <v>2357</v>
      </c>
      <c r="C57" s="72" t="s">
        <v>507</v>
      </c>
      <c r="D57" s="17"/>
      <c r="E57" s="17">
        <v>40250</v>
      </c>
      <c r="F57" s="17">
        <f t="shared" si="0"/>
        <v>190881</v>
      </c>
    </row>
    <row r="58" ht="15.75" spans="1:6">
      <c r="A58" s="18">
        <v>45329</v>
      </c>
      <c r="B58" s="93" t="s">
        <v>2358</v>
      </c>
      <c r="C58" s="72" t="s">
        <v>1251</v>
      </c>
      <c r="D58" s="17"/>
      <c r="E58" s="17">
        <v>35700</v>
      </c>
      <c r="F58" s="17">
        <f t="shared" si="0"/>
        <v>226581</v>
      </c>
    </row>
    <row r="59" ht="15.75" spans="1:6">
      <c r="A59" s="18">
        <v>45572</v>
      </c>
      <c r="B59" s="93" t="s">
        <v>2359</v>
      </c>
      <c r="C59" s="72" t="s">
        <v>402</v>
      </c>
      <c r="D59" s="17"/>
      <c r="E59" s="17">
        <v>16100</v>
      </c>
      <c r="F59" s="17">
        <f t="shared" si="0"/>
        <v>242681</v>
      </c>
    </row>
    <row r="60" ht="15.75" spans="1:6">
      <c r="A60" s="17" t="s">
        <v>673</v>
      </c>
      <c r="B60" s="93" t="s">
        <v>2360</v>
      </c>
      <c r="C60" s="72" t="s">
        <v>402</v>
      </c>
      <c r="D60" s="17"/>
      <c r="E60" s="17">
        <v>64400</v>
      </c>
      <c r="F60" s="17">
        <f t="shared" si="0"/>
        <v>307081</v>
      </c>
    </row>
    <row r="61" ht="15.75" spans="1:6">
      <c r="A61" s="17" t="s">
        <v>1078</v>
      </c>
      <c r="B61" s="93" t="s">
        <v>2361</v>
      </c>
      <c r="C61" s="72" t="s">
        <v>2362</v>
      </c>
      <c r="D61" s="17"/>
      <c r="E61" s="17">
        <v>29525</v>
      </c>
      <c r="F61" s="17">
        <f t="shared" si="0"/>
        <v>336606</v>
      </c>
    </row>
    <row r="62" ht="15.75" spans="1:6">
      <c r="A62" s="17" t="s">
        <v>1078</v>
      </c>
      <c r="B62" s="93" t="s">
        <v>2363</v>
      </c>
      <c r="C62" s="72" t="s">
        <v>2364</v>
      </c>
      <c r="D62" s="17"/>
      <c r="E62" s="17">
        <v>5200</v>
      </c>
      <c r="F62" s="17">
        <f t="shared" si="0"/>
        <v>341806</v>
      </c>
    </row>
    <row r="63" ht="15.75" spans="1:6">
      <c r="A63" s="18">
        <v>45572</v>
      </c>
      <c r="B63" s="93"/>
      <c r="C63" s="72" t="s">
        <v>2365</v>
      </c>
      <c r="D63" s="17">
        <v>100000</v>
      </c>
      <c r="E63" s="17"/>
      <c r="F63" s="17">
        <f t="shared" si="0"/>
        <v>241806</v>
      </c>
    </row>
    <row r="64" ht="15.75" spans="1:6">
      <c r="A64" s="18" t="s">
        <v>1343</v>
      </c>
      <c r="B64" s="93"/>
      <c r="C64" s="72" t="s">
        <v>157</v>
      </c>
      <c r="D64" s="17">
        <v>70000</v>
      </c>
      <c r="E64" s="17"/>
      <c r="F64" s="17">
        <f t="shared" si="0"/>
        <v>171806</v>
      </c>
    </row>
    <row r="65" ht="15.75" spans="1:6">
      <c r="A65" s="18" t="s">
        <v>1343</v>
      </c>
      <c r="B65" s="93"/>
      <c r="C65" s="72" t="s">
        <v>2366</v>
      </c>
      <c r="D65" s="17">
        <v>3000</v>
      </c>
      <c r="E65" s="17"/>
      <c r="F65" s="17">
        <f t="shared" si="0"/>
        <v>168806</v>
      </c>
    </row>
    <row r="66" ht="15.75" spans="1:6">
      <c r="A66" s="18" t="s">
        <v>572</v>
      </c>
      <c r="B66" s="93" t="s">
        <v>2367</v>
      </c>
      <c r="C66" s="72" t="s">
        <v>2368</v>
      </c>
      <c r="D66" s="17"/>
      <c r="E66" s="17">
        <v>38250</v>
      </c>
      <c r="F66" s="17">
        <f t="shared" si="0"/>
        <v>207056</v>
      </c>
    </row>
    <row r="67" ht="15.75" spans="1:6">
      <c r="A67" s="18" t="s">
        <v>572</v>
      </c>
      <c r="B67" s="93" t="s">
        <v>2369</v>
      </c>
      <c r="C67" s="72" t="s">
        <v>402</v>
      </c>
      <c r="D67" s="17"/>
      <c r="E67" s="17">
        <v>32200</v>
      </c>
      <c r="F67" s="17">
        <f t="shared" si="0"/>
        <v>239256</v>
      </c>
    </row>
    <row r="68" ht="15.75" spans="1:6">
      <c r="A68" s="18">
        <v>45359</v>
      </c>
      <c r="B68" s="93" t="s">
        <v>2370</v>
      </c>
      <c r="C68" s="72" t="s">
        <v>2371</v>
      </c>
      <c r="D68" s="17"/>
      <c r="E68" s="19">
        <v>12075</v>
      </c>
      <c r="F68" s="17">
        <f t="shared" si="0"/>
        <v>251331</v>
      </c>
    </row>
    <row r="69" ht="15.75" spans="1:6">
      <c r="A69" s="18">
        <v>45542</v>
      </c>
      <c r="B69" s="93" t="s">
        <v>253</v>
      </c>
      <c r="C69" s="72" t="s">
        <v>157</v>
      </c>
      <c r="D69" s="17">
        <v>3950</v>
      </c>
      <c r="E69" s="19"/>
      <c r="F69" s="17">
        <f t="shared" si="0"/>
        <v>247381</v>
      </c>
    </row>
    <row r="70" ht="15.75" spans="1:6">
      <c r="A70" s="18">
        <v>45512</v>
      </c>
      <c r="B70" s="93"/>
      <c r="C70" s="72" t="s">
        <v>157</v>
      </c>
      <c r="D70" s="17">
        <v>150000</v>
      </c>
      <c r="E70" s="19"/>
      <c r="F70" s="17">
        <f t="shared" si="0"/>
        <v>97381</v>
      </c>
    </row>
    <row r="71" ht="15.75" spans="1:6">
      <c r="A71" s="18">
        <v>45573</v>
      </c>
      <c r="B71" s="93" t="s">
        <v>2372</v>
      </c>
      <c r="C71" s="72" t="s">
        <v>2373</v>
      </c>
      <c r="D71" s="17"/>
      <c r="E71" s="17">
        <v>35425</v>
      </c>
      <c r="F71" s="17">
        <f t="shared" si="0"/>
        <v>132806</v>
      </c>
    </row>
    <row r="72" ht="15.75" spans="1:6">
      <c r="A72" s="18" t="s">
        <v>2374</v>
      </c>
      <c r="B72" s="93"/>
      <c r="C72" s="72" t="s">
        <v>157</v>
      </c>
      <c r="D72" s="17">
        <v>15000</v>
      </c>
      <c r="E72" s="19"/>
      <c r="F72" s="17">
        <f t="shared" ref="F72:F193" si="1">F71-D72+E72</f>
        <v>117806</v>
      </c>
    </row>
    <row r="73" ht="15.75" spans="1:6">
      <c r="A73" s="75" t="s">
        <v>2374</v>
      </c>
      <c r="B73" s="93"/>
      <c r="C73" s="72" t="s">
        <v>157</v>
      </c>
      <c r="D73" s="17">
        <v>1000</v>
      </c>
      <c r="E73" s="19"/>
      <c r="F73" s="17">
        <f t="shared" si="1"/>
        <v>116806</v>
      </c>
    </row>
    <row r="74" ht="15.75" spans="1:6">
      <c r="A74" s="75" t="s">
        <v>2374</v>
      </c>
      <c r="B74" s="93" t="s">
        <v>2375</v>
      </c>
      <c r="C74" s="19" t="s">
        <v>2376</v>
      </c>
      <c r="D74" s="17"/>
      <c r="E74" s="19">
        <v>8400</v>
      </c>
      <c r="F74" s="17">
        <f t="shared" si="1"/>
        <v>125206</v>
      </c>
    </row>
    <row r="75" ht="15.75" spans="1:6">
      <c r="A75" s="75" t="s">
        <v>2377</v>
      </c>
      <c r="B75" s="93" t="s">
        <v>2378</v>
      </c>
      <c r="C75" s="72" t="s">
        <v>2373</v>
      </c>
      <c r="D75" s="17"/>
      <c r="E75" s="19">
        <v>11875</v>
      </c>
      <c r="F75" s="17">
        <f t="shared" si="1"/>
        <v>137081</v>
      </c>
    </row>
    <row r="76" ht="15.75" spans="1:6">
      <c r="A76" s="75" t="s">
        <v>2379</v>
      </c>
      <c r="B76" s="93" t="s">
        <v>2375</v>
      </c>
      <c r="C76" s="72" t="s">
        <v>752</v>
      </c>
      <c r="D76" s="17">
        <v>350</v>
      </c>
      <c r="E76" s="19"/>
      <c r="F76" s="17">
        <f t="shared" si="1"/>
        <v>136731</v>
      </c>
    </row>
    <row r="77" ht="15.75" spans="1:6">
      <c r="A77" s="75" t="s">
        <v>823</v>
      </c>
      <c r="B77" s="93"/>
      <c r="C77" s="72" t="s">
        <v>157</v>
      </c>
      <c r="D77" s="17">
        <v>43475</v>
      </c>
      <c r="E77" s="19"/>
      <c r="F77" s="17">
        <f t="shared" si="1"/>
        <v>93256</v>
      </c>
    </row>
    <row r="78" ht="15.75" spans="1:6">
      <c r="A78" s="75" t="s">
        <v>660</v>
      </c>
      <c r="B78" s="93" t="s">
        <v>2380</v>
      </c>
      <c r="C78" s="72" t="s">
        <v>2381</v>
      </c>
      <c r="D78" s="17"/>
      <c r="E78" s="19">
        <v>43715</v>
      </c>
      <c r="F78" s="17">
        <f t="shared" si="1"/>
        <v>136971</v>
      </c>
    </row>
    <row r="79" ht="15.75" spans="1:6">
      <c r="A79" s="75">
        <v>45482</v>
      </c>
      <c r="B79" s="93" t="s">
        <v>2382</v>
      </c>
      <c r="C79" s="72" t="s">
        <v>2373</v>
      </c>
      <c r="D79" s="17"/>
      <c r="E79" s="19">
        <v>38380</v>
      </c>
      <c r="F79" s="17">
        <f t="shared" si="1"/>
        <v>175351</v>
      </c>
    </row>
    <row r="80" ht="15.75" spans="1:6">
      <c r="A80" s="75" t="s">
        <v>2383</v>
      </c>
      <c r="B80" s="93"/>
      <c r="C80" s="72" t="s">
        <v>157</v>
      </c>
      <c r="D80" s="17">
        <v>120000</v>
      </c>
      <c r="E80" s="19"/>
      <c r="F80" s="17">
        <f t="shared" si="1"/>
        <v>55351</v>
      </c>
    </row>
    <row r="81" ht="15.75" spans="1:6">
      <c r="A81" s="75" t="s">
        <v>2384</v>
      </c>
      <c r="B81" s="93" t="s">
        <v>2385</v>
      </c>
      <c r="C81" s="72" t="s">
        <v>821</v>
      </c>
      <c r="D81" s="17"/>
      <c r="E81" s="19">
        <v>600</v>
      </c>
      <c r="F81" s="17">
        <f t="shared" si="1"/>
        <v>55951</v>
      </c>
    </row>
    <row r="82" ht="15.75" spans="1:6">
      <c r="A82" s="75" t="s">
        <v>1101</v>
      </c>
      <c r="B82" s="93" t="s">
        <v>2386</v>
      </c>
      <c r="C82" s="72" t="s">
        <v>155</v>
      </c>
      <c r="D82" s="17"/>
      <c r="E82" s="19">
        <v>11270</v>
      </c>
      <c r="F82" s="17">
        <f t="shared" si="1"/>
        <v>67221</v>
      </c>
    </row>
    <row r="83" ht="15.75" spans="1:6">
      <c r="A83" s="75" t="s">
        <v>1817</v>
      </c>
      <c r="B83" s="93" t="s">
        <v>2387</v>
      </c>
      <c r="C83" s="72" t="s">
        <v>2388</v>
      </c>
      <c r="D83" s="17"/>
      <c r="E83" s="19">
        <v>11270</v>
      </c>
      <c r="F83" s="17">
        <f t="shared" si="1"/>
        <v>78491</v>
      </c>
    </row>
    <row r="84" ht="15.75" spans="1:6">
      <c r="A84" s="75" t="s">
        <v>2383</v>
      </c>
      <c r="B84" s="93" t="s">
        <v>2389</v>
      </c>
      <c r="C84" s="72" t="s">
        <v>1251</v>
      </c>
      <c r="D84" s="17"/>
      <c r="E84" s="19">
        <v>51000</v>
      </c>
      <c r="F84" s="17">
        <f t="shared" si="1"/>
        <v>129491</v>
      </c>
    </row>
    <row r="85" ht="15.75" spans="1:6">
      <c r="A85" s="75">
        <v>45361</v>
      </c>
      <c r="B85" s="93"/>
      <c r="C85" s="72" t="s">
        <v>157</v>
      </c>
      <c r="D85" s="17">
        <v>600</v>
      </c>
      <c r="E85" s="19"/>
      <c r="F85" s="17">
        <f t="shared" si="1"/>
        <v>128891</v>
      </c>
    </row>
    <row r="86" ht="15.75" spans="1:6">
      <c r="A86" s="75">
        <v>45361</v>
      </c>
      <c r="B86" s="93"/>
      <c r="C86" s="72" t="s">
        <v>157</v>
      </c>
      <c r="D86" s="17">
        <v>40000</v>
      </c>
      <c r="E86" s="19"/>
      <c r="F86" s="17">
        <f t="shared" si="1"/>
        <v>88891</v>
      </c>
    </row>
    <row r="87" ht="15.75" spans="1:6">
      <c r="A87" s="75">
        <v>45361</v>
      </c>
      <c r="B87" s="93" t="s">
        <v>2390</v>
      </c>
      <c r="C87" s="72" t="s">
        <v>2388</v>
      </c>
      <c r="D87" s="17"/>
      <c r="E87" s="19">
        <v>28175</v>
      </c>
      <c r="F87" s="17">
        <f t="shared" si="1"/>
        <v>117066</v>
      </c>
    </row>
    <row r="88" ht="15.75" spans="1:6">
      <c r="A88" s="75">
        <v>45514</v>
      </c>
      <c r="B88" s="93" t="s">
        <v>2391</v>
      </c>
      <c r="C88" s="93" t="s">
        <v>179</v>
      </c>
      <c r="D88" s="17"/>
      <c r="E88" s="19">
        <v>7650</v>
      </c>
      <c r="F88" s="17">
        <f t="shared" si="1"/>
        <v>124716</v>
      </c>
    </row>
    <row r="89" ht="15.75" spans="1:6">
      <c r="A89" s="75" t="s">
        <v>1103</v>
      </c>
      <c r="B89" s="93"/>
      <c r="C89" s="93" t="s">
        <v>157</v>
      </c>
      <c r="D89" s="17">
        <v>51000</v>
      </c>
      <c r="E89" s="19"/>
      <c r="F89" s="17">
        <f t="shared" si="1"/>
        <v>73716</v>
      </c>
    </row>
    <row r="90" ht="15.75" spans="1:6">
      <c r="A90" s="75" t="s">
        <v>1103</v>
      </c>
      <c r="B90" s="93" t="s">
        <v>2392</v>
      </c>
      <c r="C90" s="72" t="s">
        <v>2393</v>
      </c>
      <c r="D90" s="17"/>
      <c r="E90" s="19">
        <v>47105</v>
      </c>
      <c r="F90" s="17">
        <f t="shared" si="1"/>
        <v>120821</v>
      </c>
    </row>
    <row r="91" ht="15.75" spans="1:6">
      <c r="A91" s="75" t="s">
        <v>158</v>
      </c>
      <c r="B91" s="93"/>
      <c r="C91" s="72" t="s">
        <v>157</v>
      </c>
      <c r="D91" s="17">
        <v>15000</v>
      </c>
      <c r="E91" s="19"/>
      <c r="F91" s="17">
        <f t="shared" si="1"/>
        <v>105821</v>
      </c>
    </row>
    <row r="92" ht="15.75" spans="1:6">
      <c r="A92" s="75" t="s">
        <v>2394</v>
      </c>
      <c r="B92" s="93" t="s">
        <v>2395</v>
      </c>
      <c r="C92" s="72" t="s">
        <v>2396</v>
      </c>
      <c r="D92" s="17"/>
      <c r="E92" s="19">
        <v>3000</v>
      </c>
      <c r="F92" s="17">
        <f t="shared" si="1"/>
        <v>108821</v>
      </c>
    </row>
    <row r="93" ht="15.75" spans="1:6">
      <c r="A93" s="75" t="s">
        <v>143</v>
      </c>
      <c r="B93" s="93" t="s">
        <v>253</v>
      </c>
      <c r="C93" s="72" t="s">
        <v>157</v>
      </c>
      <c r="D93" s="17">
        <v>3000</v>
      </c>
      <c r="E93" s="19"/>
      <c r="F93" s="17">
        <f t="shared" si="1"/>
        <v>105821</v>
      </c>
    </row>
    <row r="94" ht="15.75" spans="1:6">
      <c r="A94" s="75">
        <v>45393</v>
      </c>
      <c r="B94" s="93" t="s">
        <v>2397</v>
      </c>
      <c r="C94" s="72" t="s">
        <v>2398</v>
      </c>
      <c r="D94" s="17"/>
      <c r="E94" s="19">
        <v>56000</v>
      </c>
      <c r="F94" s="17">
        <f t="shared" si="1"/>
        <v>161821</v>
      </c>
    </row>
    <row r="95" ht="15.75" spans="1:6">
      <c r="A95" s="75">
        <v>45393</v>
      </c>
      <c r="B95" s="93" t="s">
        <v>2399</v>
      </c>
      <c r="C95" s="72" t="s">
        <v>394</v>
      </c>
      <c r="D95" s="17"/>
      <c r="E95" s="19">
        <v>12750</v>
      </c>
      <c r="F95" s="17">
        <f t="shared" si="1"/>
        <v>174571</v>
      </c>
    </row>
    <row r="96" ht="15.75" spans="1:6">
      <c r="A96" s="75">
        <v>45423</v>
      </c>
      <c r="B96" s="93" t="s">
        <v>2400</v>
      </c>
      <c r="C96" s="72" t="s">
        <v>394</v>
      </c>
      <c r="D96" s="17"/>
      <c r="E96" s="19">
        <v>6375</v>
      </c>
      <c r="F96" s="17">
        <f t="shared" si="1"/>
        <v>180946</v>
      </c>
    </row>
    <row r="97" ht="15.75" spans="1:6">
      <c r="A97" s="75">
        <v>45484</v>
      </c>
      <c r="B97" s="93"/>
      <c r="C97" s="72" t="s">
        <v>157</v>
      </c>
      <c r="D97" s="17">
        <v>70000</v>
      </c>
      <c r="E97" s="19"/>
      <c r="F97" s="17">
        <f t="shared" si="1"/>
        <v>110946</v>
      </c>
    </row>
    <row r="98" ht="15.75" spans="1:6">
      <c r="A98" s="75">
        <v>45333</v>
      </c>
      <c r="B98" s="93" t="s">
        <v>2401</v>
      </c>
      <c r="C98" s="72" t="s">
        <v>155</v>
      </c>
      <c r="D98" s="17"/>
      <c r="E98" s="19">
        <v>16100</v>
      </c>
      <c r="F98" s="17">
        <f t="shared" si="1"/>
        <v>127046</v>
      </c>
    </row>
    <row r="99" ht="15.75" spans="1:6">
      <c r="A99" s="75" t="s">
        <v>988</v>
      </c>
      <c r="B99" s="93"/>
      <c r="C99" s="72" t="s">
        <v>157</v>
      </c>
      <c r="D99" s="17">
        <v>47000</v>
      </c>
      <c r="E99" s="19"/>
      <c r="F99" s="17">
        <f t="shared" si="1"/>
        <v>80046</v>
      </c>
    </row>
    <row r="100" ht="31.5" spans="1:6">
      <c r="A100" s="75" t="s">
        <v>988</v>
      </c>
      <c r="B100" s="93" t="s">
        <v>2402</v>
      </c>
      <c r="C100" s="74" t="s">
        <v>2403</v>
      </c>
      <c r="D100" s="17"/>
      <c r="E100" s="19">
        <v>27000</v>
      </c>
      <c r="F100" s="17">
        <f t="shared" si="1"/>
        <v>107046</v>
      </c>
    </row>
    <row r="101" ht="15.75" spans="1:6">
      <c r="A101" s="75" t="s">
        <v>1419</v>
      </c>
      <c r="B101" s="93" t="s">
        <v>2404</v>
      </c>
      <c r="C101" s="72" t="s">
        <v>155</v>
      </c>
      <c r="D101" s="17"/>
      <c r="E101" s="19">
        <v>12880</v>
      </c>
      <c r="F101" s="17">
        <f t="shared" si="1"/>
        <v>119926</v>
      </c>
    </row>
    <row r="102" ht="15.75" spans="1:6">
      <c r="A102" s="75">
        <v>45547</v>
      </c>
      <c r="B102" s="93" t="s">
        <v>2405</v>
      </c>
      <c r="C102" s="72" t="s">
        <v>394</v>
      </c>
      <c r="D102" s="17"/>
      <c r="E102" s="19">
        <v>20400</v>
      </c>
      <c r="F102" s="17">
        <f t="shared" si="1"/>
        <v>140326</v>
      </c>
    </row>
    <row r="103" ht="15.75" spans="1:6">
      <c r="A103" s="75" t="s">
        <v>2406</v>
      </c>
      <c r="B103" s="93"/>
      <c r="C103" s="72" t="s">
        <v>101</v>
      </c>
      <c r="D103" s="17">
        <v>50000</v>
      </c>
      <c r="E103" s="19"/>
      <c r="F103" s="17">
        <f t="shared" si="1"/>
        <v>90326</v>
      </c>
    </row>
    <row r="104" ht="15.75" spans="1:6">
      <c r="A104" s="75" t="s">
        <v>225</v>
      </c>
      <c r="B104" s="93"/>
      <c r="C104" s="72" t="s">
        <v>101</v>
      </c>
      <c r="D104" s="17">
        <v>6000</v>
      </c>
      <c r="E104" s="19"/>
      <c r="F104" s="17">
        <f t="shared" si="1"/>
        <v>84326</v>
      </c>
    </row>
    <row r="105" ht="15.75" spans="1:6">
      <c r="A105" s="75">
        <v>45931</v>
      </c>
      <c r="B105" s="93"/>
      <c r="C105" s="72" t="s">
        <v>101</v>
      </c>
      <c r="D105" s="17">
        <v>1375</v>
      </c>
      <c r="E105" s="19"/>
      <c r="F105" s="17">
        <f t="shared" si="1"/>
        <v>82951</v>
      </c>
    </row>
    <row r="106" ht="15.75" spans="1:6">
      <c r="A106" s="75">
        <v>45901</v>
      </c>
      <c r="B106" s="93"/>
      <c r="C106" s="72" t="s">
        <v>101</v>
      </c>
      <c r="D106" s="17">
        <v>48500</v>
      </c>
      <c r="E106" s="19"/>
      <c r="F106" s="17">
        <f t="shared" si="1"/>
        <v>34451</v>
      </c>
    </row>
    <row r="107" ht="15.75" spans="1:6">
      <c r="A107" s="75" t="s">
        <v>1240</v>
      </c>
      <c r="B107" s="93" t="s">
        <v>2407</v>
      </c>
      <c r="C107" s="72" t="s">
        <v>2316</v>
      </c>
      <c r="D107" s="17"/>
      <c r="E107" s="19">
        <v>14000</v>
      </c>
      <c r="F107" s="17">
        <f t="shared" si="1"/>
        <v>48451</v>
      </c>
    </row>
    <row r="108" ht="15.75" spans="1:6">
      <c r="A108" s="75" t="s">
        <v>1668</v>
      </c>
      <c r="B108" s="93" t="s">
        <v>2408</v>
      </c>
      <c r="C108" s="72" t="s">
        <v>157</v>
      </c>
      <c r="D108" s="17">
        <v>14000</v>
      </c>
      <c r="E108" s="19"/>
      <c r="F108" s="17">
        <f t="shared" si="1"/>
        <v>34451</v>
      </c>
    </row>
    <row r="109" ht="15.75" spans="1:6">
      <c r="A109" s="75">
        <v>45659</v>
      </c>
      <c r="B109" s="93" t="s">
        <v>253</v>
      </c>
      <c r="C109" s="72" t="s">
        <v>157</v>
      </c>
      <c r="D109" s="17">
        <v>12500</v>
      </c>
      <c r="E109" s="19"/>
      <c r="F109" s="17">
        <f t="shared" si="1"/>
        <v>21951</v>
      </c>
    </row>
    <row r="110" ht="15.75" spans="1:6">
      <c r="A110" s="75">
        <v>45871</v>
      </c>
      <c r="B110" s="93" t="s">
        <v>2409</v>
      </c>
      <c r="C110" s="72" t="s">
        <v>140</v>
      </c>
      <c r="D110" s="17"/>
      <c r="E110" s="19">
        <v>2000</v>
      </c>
      <c r="F110" s="17">
        <f t="shared" si="1"/>
        <v>23951</v>
      </c>
    </row>
    <row r="111" ht="15.75" spans="1:6">
      <c r="A111" s="75">
        <v>45750</v>
      </c>
      <c r="B111" s="93" t="s">
        <v>2410</v>
      </c>
      <c r="C111" s="72" t="s">
        <v>2411</v>
      </c>
      <c r="D111" s="17"/>
      <c r="E111" s="19">
        <v>19125</v>
      </c>
      <c r="F111" s="17">
        <f t="shared" si="1"/>
        <v>43076</v>
      </c>
    </row>
    <row r="112" ht="15.75" spans="1:6">
      <c r="A112" s="75">
        <v>45750</v>
      </c>
      <c r="B112" s="93" t="s">
        <v>253</v>
      </c>
      <c r="C112" s="72" t="s">
        <v>157</v>
      </c>
      <c r="D112" s="93">
        <v>21100</v>
      </c>
      <c r="E112" s="19"/>
      <c r="F112" s="17">
        <f t="shared" si="1"/>
        <v>21976</v>
      </c>
    </row>
    <row r="113" ht="15.75" spans="1:6">
      <c r="A113" s="75">
        <v>45780</v>
      </c>
      <c r="B113" s="93" t="s">
        <v>253</v>
      </c>
      <c r="C113" s="72" t="s">
        <v>157</v>
      </c>
      <c r="D113" s="17">
        <v>19000</v>
      </c>
      <c r="E113" s="19"/>
      <c r="F113" s="17">
        <f t="shared" si="1"/>
        <v>2976</v>
      </c>
    </row>
    <row r="114" ht="15.75" spans="1:6">
      <c r="A114" s="75">
        <v>45811</v>
      </c>
      <c r="B114" s="93" t="s">
        <v>2412</v>
      </c>
      <c r="C114" s="72" t="s">
        <v>507</v>
      </c>
      <c r="D114" s="17"/>
      <c r="E114" s="19">
        <v>12075</v>
      </c>
      <c r="F114" s="17">
        <f t="shared" si="1"/>
        <v>15051</v>
      </c>
    </row>
    <row r="115" ht="15.75" spans="1:6">
      <c r="A115" s="75">
        <v>45964</v>
      </c>
      <c r="B115" s="93" t="s">
        <v>253</v>
      </c>
      <c r="C115" s="72" t="s">
        <v>157</v>
      </c>
      <c r="D115" s="17">
        <v>12000</v>
      </c>
      <c r="E115" s="19"/>
      <c r="F115" s="17">
        <f t="shared" si="1"/>
        <v>3051</v>
      </c>
    </row>
    <row r="116" ht="15.75" spans="1:6">
      <c r="A116" s="75">
        <v>45964</v>
      </c>
      <c r="B116" s="93" t="s">
        <v>2413</v>
      </c>
      <c r="C116" s="72" t="s">
        <v>2316</v>
      </c>
      <c r="D116" s="17"/>
      <c r="E116" s="19">
        <v>16800</v>
      </c>
      <c r="F116" s="17">
        <f t="shared" si="1"/>
        <v>19851</v>
      </c>
    </row>
    <row r="117" ht="15.75" spans="1:6">
      <c r="A117" s="75">
        <v>45994</v>
      </c>
      <c r="B117" s="93"/>
      <c r="C117" s="72" t="s">
        <v>101</v>
      </c>
      <c r="D117" s="17">
        <v>8450</v>
      </c>
      <c r="E117" s="19"/>
      <c r="F117" s="17">
        <f t="shared" si="1"/>
        <v>11401</v>
      </c>
    </row>
    <row r="118" ht="15.75" spans="1:6">
      <c r="A118" s="75" t="s">
        <v>364</v>
      </c>
      <c r="B118" s="93"/>
      <c r="C118" s="72" t="s">
        <v>157</v>
      </c>
      <c r="D118" s="17">
        <v>22000</v>
      </c>
      <c r="E118" s="19"/>
      <c r="F118" s="17">
        <f t="shared" si="1"/>
        <v>-10599</v>
      </c>
    </row>
    <row r="119" ht="15.75" spans="1:6">
      <c r="A119" s="161" t="s">
        <v>372</v>
      </c>
      <c r="B119" s="170" t="s">
        <v>2414</v>
      </c>
      <c r="C119" s="246" t="s">
        <v>419</v>
      </c>
      <c r="D119" s="170"/>
      <c r="E119" s="247">
        <v>8640</v>
      </c>
      <c r="F119" s="17">
        <f t="shared" si="1"/>
        <v>-1959</v>
      </c>
    </row>
    <row r="120" ht="15.75" spans="1:6">
      <c r="A120" s="75">
        <v>45720</v>
      </c>
      <c r="B120" s="93" t="s">
        <v>2415</v>
      </c>
      <c r="C120" s="72" t="s">
        <v>2416</v>
      </c>
      <c r="D120" s="17"/>
      <c r="E120" s="19">
        <v>11813</v>
      </c>
      <c r="F120" s="17">
        <f t="shared" si="1"/>
        <v>9854</v>
      </c>
    </row>
    <row r="121" ht="15.75" spans="1:6">
      <c r="A121" s="75">
        <v>45781</v>
      </c>
      <c r="B121" s="93" t="s">
        <v>2417</v>
      </c>
      <c r="C121" s="72" t="s">
        <v>2418</v>
      </c>
      <c r="D121" s="17"/>
      <c r="E121" s="19">
        <v>19550</v>
      </c>
      <c r="F121" s="17">
        <f t="shared" si="1"/>
        <v>29404</v>
      </c>
    </row>
    <row r="122" ht="15.75" spans="1:6">
      <c r="A122" s="75">
        <v>45751</v>
      </c>
      <c r="B122" s="93"/>
      <c r="C122" s="72" t="s">
        <v>157</v>
      </c>
      <c r="D122" s="17">
        <v>15000</v>
      </c>
      <c r="E122" s="19"/>
      <c r="F122" s="17">
        <f t="shared" si="1"/>
        <v>14404</v>
      </c>
    </row>
    <row r="123" ht="15.75" spans="1:6">
      <c r="A123" s="75">
        <v>45995</v>
      </c>
      <c r="B123" s="93" t="s">
        <v>2419</v>
      </c>
      <c r="C123" s="72" t="s">
        <v>2411</v>
      </c>
      <c r="D123" s="17"/>
      <c r="E123" s="19">
        <v>11475</v>
      </c>
      <c r="F123" s="17">
        <f t="shared" si="1"/>
        <v>25879</v>
      </c>
    </row>
    <row r="124" ht="15.75" spans="1:6">
      <c r="A124" s="75" t="s">
        <v>398</v>
      </c>
      <c r="B124" s="93" t="s">
        <v>2420</v>
      </c>
      <c r="C124" s="72" t="s">
        <v>507</v>
      </c>
      <c r="D124" s="17"/>
      <c r="E124" s="19">
        <v>28980</v>
      </c>
      <c r="F124" s="17">
        <f t="shared" si="1"/>
        <v>54859</v>
      </c>
    </row>
    <row r="125" ht="15.75" spans="1:6">
      <c r="A125" s="75" t="s">
        <v>405</v>
      </c>
      <c r="B125" s="93" t="s">
        <v>253</v>
      </c>
      <c r="C125" s="72" t="s">
        <v>157</v>
      </c>
      <c r="D125" s="17">
        <v>10000</v>
      </c>
      <c r="E125" s="19"/>
      <c r="F125" s="17">
        <f t="shared" si="1"/>
        <v>44859</v>
      </c>
    </row>
    <row r="126" ht="15.75" spans="1:6">
      <c r="A126" s="75" t="s">
        <v>405</v>
      </c>
      <c r="B126" s="93" t="s">
        <v>2421</v>
      </c>
      <c r="C126" s="72" t="s">
        <v>2422</v>
      </c>
      <c r="D126" s="17"/>
      <c r="E126" s="19">
        <v>35892</v>
      </c>
      <c r="F126" s="17">
        <f t="shared" si="1"/>
        <v>80751</v>
      </c>
    </row>
    <row r="127" ht="15.75" spans="1:6">
      <c r="A127" s="75" t="s">
        <v>415</v>
      </c>
      <c r="B127" s="93" t="s">
        <v>253</v>
      </c>
      <c r="C127" s="72" t="s">
        <v>157</v>
      </c>
      <c r="D127" s="17">
        <v>30000</v>
      </c>
      <c r="E127" s="19"/>
      <c r="F127" s="17">
        <f t="shared" si="1"/>
        <v>50751</v>
      </c>
    </row>
    <row r="128" ht="15.75" spans="1:6">
      <c r="A128" s="75" t="s">
        <v>432</v>
      </c>
      <c r="B128" s="93" t="s">
        <v>253</v>
      </c>
      <c r="C128" s="72" t="s">
        <v>157</v>
      </c>
      <c r="D128" s="17">
        <v>30000</v>
      </c>
      <c r="E128" s="19"/>
      <c r="F128" s="17">
        <f t="shared" si="1"/>
        <v>20751</v>
      </c>
    </row>
    <row r="129" ht="15.75" spans="1:6">
      <c r="A129" s="75" t="s">
        <v>432</v>
      </c>
      <c r="B129" s="93" t="s">
        <v>2423</v>
      </c>
      <c r="C129" s="72" t="s">
        <v>342</v>
      </c>
      <c r="D129" s="17"/>
      <c r="E129" s="19">
        <v>32915</v>
      </c>
      <c r="F129" s="17">
        <f t="shared" si="1"/>
        <v>53666</v>
      </c>
    </row>
    <row r="130" ht="15.75" spans="1:6">
      <c r="A130" s="75" t="s">
        <v>441</v>
      </c>
      <c r="B130" s="93" t="s">
        <v>253</v>
      </c>
      <c r="C130" s="72" t="s">
        <v>157</v>
      </c>
      <c r="D130" s="17">
        <v>18000</v>
      </c>
      <c r="E130" s="19"/>
      <c r="F130" s="17">
        <f t="shared" si="1"/>
        <v>35666</v>
      </c>
    </row>
    <row r="131" ht="15.75" spans="1:6">
      <c r="A131" s="75" t="s">
        <v>441</v>
      </c>
      <c r="B131" s="93" t="s">
        <v>2424</v>
      </c>
      <c r="C131" s="72" t="s">
        <v>402</v>
      </c>
      <c r="D131" s="17"/>
      <c r="E131" s="19">
        <v>24675</v>
      </c>
      <c r="F131" s="17">
        <f t="shared" si="1"/>
        <v>60341</v>
      </c>
    </row>
    <row r="132" ht="15.75" spans="1:6">
      <c r="A132" s="75" t="s">
        <v>441</v>
      </c>
      <c r="B132" s="93" t="s">
        <v>2425</v>
      </c>
      <c r="C132" s="72" t="s">
        <v>419</v>
      </c>
      <c r="D132" s="17"/>
      <c r="E132" s="19">
        <v>3600</v>
      </c>
      <c r="F132" s="17">
        <f t="shared" si="1"/>
        <v>63941</v>
      </c>
    </row>
    <row r="133" ht="15.75" spans="1:6">
      <c r="A133" s="75"/>
      <c r="B133" s="93" t="s">
        <v>2414</v>
      </c>
      <c r="C133" s="72" t="s">
        <v>2426</v>
      </c>
      <c r="D133" s="17">
        <v>8640</v>
      </c>
      <c r="E133" s="19"/>
      <c r="F133" s="17">
        <f t="shared" si="1"/>
        <v>55301</v>
      </c>
    </row>
    <row r="134" ht="15.75" spans="1:6">
      <c r="A134" s="75"/>
      <c r="B134" s="93"/>
      <c r="C134" s="72" t="s">
        <v>2427</v>
      </c>
      <c r="D134" s="17">
        <v>6800</v>
      </c>
      <c r="E134" s="19"/>
      <c r="F134" s="17">
        <f t="shared" si="1"/>
        <v>48501</v>
      </c>
    </row>
    <row r="135" ht="15.75" spans="1:6">
      <c r="A135" s="75" t="s">
        <v>441</v>
      </c>
      <c r="B135" s="93" t="s">
        <v>2424</v>
      </c>
      <c r="C135" s="72" t="s">
        <v>2428</v>
      </c>
      <c r="D135" s="17"/>
      <c r="E135" s="19">
        <v>24675</v>
      </c>
      <c r="F135" s="17">
        <f t="shared" si="1"/>
        <v>73176</v>
      </c>
    </row>
    <row r="136" ht="15.75" spans="1:6">
      <c r="A136" s="75" t="s">
        <v>441</v>
      </c>
      <c r="B136" s="93" t="s">
        <v>2425</v>
      </c>
      <c r="C136" s="72" t="s">
        <v>402</v>
      </c>
      <c r="D136" s="17"/>
      <c r="E136" s="19">
        <v>3600</v>
      </c>
      <c r="F136" s="17">
        <f t="shared" si="1"/>
        <v>76776</v>
      </c>
    </row>
    <row r="137" ht="15.75" spans="1:6">
      <c r="A137" s="75">
        <v>45662</v>
      </c>
      <c r="B137" s="93" t="s">
        <v>2429</v>
      </c>
      <c r="C137" s="72" t="s">
        <v>140</v>
      </c>
      <c r="D137" s="17"/>
      <c r="E137" s="19">
        <v>28787</v>
      </c>
      <c r="F137" s="17">
        <f t="shared" si="1"/>
        <v>105563</v>
      </c>
    </row>
    <row r="138" ht="15.75" spans="1:6">
      <c r="A138" s="75">
        <v>45752</v>
      </c>
      <c r="B138" s="93" t="s">
        <v>2430</v>
      </c>
      <c r="C138" s="72" t="s">
        <v>2364</v>
      </c>
      <c r="D138" s="17"/>
      <c r="E138" s="19">
        <v>2500</v>
      </c>
      <c r="F138" s="17">
        <f t="shared" si="1"/>
        <v>108063</v>
      </c>
    </row>
    <row r="139" ht="15.75" spans="1:6">
      <c r="A139" s="75">
        <v>45752</v>
      </c>
      <c r="B139" s="93" t="s">
        <v>253</v>
      </c>
      <c r="C139" s="72" t="s">
        <v>157</v>
      </c>
      <c r="D139" s="17">
        <v>50000</v>
      </c>
      <c r="E139" s="19"/>
      <c r="F139" s="17">
        <f t="shared" si="1"/>
        <v>58063</v>
      </c>
    </row>
    <row r="140" ht="15.75" spans="1:6">
      <c r="A140" s="75">
        <v>45874</v>
      </c>
      <c r="B140" s="93" t="s">
        <v>253</v>
      </c>
      <c r="C140" s="72" t="s">
        <v>157</v>
      </c>
      <c r="D140" s="17">
        <v>60000</v>
      </c>
      <c r="E140" s="19"/>
      <c r="F140" s="17">
        <f t="shared" si="1"/>
        <v>-1937</v>
      </c>
    </row>
    <row r="141" ht="15.75" spans="1:6">
      <c r="A141" s="75">
        <v>45874</v>
      </c>
      <c r="B141" s="93" t="s">
        <v>2431</v>
      </c>
      <c r="C141" s="72" t="s">
        <v>2316</v>
      </c>
      <c r="D141" s="17"/>
      <c r="E141" s="19">
        <v>57000</v>
      </c>
      <c r="F141" s="17">
        <f t="shared" si="1"/>
        <v>55063</v>
      </c>
    </row>
    <row r="142" ht="15.75" spans="1:6">
      <c r="A142" s="75">
        <v>45874</v>
      </c>
      <c r="B142" s="93" t="s">
        <v>2432</v>
      </c>
      <c r="C142" s="72" t="s">
        <v>2433</v>
      </c>
      <c r="D142" s="17"/>
      <c r="E142" s="19">
        <v>98737</v>
      </c>
      <c r="F142" s="17">
        <f t="shared" si="1"/>
        <v>153800</v>
      </c>
    </row>
    <row r="143" ht="15.75" spans="1:6">
      <c r="A143" s="75" t="s">
        <v>497</v>
      </c>
      <c r="B143" s="93" t="s">
        <v>253</v>
      </c>
      <c r="C143" s="72" t="s">
        <v>157</v>
      </c>
      <c r="D143" s="17">
        <v>70000</v>
      </c>
      <c r="E143" s="19"/>
      <c r="F143" s="17">
        <f t="shared" si="1"/>
        <v>83800</v>
      </c>
    </row>
    <row r="144" ht="15.75" spans="1:6">
      <c r="A144" s="75" t="s">
        <v>497</v>
      </c>
      <c r="B144" s="93" t="s">
        <v>2434</v>
      </c>
      <c r="C144" s="72" t="s">
        <v>1584</v>
      </c>
      <c r="D144" s="17"/>
      <c r="E144" s="19">
        <v>39525</v>
      </c>
      <c r="F144" s="17">
        <f t="shared" si="1"/>
        <v>123325</v>
      </c>
    </row>
    <row r="145" ht="15.75" spans="1:6">
      <c r="A145" s="75" t="s">
        <v>497</v>
      </c>
      <c r="B145" s="93" t="s">
        <v>2435</v>
      </c>
      <c r="C145" s="72" t="s">
        <v>2436</v>
      </c>
      <c r="D145" s="17"/>
      <c r="E145" s="19">
        <v>4050</v>
      </c>
      <c r="F145" s="17">
        <f t="shared" si="1"/>
        <v>127375</v>
      </c>
    </row>
    <row r="146" ht="15.75" spans="1:6">
      <c r="A146" s="75" t="s">
        <v>515</v>
      </c>
      <c r="B146" s="93" t="s">
        <v>253</v>
      </c>
      <c r="C146" s="72" t="s">
        <v>157</v>
      </c>
      <c r="D146" s="17">
        <v>60000</v>
      </c>
      <c r="E146" s="19"/>
      <c r="F146" s="17">
        <f t="shared" si="1"/>
        <v>67375</v>
      </c>
    </row>
    <row r="147" ht="15.75" spans="1:6">
      <c r="A147" s="75" t="s">
        <v>1580</v>
      </c>
      <c r="B147" s="93" t="s">
        <v>2437</v>
      </c>
      <c r="C147" s="72" t="s">
        <v>507</v>
      </c>
      <c r="D147" s="17"/>
      <c r="E147" s="19">
        <v>27142</v>
      </c>
      <c r="F147" s="17">
        <f t="shared" si="1"/>
        <v>94517</v>
      </c>
    </row>
    <row r="148" ht="15.75" spans="1:6">
      <c r="A148" s="75" t="s">
        <v>1580</v>
      </c>
      <c r="B148" s="93" t="s">
        <v>253</v>
      </c>
      <c r="C148" s="72" t="s">
        <v>157</v>
      </c>
      <c r="D148" s="17">
        <v>27070</v>
      </c>
      <c r="E148" s="19"/>
      <c r="F148" s="17">
        <f t="shared" si="1"/>
        <v>67447</v>
      </c>
    </row>
    <row r="149" ht="15.75" spans="1:6">
      <c r="A149" s="75" t="s">
        <v>537</v>
      </c>
      <c r="B149" s="93" t="s">
        <v>2438</v>
      </c>
      <c r="C149" s="72" t="s">
        <v>1584</v>
      </c>
      <c r="D149" s="17"/>
      <c r="E149" s="19">
        <v>26350</v>
      </c>
      <c r="F149" s="17">
        <f t="shared" si="1"/>
        <v>93797</v>
      </c>
    </row>
    <row r="150" ht="15.75" spans="1:6">
      <c r="A150" s="75">
        <v>45663</v>
      </c>
      <c r="B150" s="93"/>
      <c r="C150" s="72" t="s">
        <v>101</v>
      </c>
      <c r="D150" s="17">
        <v>50000</v>
      </c>
      <c r="E150" s="19"/>
      <c r="F150" s="17">
        <f t="shared" si="1"/>
        <v>43797</v>
      </c>
    </row>
    <row r="151" ht="15.75" spans="1:6">
      <c r="A151" s="75">
        <v>45753</v>
      </c>
      <c r="B151" s="93" t="s">
        <v>2439</v>
      </c>
      <c r="C151" s="72" t="s">
        <v>507</v>
      </c>
      <c r="D151" s="17"/>
      <c r="E151" s="19">
        <v>20562</v>
      </c>
      <c r="F151" s="17">
        <f t="shared" si="1"/>
        <v>64359</v>
      </c>
    </row>
    <row r="152" ht="15.75" spans="1:6">
      <c r="A152" s="75">
        <v>45935</v>
      </c>
      <c r="B152" s="93" t="s">
        <v>2440</v>
      </c>
      <c r="C152" s="72" t="s">
        <v>2441</v>
      </c>
      <c r="D152" s="17"/>
      <c r="E152" s="19">
        <v>18500</v>
      </c>
      <c r="F152" s="17">
        <f t="shared" si="1"/>
        <v>82859</v>
      </c>
    </row>
    <row r="153" ht="15.75" spans="1:6">
      <c r="A153" s="75">
        <v>45967</v>
      </c>
      <c r="B153" s="93"/>
      <c r="C153" s="72" t="s">
        <v>157</v>
      </c>
      <c r="D153" s="17">
        <v>43800</v>
      </c>
      <c r="E153" s="19"/>
      <c r="F153" s="17">
        <f t="shared" si="1"/>
        <v>39059</v>
      </c>
    </row>
    <row r="154" ht="15.75" spans="1:6">
      <c r="A154" s="75">
        <v>45967</v>
      </c>
      <c r="B154" s="93" t="s">
        <v>2442</v>
      </c>
      <c r="C154" s="72" t="s">
        <v>2316</v>
      </c>
      <c r="D154" s="17"/>
      <c r="E154" s="19">
        <v>58000</v>
      </c>
      <c r="F154" s="17">
        <f t="shared" si="1"/>
        <v>97059</v>
      </c>
    </row>
    <row r="155" ht="15.75" spans="1:6">
      <c r="A155" s="75">
        <v>45967</v>
      </c>
      <c r="B155" s="93" t="s">
        <v>253</v>
      </c>
      <c r="C155" s="72" t="s">
        <v>157</v>
      </c>
      <c r="D155" s="17">
        <v>15000</v>
      </c>
      <c r="E155" s="19"/>
      <c r="F155" s="17">
        <f t="shared" si="1"/>
        <v>82059</v>
      </c>
    </row>
    <row r="156" ht="15.75" spans="1:6">
      <c r="A156" s="75">
        <v>45967</v>
      </c>
      <c r="B156" s="93" t="s">
        <v>253</v>
      </c>
      <c r="C156" s="72" t="s">
        <v>157</v>
      </c>
      <c r="D156" s="17">
        <v>28000</v>
      </c>
      <c r="E156" s="19"/>
      <c r="F156" s="17">
        <f t="shared" si="1"/>
        <v>54059</v>
      </c>
    </row>
    <row r="157" ht="15.75" spans="1:6">
      <c r="A157" s="75">
        <v>45967</v>
      </c>
      <c r="B157" s="93" t="s">
        <v>253</v>
      </c>
      <c r="C157" s="72" t="s">
        <v>157</v>
      </c>
      <c r="D157" s="17">
        <v>800</v>
      </c>
      <c r="E157" s="19"/>
      <c r="F157" s="17">
        <f t="shared" si="1"/>
        <v>53259</v>
      </c>
    </row>
    <row r="158" ht="15.75" spans="1:6">
      <c r="A158" s="75" t="s">
        <v>1173</v>
      </c>
      <c r="B158" s="93" t="s">
        <v>2443</v>
      </c>
      <c r="C158" s="72" t="s">
        <v>2444</v>
      </c>
      <c r="D158" s="17"/>
      <c r="E158" s="19">
        <v>12000</v>
      </c>
      <c r="F158" s="17">
        <f t="shared" si="1"/>
        <v>65259</v>
      </c>
    </row>
    <row r="159" ht="15.75" spans="1:6">
      <c r="A159" s="75" t="s">
        <v>1174</v>
      </c>
      <c r="B159" s="93" t="s">
        <v>253</v>
      </c>
      <c r="C159" s="72" t="s">
        <v>101</v>
      </c>
      <c r="D159" s="17">
        <v>35000</v>
      </c>
      <c r="E159" s="19"/>
      <c r="F159" s="17">
        <f t="shared" si="1"/>
        <v>30259</v>
      </c>
    </row>
    <row r="160" ht="15.75" spans="1:6">
      <c r="A160" s="75" t="s">
        <v>544</v>
      </c>
      <c r="B160" s="93" t="s">
        <v>2445</v>
      </c>
      <c r="C160" s="72" t="s">
        <v>2446</v>
      </c>
      <c r="D160" s="17"/>
      <c r="E160" s="19">
        <v>41977</v>
      </c>
      <c r="F160" s="17">
        <f t="shared" si="1"/>
        <v>72236</v>
      </c>
    </row>
    <row r="161" ht="15.75" spans="1:6">
      <c r="A161" s="75" t="s">
        <v>2101</v>
      </c>
      <c r="B161" s="93" t="s">
        <v>253</v>
      </c>
      <c r="C161" s="72" t="s">
        <v>157</v>
      </c>
      <c r="D161" s="17">
        <v>20000</v>
      </c>
      <c r="E161" s="19"/>
      <c r="F161" s="17">
        <f t="shared" si="1"/>
        <v>52236</v>
      </c>
    </row>
    <row r="162" ht="15.75" spans="1:6">
      <c r="A162" s="75" t="s">
        <v>1186</v>
      </c>
      <c r="B162" s="93" t="s">
        <v>2447</v>
      </c>
      <c r="C162" s="72" t="s">
        <v>2448</v>
      </c>
      <c r="D162" s="17"/>
      <c r="E162" s="19">
        <v>15283</v>
      </c>
      <c r="F162" s="17">
        <f t="shared" si="1"/>
        <v>67519</v>
      </c>
    </row>
    <row r="163" ht="15.75" spans="1:6">
      <c r="A163" s="75" t="s">
        <v>1597</v>
      </c>
      <c r="B163" s="93" t="s">
        <v>2449</v>
      </c>
      <c r="C163" s="72" t="s">
        <v>2450</v>
      </c>
      <c r="D163" s="17"/>
      <c r="E163" s="19">
        <v>41293</v>
      </c>
      <c r="F163" s="17">
        <f t="shared" si="1"/>
        <v>108812</v>
      </c>
    </row>
    <row r="164" ht="15.75" spans="1:6">
      <c r="A164" s="75" t="s">
        <v>699</v>
      </c>
      <c r="B164" s="93" t="s">
        <v>253</v>
      </c>
      <c r="C164" s="72" t="s">
        <v>101</v>
      </c>
      <c r="D164" s="17">
        <v>40000</v>
      </c>
      <c r="E164" s="19"/>
      <c r="F164" s="17">
        <f t="shared" si="1"/>
        <v>68812</v>
      </c>
    </row>
    <row r="165" ht="15.75" spans="1:6">
      <c r="A165" s="75">
        <v>45664</v>
      </c>
      <c r="B165" s="93" t="s">
        <v>2451</v>
      </c>
      <c r="C165" s="72" t="s">
        <v>944</v>
      </c>
      <c r="D165" s="17"/>
      <c r="E165" s="19">
        <v>11000</v>
      </c>
      <c r="F165" s="17">
        <f t="shared" si="1"/>
        <v>79812</v>
      </c>
    </row>
    <row r="166" ht="15.75" spans="1:6">
      <c r="A166" s="75">
        <v>45695</v>
      </c>
      <c r="B166" s="93" t="s">
        <v>253</v>
      </c>
      <c r="C166" s="72" t="s">
        <v>157</v>
      </c>
      <c r="D166" s="17">
        <v>11000</v>
      </c>
      <c r="E166" s="19"/>
      <c r="F166" s="17">
        <f t="shared" si="1"/>
        <v>68812</v>
      </c>
    </row>
    <row r="167" ht="15.75" spans="1:6">
      <c r="A167" s="75">
        <v>45695</v>
      </c>
      <c r="B167" s="93" t="s">
        <v>2452</v>
      </c>
      <c r="C167" s="72" t="s">
        <v>402</v>
      </c>
      <c r="D167" s="17"/>
      <c r="E167" s="19">
        <v>27258</v>
      </c>
      <c r="F167" s="17">
        <f t="shared" si="1"/>
        <v>96070</v>
      </c>
    </row>
    <row r="168" ht="15.75" spans="1:6">
      <c r="A168" s="75">
        <v>45876</v>
      </c>
      <c r="B168" s="93" t="s">
        <v>2453</v>
      </c>
      <c r="C168" s="72" t="s">
        <v>1545</v>
      </c>
      <c r="D168" s="17"/>
      <c r="E168" s="19">
        <v>3300</v>
      </c>
      <c r="F168" s="17">
        <f t="shared" si="1"/>
        <v>99370</v>
      </c>
    </row>
    <row r="169" ht="15.75" spans="1:6">
      <c r="A169" s="75">
        <v>45998</v>
      </c>
      <c r="B169" s="93" t="s">
        <v>2454</v>
      </c>
      <c r="C169" s="72" t="s">
        <v>394</v>
      </c>
      <c r="D169" s="17"/>
      <c r="E169" s="19">
        <v>26690</v>
      </c>
      <c r="F169" s="17">
        <f t="shared" si="1"/>
        <v>126060</v>
      </c>
    </row>
    <row r="170" ht="15.75" spans="1:6">
      <c r="A170" s="75">
        <v>45998</v>
      </c>
      <c r="B170" s="93" t="s">
        <v>253</v>
      </c>
      <c r="C170" s="72" t="s">
        <v>101</v>
      </c>
      <c r="D170" s="17">
        <v>49980</v>
      </c>
      <c r="E170" s="19"/>
      <c r="F170" s="17">
        <f t="shared" si="1"/>
        <v>76080</v>
      </c>
    </row>
    <row r="171" ht="15.75" spans="1:6">
      <c r="A171" s="75" t="s">
        <v>1198</v>
      </c>
      <c r="B171" s="93" t="s">
        <v>2455</v>
      </c>
      <c r="C171" s="72" t="s">
        <v>2456</v>
      </c>
      <c r="D171" s="17"/>
      <c r="E171" s="19">
        <v>10326</v>
      </c>
      <c r="F171" s="17">
        <f t="shared" si="1"/>
        <v>86406</v>
      </c>
    </row>
    <row r="172" ht="15.75" spans="1:6">
      <c r="A172" s="75" t="s">
        <v>2457</v>
      </c>
      <c r="B172" s="93" t="s">
        <v>253</v>
      </c>
      <c r="C172" s="72" t="s">
        <v>101</v>
      </c>
      <c r="D172" s="17">
        <v>22000</v>
      </c>
      <c r="E172" s="19"/>
      <c r="F172" s="17">
        <f t="shared" si="1"/>
        <v>64406</v>
      </c>
    </row>
    <row r="173" ht="15.75" spans="1:6">
      <c r="A173" s="75" t="s">
        <v>1309</v>
      </c>
      <c r="B173" s="93" t="s">
        <v>2458</v>
      </c>
      <c r="C173" s="72" t="s">
        <v>2459</v>
      </c>
      <c r="D173" s="17"/>
      <c r="E173" s="19">
        <v>25830</v>
      </c>
      <c r="F173" s="17">
        <f t="shared" si="1"/>
        <v>90236</v>
      </c>
    </row>
    <row r="174" ht="15.75" spans="1:6">
      <c r="A174" s="75" t="s">
        <v>2127</v>
      </c>
      <c r="B174" s="93" t="s">
        <v>2460</v>
      </c>
      <c r="C174" s="72" t="s">
        <v>2461</v>
      </c>
      <c r="D174" s="17"/>
      <c r="E174" s="19">
        <v>29520</v>
      </c>
      <c r="F174" s="17">
        <f t="shared" si="1"/>
        <v>119756</v>
      </c>
    </row>
    <row r="175" ht="15.75" spans="1:6">
      <c r="A175" s="75" t="s">
        <v>702</v>
      </c>
      <c r="B175" s="93" t="s">
        <v>2462</v>
      </c>
      <c r="C175" s="72" t="s">
        <v>2316</v>
      </c>
      <c r="D175" s="17"/>
      <c r="E175" s="19">
        <v>25200</v>
      </c>
      <c r="F175" s="17">
        <f t="shared" si="1"/>
        <v>144956</v>
      </c>
    </row>
    <row r="176" ht="15.75" spans="1:6">
      <c r="A176" s="75" t="s">
        <v>2130</v>
      </c>
      <c r="B176" s="93" t="s">
        <v>253</v>
      </c>
      <c r="C176" s="72" t="s">
        <v>157</v>
      </c>
      <c r="D176" s="17">
        <v>50000</v>
      </c>
      <c r="E176" s="19"/>
      <c r="F176" s="17">
        <f t="shared" si="1"/>
        <v>94956</v>
      </c>
    </row>
    <row r="177" ht="15.75" spans="1:6">
      <c r="A177" s="75" t="s">
        <v>2136</v>
      </c>
      <c r="B177" s="93" t="s">
        <v>2463</v>
      </c>
      <c r="C177" s="72" t="s">
        <v>2388</v>
      </c>
      <c r="D177" s="17"/>
      <c r="E177" s="19">
        <v>12232</v>
      </c>
      <c r="F177" s="17">
        <f t="shared" si="1"/>
        <v>107188</v>
      </c>
    </row>
    <row r="178" ht="15.75" spans="1:6">
      <c r="A178" s="75" t="s">
        <v>2464</v>
      </c>
      <c r="B178" s="93" t="s">
        <v>2465</v>
      </c>
      <c r="C178" s="72" t="s">
        <v>2466</v>
      </c>
      <c r="D178" s="17"/>
      <c r="E178" s="19">
        <v>17712</v>
      </c>
      <c r="F178" s="17">
        <f t="shared" si="1"/>
        <v>124900</v>
      </c>
    </row>
    <row r="179" ht="15.75" spans="1:6">
      <c r="A179" s="75" t="s">
        <v>2464</v>
      </c>
      <c r="B179" s="93" t="s">
        <v>2467</v>
      </c>
      <c r="C179" s="72" t="s">
        <v>2468</v>
      </c>
      <c r="D179" s="17"/>
      <c r="E179" s="19">
        <v>24214</v>
      </c>
      <c r="F179" s="17">
        <f t="shared" si="1"/>
        <v>149114</v>
      </c>
    </row>
    <row r="180" ht="15.75" spans="1:6">
      <c r="A180" s="75" t="s">
        <v>2464</v>
      </c>
      <c r="B180" s="93" t="s">
        <v>2469</v>
      </c>
      <c r="C180" s="72" t="s">
        <v>2470</v>
      </c>
      <c r="D180" s="17"/>
      <c r="E180" s="19">
        <v>39079</v>
      </c>
      <c r="F180" s="17">
        <f t="shared" si="1"/>
        <v>188193</v>
      </c>
    </row>
    <row r="181" ht="15.75" spans="1:6">
      <c r="A181" s="75" t="s">
        <v>2464</v>
      </c>
      <c r="B181" s="93" t="s">
        <v>253</v>
      </c>
      <c r="C181" s="72" t="s">
        <v>157</v>
      </c>
      <c r="D181" s="17">
        <v>69300</v>
      </c>
      <c r="E181" s="19"/>
      <c r="F181" s="17">
        <f t="shared" si="1"/>
        <v>118893</v>
      </c>
    </row>
    <row r="182" ht="15.75" spans="1:6">
      <c r="A182" s="75" t="s">
        <v>2471</v>
      </c>
      <c r="B182" s="93">
        <v>558</v>
      </c>
      <c r="C182" s="72" t="s">
        <v>2472</v>
      </c>
      <c r="D182" s="17"/>
      <c r="E182" s="19">
        <v>8800</v>
      </c>
      <c r="F182" s="17">
        <f t="shared" si="1"/>
        <v>127693</v>
      </c>
    </row>
    <row r="183" ht="15.75" spans="1:6">
      <c r="A183" s="75">
        <v>45755</v>
      </c>
      <c r="B183" s="93" t="s">
        <v>2473</v>
      </c>
      <c r="C183" s="72" t="s">
        <v>2474</v>
      </c>
      <c r="D183" s="17"/>
      <c r="E183" s="19">
        <v>31439</v>
      </c>
      <c r="F183" s="17">
        <f t="shared" si="1"/>
        <v>159132</v>
      </c>
    </row>
    <row r="184" ht="15.75" spans="1:6">
      <c r="A184" s="75">
        <v>45846</v>
      </c>
      <c r="B184" s="93" t="s">
        <v>253</v>
      </c>
      <c r="C184" s="72" t="s">
        <v>157</v>
      </c>
      <c r="D184" s="17">
        <v>100000</v>
      </c>
      <c r="E184" s="19"/>
      <c r="F184" s="17">
        <f t="shared" si="1"/>
        <v>59132</v>
      </c>
    </row>
    <row r="185" ht="15.75" spans="1:6">
      <c r="A185" s="75">
        <v>45846</v>
      </c>
      <c r="B185" s="93" t="s">
        <v>2475</v>
      </c>
      <c r="C185" s="72" t="s">
        <v>2476</v>
      </c>
      <c r="D185" s="17"/>
      <c r="E185" s="19">
        <v>15498</v>
      </c>
      <c r="F185" s="17">
        <f t="shared" si="1"/>
        <v>74630</v>
      </c>
    </row>
    <row r="186" ht="15.75" spans="1:6">
      <c r="A186" s="75">
        <v>45846</v>
      </c>
      <c r="B186" s="93" t="s">
        <v>2477</v>
      </c>
      <c r="C186" s="72" t="s">
        <v>2474</v>
      </c>
      <c r="D186" s="17"/>
      <c r="E186" s="19">
        <v>47345</v>
      </c>
      <c r="F186" s="17">
        <f t="shared" si="1"/>
        <v>121975</v>
      </c>
    </row>
    <row r="187" ht="15.75" spans="1:6">
      <c r="A187" s="75">
        <v>45969</v>
      </c>
      <c r="B187" s="93" t="s">
        <v>2478</v>
      </c>
      <c r="C187" s="72" t="s">
        <v>2479</v>
      </c>
      <c r="D187" s="17"/>
      <c r="E187" s="19">
        <v>28044</v>
      </c>
      <c r="F187" s="17">
        <f t="shared" si="1"/>
        <v>150019</v>
      </c>
    </row>
    <row r="188" ht="15.75" spans="1:6">
      <c r="A188" s="75" t="s">
        <v>1609</v>
      </c>
      <c r="B188" s="93" t="s">
        <v>253</v>
      </c>
      <c r="C188" s="72" t="s">
        <v>157</v>
      </c>
      <c r="D188" s="17">
        <v>15500</v>
      </c>
      <c r="E188" s="19"/>
      <c r="F188" s="17">
        <f t="shared" si="1"/>
        <v>134519</v>
      </c>
    </row>
    <row r="189" ht="15.75" spans="1:6">
      <c r="A189" s="75" t="s">
        <v>2168</v>
      </c>
      <c r="B189" s="93" t="s">
        <v>2480</v>
      </c>
      <c r="C189" s="72" t="s">
        <v>232</v>
      </c>
      <c r="D189" s="17"/>
      <c r="E189" s="19">
        <v>25830</v>
      </c>
      <c r="F189" s="17">
        <f t="shared" si="1"/>
        <v>160349</v>
      </c>
    </row>
    <row r="190" ht="15.75" spans="1:6">
      <c r="A190" s="75" t="s">
        <v>2168</v>
      </c>
      <c r="B190" s="93" t="s">
        <v>253</v>
      </c>
      <c r="C190" s="72" t="s">
        <v>157</v>
      </c>
      <c r="D190" s="17">
        <v>50000</v>
      </c>
      <c r="E190" s="19"/>
      <c r="F190" s="17">
        <f t="shared" si="1"/>
        <v>110349</v>
      </c>
    </row>
    <row r="191" ht="15.75" spans="1:6">
      <c r="A191" s="75" t="s">
        <v>2481</v>
      </c>
      <c r="B191" s="93" t="s">
        <v>2482</v>
      </c>
      <c r="C191" s="72" t="s">
        <v>2483</v>
      </c>
      <c r="D191" s="17"/>
      <c r="E191" s="19">
        <v>19343</v>
      </c>
      <c r="F191" s="17">
        <f t="shared" si="1"/>
        <v>129692</v>
      </c>
    </row>
    <row r="192" ht="15.75" spans="1:6">
      <c r="A192" s="75" t="s">
        <v>2484</v>
      </c>
      <c r="B192" s="93" t="s">
        <v>2485</v>
      </c>
      <c r="C192" s="72" t="s">
        <v>2428</v>
      </c>
      <c r="D192" s="17"/>
      <c r="E192" s="19">
        <v>29358</v>
      </c>
      <c r="F192" s="17">
        <f t="shared" si="1"/>
        <v>159050</v>
      </c>
    </row>
    <row r="193" ht="15.75" spans="1:6">
      <c r="A193" s="18" t="s">
        <v>2046</v>
      </c>
      <c r="B193" s="108" t="s">
        <v>2486</v>
      </c>
      <c r="C193" s="17" t="s">
        <v>2459</v>
      </c>
      <c r="D193" s="17"/>
      <c r="E193" s="19">
        <v>16236</v>
      </c>
      <c r="F193" s="17">
        <f t="shared" si="1"/>
        <v>175286</v>
      </c>
    </row>
    <row r="194" ht="15.75" spans="1:6">
      <c r="A194" s="18" t="s">
        <v>2052</v>
      </c>
      <c r="B194" s="108" t="s">
        <v>2487</v>
      </c>
      <c r="C194" s="17" t="s">
        <v>915</v>
      </c>
      <c r="D194" s="17"/>
      <c r="E194" s="19">
        <v>500</v>
      </c>
      <c r="F194" s="17">
        <f t="shared" ref="F194:F268" si="2">F193-D194+E194</f>
        <v>175786</v>
      </c>
    </row>
    <row r="195" ht="15.75" spans="1:6">
      <c r="A195" s="18" t="s">
        <v>552</v>
      </c>
      <c r="B195" s="108" t="s">
        <v>253</v>
      </c>
      <c r="C195" s="17" t="s">
        <v>157</v>
      </c>
      <c r="D195" s="17">
        <v>50000</v>
      </c>
      <c r="E195" s="19"/>
      <c r="F195" s="17">
        <f t="shared" si="2"/>
        <v>125786</v>
      </c>
    </row>
    <row r="196" ht="15.75" spans="1:6">
      <c r="A196" s="18" t="s">
        <v>552</v>
      </c>
      <c r="B196" s="108" t="s">
        <v>2488</v>
      </c>
      <c r="C196" s="17" t="s">
        <v>2489</v>
      </c>
      <c r="D196" s="17"/>
      <c r="E196" s="19">
        <v>21402</v>
      </c>
      <c r="F196" s="17">
        <f t="shared" si="2"/>
        <v>147188</v>
      </c>
    </row>
    <row r="197" ht="15.75" spans="1:6">
      <c r="A197" s="18">
        <v>45697</v>
      </c>
      <c r="B197" s="108" t="s">
        <v>2490</v>
      </c>
      <c r="C197" s="17" t="s">
        <v>2491</v>
      </c>
      <c r="D197" s="17"/>
      <c r="E197" s="19">
        <v>16236</v>
      </c>
      <c r="F197" s="17">
        <f t="shared" si="2"/>
        <v>163424</v>
      </c>
    </row>
    <row r="198" ht="15.75" spans="1:6">
      <c r="A198" s="18">
        <v>45725</v>
      </c>
      <c r="B198" s="108" t="s">
        <v>2492</v>
      </c>
      <c r="C198" s="17" t="s">
        <v>2493</v>
      </c>
      <c r="D198" s="17"/>
      <c r="E198" s="19">
        <v>13863</v>
      </c>
      <c r="F198" s="17">
        <f t="shared" si="2"/>
        <v>177287</v>
      </c>
    </row>
    <row r="199" ht="15.75" spans="1:6">
      <c r="A199" s="18">
        <v>45725</v>
      </c>
      <c r="B199" s="108"/>
      <c r="C199" s="17" t="s">
        <v>157</v>
      </c>
      <c r="D199" s="17">
        <v>80000</v>
      </c>
      <c r="E199" s="19"/>
      <c r="F199" s="17">
        <f t="shared" si="2"/>
        <v>97287</v>
      </c>
    </row>
    <row r="200" ht="15.75" spans="1:6">
      <c r="A200" s="18">
        <v>45756</v>
      </c>
      <c r="B200" s="108" t="s">
        <v>2494</v>
      </c>
      <c r="C200" s="17" t="s">
        <v>2495</v>
      </c>
      <c r="D200" s="17"/>
      <c r="E200" s="19">
        <v>18486</v>
      </c>
      <c r="F200" s="17">
        <f t="shared" si="2"/>
        <v>115773</v>
      </c>
    </row>
    <row r="201" ht="15.75" spans="1:6">
      <c r="A201" s="18">
        <v>45756</v>
      </c>
      <c r="B201" s="108" t="s">
        <v>2496</v>
      </c>
      <c r="C201" s="17" t="s">
        <v>2459</v>
      </c>
      <c r="D201" s="17"/>
      <c r="E201" s="19">
        <v>29520</v>
      </c>
      <c r="F201" s="17">
        <f t="shared" si="2"/>
        <v>145293</v>
      </c>
    </row>
    <row r="202" ht="15.75" spans="1:6">
      <c r="A202" s="18">
        <v>45756</v>
      </c>
      <c r="B202" s="108" t="s">
        <v>253</v>
      </c>
      <c r="C202" s="17" t="s">
        <v>101</v>
      </c>
      <c r="D202" s="17">
        <v>30000</v>
      </c>
      <c r="E202" s="19"/>
      <c r="F202" s="17">
        <f t="shared" si="2"/>
        <v>115293</v>
      </c>
    </row>
    <row r="203" ht="15.75" spans="1:6">
      <c r="A203" s="18">
        <v>45939</v>
      </c>
      <c r="B203" s="93" t="s">
        <v>2497</v>
      </c>
      <c r="C203" s="17" t="s">
        <v>2498</v>
      </c>
      <c r="D203" s="17"/>
      <c r="E203" s="19">
        <v>18171</v>
      </c>
      <c r="F203" s="17">
        <f t="shared" si="2"/>
        <v>133464</v>
      </c>
    </row>
    <row r="204" ht="15.75" spans="1:6">
      <c r="A204" s="18">
        <v>45939</v>
      </c>
      <c r="B204" s="93" t="s">
        <v>253</v>
      </c>
      <c r="C204" s="17" t="s">
        <v>157</v>
      </c>
      <c r="D204" s="17">
        <v>110000</v>
      </c>
      <c r="E204" s="19"/>
      <c r="F204" s="17">
        <f t="shared" si="2"/>
        <v>23464</v>
      </c>
    </row>
    <row r="205" ht="15.75" spans="1:6">
      <c r="A205" s="18">
        <v>45939</v>
      </c>
      <c r="B205" s="93" t="s">
        <v>2499</v>
      </c>
      <c r="C205" s="17" t="s">
        <v>2500</v>
      </c>
      <c r="D205" s="19"/>
      <c r="E205" s="19">
        <v>78266</v>
      </c>
      <c r="F205" s="17">
        <f t="shared" si="2"/>
        <v>101730</v>
      </c>
    </row>
    <row r="206" ht="15.75" spans="1:6">
      <c r="A206" s="18">
        <v>45970</v>
      </c>
      <c r="B206" s="108" t="s">
        <v>2501</v>
      </c>
      <c r="C206" s="17" t="s">
        <v>2502</v>
      </c>
      <c r="D206" s="17"/>
      <c r="E206" s="19">
        <v>24003</v>
      </c>
      <c r="F206" s="17">
        <f t="shared" si="2"/>
        <v>125733</v>
      </c>
    </row>
    <row r="207" ht="15.75" spans="1:6">
      <c r="A207" s="18">
        <v>45970</v>
      </c>
      <c r="B207" s="108" t="s">
        <v>2503</v>
      </c>
      <c r="C207" s="17" t="s">
        <v>2474</v>
      </c>
      <c r="D207" s="17"/>
      <c r="E207" s="19">
        <v>11417</v>
      </c>
      <c r="F207" s="17">
        <f t="shared" si="2"/>
        <v>137150</v>
      </c>
    </row>
    <row r="208" ht="15.75" spans="1:6">
      <c r="A208" s="18">
        <v>45970</v>
      </c>
      <c r="B208" s="108" t="s">
        <v>2504</v>
      </c>
      <c r="C208" s="17" t="s">
        <v>2505</v>
      </c>
      <c r="D208" s="17"/>
      <c r="E208" s="19">
        <v>6500</v>
      </c>
      <c r="F208" s="17">
        <f t="shared" si="2"/>
        <v>143650</v>
      </c>
    </row>
    <row r="209" ht="15.75" spans="1:6">
      <c r="A209" s="18" t="s">
        <v>2061</v>
      </c>
      <c r="B209" s="108" t="s">
        <v>2506</v>
      </c>
      <c r="C209" s="17" t="s">
        <v>2461</v>
      </c>
      <c r="D209" s="17"/>
      <c r="E209" s="19">
        <v>50922</v>
      </c>
      <c r="F209" s="17">
        <f t="shared" si="2"/>
        <v>194572</v>
      </c>
    </row>
    <row r="210" ht="15.75" spans="1:6">
      <c r="A210" s="18" t="s">
        <v>2061</v>
      </c>
      <c r="B210" s="93" t="s">
        <v>253</v>
      </c>
      <c r="C210" s="19" t="s">
        <v>2507</v>
      </c>
      <c r="D210" s="17">
        <v>30000</v>
      </c>
      <c r="E210" s="19"/>
      <c r="F210" s="17">
        <f t="shared" si="2"/>
        <v>164572</v>
      </c>
    </row>
    <row r="211" ht="15.75" spans="1:6">
      <c r="A211" s="18" t="s">
        <v>2061</v>
      </c>
      <c r="B211" s="93" t="s">
        <v>253</v>
      </c>
      <c r="C211" s="17" t="s">
        <v>2507</v>
      </c>
      <c r="D211" s="17">
        <v>50000</v>
      </c>
      <c r="E211" s="19"/>
      <c r="F211" s="17">
        <f t="shared" si="2"/>
        <v>114572</v>
      </c>
    </row>
    <row r="212" ht="15.75" spans="1:6">
      <c r="A212" s="18" t="s">
        <v>2061</v>
      </c>
      <c r="B212" s="93" t="s">
        <v>2508</v>
      </c>
      <c r="C212" s="17" t="s">
        <v>2509</v>
      </c>
      <c r="D212" s="17"/>
      <c r="E212" s="19">
        <v>39960</v>
      </c>
      <c r="F212" s="17">
        <f t="shared" si="2"/>
        <v>154532</v>
      </c>
    </row>
    <row r="213" ht="15.75" spans="1:6">
      <c r="A213" s="18"/>
      <c r="B213" s="93" t="s">
        <v>2510</v>
      </c>
      <c r="C213" s="17" t="s">
        <v>2461</v>
      </c>
      <c r="D213" s="17"/>
      <c r="E213" s="19">
        <v>14760</v>
      </c>
      <c r="F213" s="17">
        <f t="shared" si="2"/>
        <v>169292</v>
      </c>
    </row>
    <row r="214" ht="15.75" spans="1:6">
      <c r="A214" s="18"/>
      <c r="B214" s="93" t="s">
        <v>253</v>
      </c>
      <c r="C214" s="17" t="s">
        <v>157</v>
      </c>
      <c r="D214" s="17">
        <v>5000</v>
      </c>
      <c r="E214" s="19"/>
      <c r="F214" s="17">
        <f t="shared" si="2"/>
        <v>164292</v>
      </c>
    </row>
    <row r="215" ht="15.75" spans="1:6">
      <c r="A215" s="18"/>
      <c r="B215" s="93" t="s">
        <v>253</v>
      </c>
      <c r="C215" s="17" t="s">
        <v>157</v>
      </c>
      <c r="D215" s="17">
        <v>10000</v>
      </c>
      <c r="E215" s="19"/>
      <c r="F215" s="17">
        <f t="shared" si="2"/>
        <v>154292</v>
      </c>
    </row>
    <row r="216" ht="15.75" spans="1:6">
      <c r="A216" s="18"/>
      <c r="B216" s="93" t="s">
        <v>253</v>
      </c>
      <c r="C216" s="17" t="s">
        <v>157</v>
      </c>
      <c r="D216" s="17">
        <v>50000</v>
      </c>
      <c r="E216" s="19"/>
      <c r="F216" s="17">
        <f t="shared" si="2"/>
        <v>104292</v>
      </c>
    </row>
    <row r="217" ht="15.75" spans="1:6">
      <c r="A217" s="18" t="s">
        <v>2511</v>
      </c>
      <c r="B217" s="93" t="s">
        <v>253</v>
      </c>
      <c r="C217" s="17" t="s">
        <v>157</v>
      </c>
      <c r="D217" s="17">
        <v>50000</v>
      </c>
      <c r="E217" s="19"/>
      <c r="F217" s="17">
        <f t="shared" si="2"/>
        <v>54292</v>
      </c>
    </row>
    <row r="218" ht="15.75" spans="1:6">
      <c r="A218" s="18" t="s">
        <v>2511</v>
      </c>
      <c r="B218" s="93" t="s">
        <v>2512</v>
      </c>
      <c r="C218" s="17" t="s">
        <v>2513</v>
      </c>
      <c r="D218" s="17"/>
      <c r="E218" s="19">
        <v>35182</v>
      </c>
      <c r="F218" s="17">
        <f t="shared" si="2"/>
        <v>89474</v>
      </c>
    </row>
    <row r="219" ht="15.75" spans="1:6">
      <c r="A219" s="18"/>
      <c r="B219" s="93" t="s">
        <v>2514</v>
      </c>
      <c r="C219" s="17" t="s">
        <v>2515</v>
      </c>
      <c r="D219" s="17"/>
      <c r="E219" s="19">
        <v>32400</v>
      </c>
      <c r="F219" s="17">
        <f t="shared" si="2"/>
        <v>121874</v>
      </c>
    </row>
    <row r="220" ht="15.75" spans="1:6">
      <c r="A220" s="18" t="s">
        <v>2074</v>
      </c>
      <c r="B220" s="93" t="s">
        <v>253</v>
      </c>
      <c r="C220" s="17" t="s">
        <v>101</v>
      </c>
      <c r="D220" s="17">
        <v>50000</v>
      </c>
      <c r="E220" s="19"/>
      <c r="F220" s="17">
        <f t="shared" si="2"/>
        <v>71874</v>
      </c>
    </row>
    <row r="221" ht="15.75" spans="1:6">
      <c r="A221" s="18" t="s">
        <v>2074</v>
      </c>
      <c r="B221" s="93" t="s">
        <v>2516</v>
      </c>
      <c r="C221" s="17" t="s">
        <v>1611</v>
      </c>
      <c r="D221" s="17"/>
      <c r="E221" s="19">
        <v>29358</v>
      </c>
      <c r="F221" s="17">
        <f t="shared" si="2"/>
        <v>101232</v>
      </c>
    </row>
    <row r="222" ht="15.75" spans="1:6">
      <c r="A222" s="18" t="s">
        <v>2078</v>
      </c>
      <c r="B222" s="93" t="s">
        <v>2517</v>
      </c>
      <c r="C222" s="17" t="s">
        <v>2518</v>
      </c>
      <c r="D222" s="17"/>
      <c r="E222" s="19">
        <v>42322</v>
      </c>
      <c r="F222" s="17">
        <f t="shared" si="2"/>
        <v>143554</v>
      </c>
    </row>
    <row r="223" ht="15.75" spans="1:6">
      <c r="A223" s="18" t="s">
        <v>2078</v>
      </c>
      <c r="B223" s="93" t="s">
        <v>253</v>
      </c>
      <c r="C223" s="17" t="s">
        <v>157</v>
      </c>
      <c r="D223" s="17">
        <v>50000</v>
      </c>
      <c r="E223" s="19"/>
      <c r="F223" s="17">
        <f t="shared" si="2"/>
        <v>93554</v>
      </c>
    </row>
    <row r="224" ht="15.75" spans="1:6">
      <c r="A224" s="18" t="s">
        <v>2519</v>
      </c>
      <c r="B224" s="93" t="s">
        <v>2520</v>
      </c>
      <c r="C224" s="17" t="s">
        <v>2509</v>
      </c>
      <c r="D224" s="17"/>
      <c r="E224" s="19">
        <v>29520</v>
      </c>
      <c r="F224" s="17">
        <f t="shared" si="2"/>
        <v>123074</v>
      </c>
    </row>
    <row r="225" ht="15.75" spans="1:6">
      <c r="A225" s="18" t="s">
        <v>2519</v>
      </c>
      <c r="B225" s="93" t="s">
        <v>253</v>
      </c>
      <c r="C225" s="17" t="s">
        <v>157</v>
      </c>
      <c r="D225" s="17">
        <v>31000</v>
      </c>
      <c r="E225" s="19"/>
      <c r="F225" s="17">
        <f t="shared" si="2"/>
        <v>92074</v>
      </c>
    </row>
    <row r="226" ht="15.75" spans="1:6">
      <c r="A226" s="18" t="s">
        <v>2235</v>
      </c>
      <c r="B226" s="93" t="s">
        <v>2521</v>
      </c>
      <c r="C226" s="17" t="s">
        <v>2522</v>
      </c>
      <c r="D226" s="19"/>
      <c r="E226" s="248">
        <v>37498</v>
      </c>
      <c r="F226" s="17">
        <f t="shared" si="2"/>
        <v>129572</v>
      </c>
    </row>
    <row r="227" ht="15.75" spans="1:6">
      <c r="A227" s="18" t="s">
        <v>2085</v>
      </c>
      <c r="B227" s="93" t="s">
        <v>2523</v>
      </c>
      <c r="C227" s="17" t="s">
        <v>2509</v>
      </c>
      <c r="D227" s="19"/>
      <c r="E227" s="19">
        <v>12546</v>
      </c>
      <c r="F227" s="17">
        <f t="shared" si="2"/>
        <v>142118</v>
      </c>
    </row>
    <row r="228" ht="15.75" spans="1:6">
      <c r="A228" s="18" t="s">
        <v>705</v>
      </c>
      <c r="B228" s="93" t="s">
        <v>253</v>
      </c>
      <c r="C228" s="17" t="s">
        <v>101</v>
      </c>
      <c r="D228" s="17">
        <v>61000</v>
      </c>
      <c r="E228" s="19"/>
      <c r="F228" s="17">
        <f t="shared" si="2"/>
        <v>81118</v>
      </c>
    </row>
    <row r="229" ht="15.75" spans="1:6">
      <c r="A229" s="18" t="s">
        <v>2524</v>
      </c>
      <c r="B229" s="93" t="s">
        <v>2525</v>
      </c>
      <c r="C229" s="17" t="s">
        <v>2526</v>
      </c>
      <c r="D229" s="17"/>
      <c r="E229" s="19">
        <v>44787</v>
      </c>
      <c r="F229" s="17">
        <f t="shared" si="2"/>
        <v>125905</v>
      </c>
    </row>
    <row r="230" ht="15.75" spans="1:6">
      <c r="A230" s="18">
        <v>45667</v>
      </c>
      <c r="B230" s="93" t="s">
        <v>253</v>
      </c>
      <c r="C230" s="17" t="s">
        <v>101</v>
      </c>
      <c r="D230" s="17">
        <v>35000</v>
      </c>
      <c r="E230" s="19"/>
      <c r="F230" s="17">
        <f t="shared" si="2"/>
        <v>90905</v>
      </c>
    </row>
    <row r="231" ht="15.75" spans="1:6">
      <c r="A231" s="18">
        <v>45757</v>
      </c>
      <c r="B231" s="93" t="s">
        <v>2527</v>
      </c>
      <c r="C231" s="17" t="s">
        <v>2509</v>
      </c>
      <c r="D231" s="17"/>
      <c r="E231" s="19">
        <v>30996</v>
      </c>
      <c r="F231" s="17">
        <f t="shared" si="2"/>
        <v>121901</v>
      </c>
    </row>
    <row r="232" ht="15.75" spans="1:6">
      <c r="A232" s="18">
        <v>45757</v>
      </c>
      <c r="B232" s="93" t="s">
        <v>253</v>
      </c>
      <c r="C232" s="17" t="s">
        <v>2528</v>
      </c>
      <c r="D232" s="17">
        <v>16000</v>
      </c>
      <c r="E232" s="19"/>
      <c r="F232" s="17">
        <f t="shared" si="2"/>
        <v>105901</v>
      </c>
    </row>
    <row r="233" ht="15.75" spans="1:6">
      <c r="A233" s="18"/>
      <c r="B233" s="93" t="s">
        <v>253</v>
      </c>
      <c r="C233" s="17" t="s">
        <v>101</v>
      </c>
      <c r="D233" s="17">
        <v>14000</v>
      </c>
      <c r="E233" s="19"/>
      <c r="F233" s="17">
        <f t="shared" si="2"/>
        <v>91901</v>
      </c>
    </row>
    <row r="234" ht="15.75" spans="1:6">
      <c r="A234" s="18">
        <v>45879</v>
      </c>
      <c r="B234" s="93" t="s">
        <v>2529</v>
      </c>
      <c r="C234" s="17" t="s">
        <v>2530</v>
      </c>
      <c r="D234" s="17"/>
      <c r="E234" s="19">
        <v>16310</v>
      </c>
      <c r="F234" s="17">
        <f t="shared" si="2"/>
        <v>108211</v>
      </c>
    </row>
    <row r="235" ht="15.75" spans="1:6">
      <c r="A235" s="18">
        <v>45910</v>
      </c>
      <c r="B235" s="93" t="s">
        <v>253</v>
      </c>
      <c r="C235" s="17" t="s">
        <v>157</v>
      </c>
      <c r="D235" s="17">
        <v>50000</v>
      </c>
      <c r="E235" s="19"/>
      <c r="F235" s="17">
        <f t="shared" si="2"/>
        <v>58211</v>
      </c>
    </row>
    <row r="236" ht="15.75" spans="1:6">
      <c r="A236" s="18"/>
      <c r="B236" s="93" t="s">
        <v>253</v>
      </c>
      <c r="C236" s="17" t="s">
        <v>157</v>
      </c>
      <c r="D236" s="17">
        <v>20000</v>
      </c>
      <c r="E236" s="19"/>
      <c r="F236" s="17">
        <f t="shared" si="2"/>
        <v>38211</v>
      </c>
    </row>
    <row r="237" ht="15.75" spans="1:6">
      <c r="A237" s="18">
        <v>45910</v>
      </c>
      <c r="B237" s="93" t="s">
        <v>2531</v>
      </c>
      <c r="C237" s="17" t="s">
        <v>2509</v>
      </c>
      <c r="D237" s="17"/>
      <c r="E237" s="19">
        <v>29520</v>
      </c>
      <c r="F237" s="17">
        <f t="shared" si="2"/>
        <v>67731</v>
      </c>
    </row>
    <row r="238" ht="15.75" spans="1:6">
      <c r="A238" s="18">
        <v>45971</v>
      </c>
      <c r="B238" s="93" t="s">
        <v>2532</v>
      </c>
      <c r="C238" s="17" t="s">
        <v>2509</v>
      </c>
      <c r="D238" s="17"/>
      <c r="E238" s="19">
        <v>30996</v>
      </c>
      <c r="F238" s="17">
        <f t="shared" si="2"/>
        <v>98727</v>
      </c>
    </row>
    <row r="239" ht="15.75" spans="1:6">
      <c r="A239" s="18">
        <v>45971</v>
      </c>
      <c r="B239" s="93" t="s">
        <v>253</v>
      </c>
      <c r="C239" s="17" t="s">
        <v>157</v>
      </c>
      <c r="D239" s="17">
        <v>30000</v>
      </c>
      <c r="E239" s="19"/>
      <c r="F239" s="17">
        <f t="shared" si="2"/>
        <v>68727</v>
      </c>
    </row>
    <row r="240" ht="15.75" spans="1:6">
      <c r="A240" s="18">
        <v>45971</v>
      </c>
      <c r="B240" s="93" t="s">
        <v>2533</v>
      </c>
      <c r="C240" s="17" t="s">
        <v>2530</v>
      </c>
      <c r="D240" s="17"/>
      <c r="E240" s="19">
        <v>3425</v>
      </c>
      <c r="F240" s="17">
        <f t="shared" si="2"/>
        <v>72152</v>
      </c>
    </row>
    <row r="241" ht="15.75" spans="1:6">
      <c r="A241" s="18" t="s">
        <v>2534</v>
      </c>
      <c r="B241" s="93" t="s">
        <v>253</v>
      </c>
      <c r="C241" s="17" t="s">
        <v>101</v>
      </c>
      <c r="D241" s="17">
        <v>50000</v>
      </c>
      <c r="E241" s="19"/>
      <c r="F241" s="17">
        <f t="shared" si="2"/>
        <v>22152</v>
      </c>
    </row>
    <row r="242" ht="15.75" spans="1:6">
      <c r="A242" s="18" t="s">
        <v>2534</v>
      </c>
      <c r="B242" s="93" t="s">
        <v>2535</v>
      </c>
      <c r="C242" s="17" t="s">
        <v>2509</v>
      </c>
      <c r="D242" s="17"/>
      <c r="E242" s="19">
        <v>17712</v>
      </c>
      <c r="F242" s="17">
        <f t="shared" si="2"/>
        <v>39864</v>
      </c>
    </row>
    <row r="243" ht="15.75" spans="1:6">
      <c r="A243" s="18" t="s">
        <v>2536</v>
      </c>
      <c r="B243" s="93" t="s">
        <v>2537</v>
      </c>
      <c r="C243" s="17" t="s">
        <v>2509</v>
      </c>
      <c r="D243" s="17"/>
      <c r="E243" s="19">
        <v>11070</v>
      </c>
      <c r="F243" s="17">
        <f t="shared" si="2"/>
        <v>50934</v>
      </c>
    </row>
    <row r="244" ht="15.75" spans="1:6">
      <c r="A244" s="18" t="s">
        <v>2290</v>
      </c>
      <c r="B244" s="93" t="s">
        <v>253</v>
      </c>
      <c r="C244" s="17" t="s">
        <v>157</v>
      </c>
      <c r="D244" s="17">
        <v>50000</v>
      </c>
      <c r="E244" s="19"/>
      <c r="F244" s="17">
        <f t="shared" si="2"/>
        <v>934</v>
      </c>
    </row>
    <row r="245" ht="15.75" spans="1:6">
      <c r="A245" s="18" t="s">
        <v>2290</v>
      </c>
      <c r="B245" s="93" t="s">
        <v>2538</v>
      </c>
      <c r="C245" s="17" t="s">
        <v>2539</v>
      </c>
      <c r="D245" s="17"/>
      <c r="E245" s="19">
        <v>41647</v>
      </c>
      <c r="F245" s="17">
        <f t="shared" si="2"/>
        <v>42581</v>
      </c>
    </row>
    <row r="246" ht="15.75" spans="1:6">
      <c r="A246" s="18" t="s">
        <v>2540</v>
      </c>
      <c r="B246" s="93" t="s">
        <v>2541</v>
      </c>
      <c r="C246" s="17" t="s">
        <v>2542</v>
      </c>
      <c r="D246" s="17"/>
      <c r="E246" s="19">
        <v>35700</v>
      </c>
      <c r="F246" s="17">
        <f t="shared" si="2"/>
        <v>78281</v>
      </c>
    </row>
    <row r="247" ht="15.75" spans="1:6">
      <c r="A247" s="18" t="s">
        <v>2293</v>
      </c>
      <c r="B247" s="93" t="s">
        <v>2543</v>
      </c>
      <c r="C247" s="17" t="s">
        <v>2544</v>
      </c>
      <c r="D247" s="17"/>
      <c r="E247" s="19">
        <v>1350</v>
      </c>
      <c r="F247" s="17">
        <f t="shared" si="2"/>
        <v>79631</v>
      </c>
    </row>
    <row r="248" ht="15.75" spans="1:6">
      <c r="A248" s="18" t="s">
        <v>2269</v>
      </c>
      <c r="B248" s="93" t="s">
        <v>2545</v>
      </c>
      <c r="C248" s="17" t="s">
        <v>2546</v>
      </c>
      <c r="D248" s="17"/>
      <c r="E248" s="19">
        <v>14760</v>
      </c>
      <c r="F248" s="17">
        <f t="shared" si="2"/>
        <v>94391</v>
      </c>
    </row>
    <row r="249" ht="15.75" spans="1:6">
      <c r="A249" s="18" t="s">
        <v>1755</v>
      </c>
      <c r="B249" s="93" t="s">
        <v>2547</v>
      </c>
      <c r="C249" s="17" t="s">
        <v>2546</v>
      </c>
      <c r="D249" s="17"/>
      <c r="E249" s="19">
        <v>16974</v>
      </c>
      <c r="F249" s="17">
        <f t="shared" si="2"/>
        <v>111365</v>
      </c>
    </row>
    <row r="250" ht="15.75" spans="1:6">
      <c r="A250" s="18" t="s">
        <v>1755</v>
      </c>
      <c r="B250" s="93" t="s">
        <v>253</v>
      </c>
      <c r="C250" s="17" t="s">
        <v>101</v>
      </c>
      <c r="D250" s="17">
        <v>50000</v>
      </c>
      <c r="E250" s="19"/>
      <c r="F250" s="17">
        <f t="shared" si="2"/>
        <v>61365</v>
      </c>
    </row>
    <row r="251" ht="15.75" spans="1:6">
      <c r="A251" s="18" t="s">
        <v>2548</v>
      </c>
      <c r="B251" s="93" t="s">
        <v>2549</v>
      </c>
      <c r="C251" s="17" t="s">
        <v>2513</v>
      </c>
      <c r="D251" s="17"/>
      <c r="E251" s="19">
        <v>33944</v>
      </c>
      <c r="F251" s="17">
        <f t="shared" si="2"/>
        <v>95309</v>
      </c>
    </row>
    <row r="252" ht="15.75" spans="1:6">
      <c r="A252" s="18" t="s">
        <v>2275</v>
      </c>
      <c r="B252" s="93" t="s">
        <v>2550</v>
      </c>
      <c r="C252" s="17" t="s">
        <v>2546</v>
      </c>
      <c r="D252" s="17"/>
      <c r="E252" s="19">
        <v>10332</v>
      </c>
      <c r="F252" s="17">
        <f t="shared" si="2"/>
        <v>105641</v>
      </c>
    </row>
    <row r="253" ht="15.75" spans="1:6">
      <c r="A253" s="18" t="s">
        <v>2551</v>
      </c>
      <c r="B253" s="93" t="s">
        <v>2552</v>
      </c>
      <c r="C253" s="17" t="s">
        <v>2553</v>
      </c>
      <c r="D253" s="17"/>
      <c r="E253" s="19">
        <v>26149</v>
      </c>
      <c r="F253" s="17">
        <f t="shared" si="2"/>
        <v>131790</v>
      </c>
    </row>
    <row r="254" ht="15.75" spans="1:6">
      <c r="A254" s="18" t="s">
        <v>2551</v>
      </c>
      <c r="B254" s="93" t="s">
        <v>253</v>
      </c>
      <c r="C254" s="17" t="s">
        <v>101</v>
      </c>
      <c r="D254" s="17">
        <v>35000</v>
      </c>
      <c r="E254" s="19"/>
      <c r="F254" s="17">
        <f t="shared" si="2"/>
        <v>96790</v>
      </c>
    </row>
    <row r="255" ht="15.75" spans="1:6">
      <c r="A255" s="18" t="s">
        <v>2551</v>
      </c>
      <c r="B255" s="93" t="s">
        <v>253</v>
      </c>
      <c r="C255" s="17" t="s">
        <v>157</v>
      </c>
      <c r="D255" s="17">
        <v>19500</v>
      </c>
      <c r="E255" s="19"/>
      <c r="F255" s="17">
        <f t="shared" si="2"/>
        <v>77290</v>
      </c>
    </row>
    <row r="256" ht="15.75" spans="1:6">
      <c r="A256" s="18">
        <v>45668</v>
      </c>
      <c r="B256" s="93" t="s">
        <v>2554</v>
      </c>
      <c r="C256" s="17" t="s">
        <v>2546</v>
      </c>
      <c r="D256" s="17"/>
      <c r="E256" s="19">
        <v>14760</v>
      </c>
      <c r="F256" s="17">
        <f t="shared" si="2"/>
        <v>92050</v>
      </c>
    </row>
    <row r="257" ht="15.75" spans="1:6">
      <c r="A257" s="18">
        <v>45758</v>
      </c>
      <c r="B257" s="93" t="s">
        <v>253</v>
      </c>
      <c r="C257" s="17" t="s">
        <v>101</v>
      </c>
      <c r="D257" s="17">
        <v>30000</v>
      </c>
      <c r="E257" s="19"/>
      <c r="F257" s="17">
        <f t="shared" si="2"/>
        <v>62050</v>
      </c>
    </row>
    <row r="258" ht="15.75" spans="1:6">
      <c r="A258" s="18">
        <v>45758</v>
      </c>
      <c r="B258" s="93" t="s">
        <v>2555</v>
      </c>
      <c r="C258" s="17" t="s">
        <v>2546</v>
      </c>
      <c r="D258" s="17"/>
      <c r="E258" s="19">
        <v>7380</v>
      </c>
      <c r="F258" s="17">
        <f t="shared" si="2"/>
        <v>69430</v>
      </c>
    </row>
    <row r="259" ht="15.75" spans="1:6">
      <c r="A259" s="18">
        <v>45758</v>
      </c>
      <c r="B259" s="93" t="s">
        <v>2556</v>
      </c>
      <c r="C259" s="17" t="s">
        <v>2546</v>
      </c>
      <c r="D259" s="17"/>
      <c r="E259" s="19">
        <v>18450</v>
      </c>
      <c r="F259" s="17">
        <f t="shared" si="2"/>
        <v>87880</v>
      </c>
    </row>
    <row r="260" ht="15.75" spans="1:6">
      <c r="A260" s="18">
        <v>45788</v>
      </c>
      <c r="B260" s="93" t="s">
        <v>2557</v>
      </c>
      <c r="C260" s="17" t="s">
        <v>1611</v>
      </c>
      <c r="D260" s="17"/>
      <c r="E260" s="19">
        <v>12232</v>
      </c>
      <c r="F260" s="17">
        <f t="shared" si="2"/>
        <v>100112</v>
      </c>
    </row>
    <row r="261" ht="15.75" spans="1:6">
      <c r="A261" s="18">
        <v>45819</v>
      </c>
      <c r="B261" s="93" t="s">
        <v>2558</v>
      </c>
      <c r="C261" s="17" t="s">
        <v>2530</v>
      </c>
      <c r="D261" s="17"/>
      <c r="E261" s="19">
        <v>20387</v>
      </c>
      <c r="F261" s="17">
        <f t="shared" si="2"/>
        <v>120499</v>
      </c>
    </row>
    <row r="262" ht="15.75" spans="1:6">
      <c r="A262" s="18">
        <v>45819</v>
      </c>
      <c r="B262" s="93" t="s">
        <v>253</v>
      </c>
      <c r="C262" s="17" t="s">
        <v>2559</v>
      </c>
      <c r="D262" s="17">
        <v>70000</v>
      </c>
      <c r="E262" s="19"/>
      <c r="F262" s="17">
        <f t="shared" si="2"/>
        <v>50499</v>
      </c>
    </row>
    <row r="263" ht="15.75" spans="1:6">
      <c r="A263" s="18">
        <v>45880</v>
      </c>
      <c r="B263" s="93" t="s">
        <v>2560</v>
      </c>
      <c r="C263" s="17" t="s">
        <v>2522</v>
      </c>
      <c r="D263" s="17"/>
      <c r="E263" s="19">
        <v>30996</v>
      </c>
      <c r="F263" s="17">
        <f t="shared" si="2"/>
        <v>81495</v>
      </c>
    </row>
    <row r="264" ht="15.75" spans="1:6">
      <c r="A264" s="18">
        <v>45941</v>
      </c>
      <c r="B264" s="93" t="s">
        <v>2561</v>
      </c>
      <c r="C264" s="17" t="s">
        <v>2461</v>
      </c>
      <c r="D264" s="17"/>
      <c r="E264" s="19">
        <v>30996</v>
      </c>
      <c r="F264" s="17">
        <f t="shared" ref="F264:F286" si="3">F263-D264+E264</f>
        <v>112491</v>
      </c>
    </row>
    <row r="265" ht="15.75" spans="1:6">
      <c r="A265" s="18">
        <v>45972</v>
      </c>
      <c r="B265" s="93" t="s">
        <v>2562</v>
      </c>
      <c r="C265" s="17" t="s">
        <v>2563</v>
      </c>
      <c r="D265" s="17"/>
      <c r="E265" s="19">
        <v>53380</v>
      </c>
      <c r="F265" s="17">
        <f t="shared" si="3"/>
        <v>165871</v>
      </c>
    </row>
    <row r="266" ht="15.75" spans="1:6">
      <c r="A266" s="18">
        <v>46002</v>
      </c>
      <c r="B266" s="93" t="s">
        <v>253</v>
      </c>
      <c r="C266" s="17" t="s">
        <v>2564</v>
      </c>
      <c r="D266" s="17">
        <v>50000</v>
      </c>
      <c r="E266" s="19"/>
      <c r="F266" s="17">
        <f t="shared" si="3"/>
        <v>115871</v>
      </c>
    </row>
    <row r="267" ht="15.75" spans="1:6">
      <c r="A267" s="18" t="s">
        <v>2565</v>
      </c>
      <c r="B267" s="93" t="s">
        <v>2566</v>
      </c>
      <c r="C267" s="17" t="s">
        <v>2567</v>
      </c>
      <c r="D267" s="17"/>
      <c r="E267" s="19">
        <v>31734</v>
      </c>
      <c r="F267" s="17">
        <f t="shared" si="3"/>
        <v>147605</v>
      </c>
    </row>
    <row r="268" ht="15.75" spans="1:6">
      <c r="A268" s="18" t="s">
        <v>2565</v>
      </c>
      <c r="B268" s="93" t="s">
        <v>253</v>
      </c>
      <c r="C268" s="17" t="s">
        <v>694</v>
      </c>
      <c r="D268" s="17">
        <v>50000</v>
      </c>
      <c r="E268" s="19"/>
      <c r="F268" s="17">
        <f t="shared" si="3"/>
        <v>97605</v>
      </c>
    </row>
    <row r="269" ht="15.75" spans="1:6">
      <c r="A269" s="18" t="s">
        <v>2568</v>
      </c>
      <c r="B269" s="93" t="s">
        <v>2569</v>
      </c>
      <c r="C269" s="17" t="s">
        <v>2500</v>
      </c>
      <c r="D269" s="17"/>
      <c r="E269" s="19">
        <v>11417</v>
      </c>
      <c r="F269" s="17">
        <f t="shared" si="3"/>
        <v>109022</v>
      </c>
    </row>
    <row r="270" ht="15.75" spans="1:6">
      <c r="A270" s="18" t="s">
        <v>2570</v>
      </c>
      <c r="B270" s="93" t="s">
        <v>2571</v>
      </c>
      <c r="C270" s="17" t="s">
        <v>155</v>
      </c>
      <c r="D270" s="17"/>
      <c r="E270" s="19">
        <v>13804</v>
      </c>
      <c r="F270" s="17">
        <f t="shared" si="3"/>
        <v>122826</v>
      </c>
    </row>
    <row r="271" ht="15.75" spans="1:6">
      <c r="A271" s="18" t="s">
        <v>2570</v>
      </c>
      <c r="B271" s="93" t="s">
        <v>2572</v>
      </c>
      <c r="C271" s="17" t="s">
        <v>2567</v>
      </c>
      <c r="D271" s="17"/>
      <c r="E271" s="19">
        <v>17712</v>
      </c>
      <c r="F271" s="17">
        <f t="shared" si="3"/>
        <v>140538</v>
      </c>
    </row>
    <row r="272" ht="15.75" spans="1:6">
      <c r="A272" s="18" t="s">
        <v>2573</v>
      </c>
      <c r="B272" s="93" t="s">
        <v>253</v>
      </c>
      <c r="C272" s="17" t="s">
        <v>694</v>
      </c>
      <c r="D272" s="17">
        <v>110000</v>
      </c>
      <c r="E272" s="19"/>
      <c r="F272" s="17">
        <f t="shared" si="3"/>
        <v>30538</v>
      </c>
    </row>
    <row r="273" ht="15.75" spans="1:6">
      <c r="A273" s="18" t="s">
        <v>2574</v>
      </c>
      <c r="B273" s="93" t="s">
        <v>2575</v>
      </c>
      <c r="C273" s="17" t="s">
        <v>2461</v>
      </c>
      <c r="D273" s="17"/>
      <c r="E273" s="19">
        <v>17712</v>
      </c>
      <c r="F273" s="17">
        <f t="shared" si="3"/>
        <v>48250</v>
      </c>
    </row>
    <row r="274" ht="15.75" spans="1:6">
      <c r="A274" s="18" t="s">
        <v>2573</v>
      </c>
      <c r="B274" s="93" t="s">
        <v>2576</v>
      </c>
      <c r="C274" s="17" t="s">
        <v>2461</v>
      </c>
      <c r="D274" s="17"/>
      <c r="E274" s="19">
        <v>11070</v>
      </c>
      <c r="F274" s="17">
        <f t="shared" si="3"/>
        <v>59320</v>
      </c>
    </row>
    <row r="275" ht="15.75" spans="1:6">
      <c r="A275" s="18" t="s">
        <v>2297</v>
      </c>
      <c r="B275" s="93" t="s">
        <v>2577</v>
      </c>
      <c r="C275" s="17" t="s">
        <v>2495</v>
      </c>
      <c r="D275" s="17"/>
      <c r="E275" s="19">
        <v>65876</v>
      </c>
      <c r="F275" s="17">
        <f t="shared" si="3"/>
        <v>125196</v>
      </c>
    </row>
    <row r="276" ht="15.75" spans="1:6">
      <c r="A276" s="18" t="s">
        <v>2578</v>
      </c>
      <c r="B276" s="93" t="s">
        <v>2579</v>
      </c>
      <c r="C276" s="17" t="s">
        <v>2461</v>
      </c>
      <c r="D276" s="17"/>
      <c r="E276" s="19">
        <v>17712</v>
      </c>
      <c r="F276" s="17">
        <f t="shared" si="3"/>
        <v>142908</v>
      </c>
    </row>
    <row r="277" ht="15.75" spans="1:6">
      <c r="A277" s="18" t="s">
        <v>2580</v>
      </c>
      <c r="B277" s="93" t="s">
        <v>253</v>
      </c>
      <c r="C277" s="17" t="s">
        <v>2581</v>
      </c>
      <c r="D277" s="17">
        <v>20000</v>
      </c>
      <c r="E277" s="19"/>
      <c r="F277" s="17">
        <f t="shared" ref="F277:F286" si="4">F276-D277+E277</f>
        <v>122908</v>
      </c>
    </row>
    <row r="278" ht="15.75" spans="1:6">
      <c r="A278" s="18" t="s">
        <v>2580</v>
      </c>
      <c r="B278" s="93" t="s">
        <v>253</v>
      </c>
      <c r="C278" s="17" t="s">
        <v>694</v>
      </c>
      <c r="D278" s="17">
        <v>50000</v>
      </c>
      <c r="E278" s="19"/>
      <c r="F278" s="17">
        <f t="shared" si="4"/>
        <v>72908</v>
      </c>
    </row>
    <row r="279" ht="15.75" spans="1:6">
      <c r="A279" s="18" t="s">
        <v>2582</v>
      </c>
      <c r="B279" s="93" t="s">
        <v>2583</v>
      </c>
      <c r="C279" s="17" t="s">
        <v>2461</v>
      </c>
      <c r="D279" s="17"/>
      <c r="E279" s="19">
        <v>27306</v>
      </c>
      <c r="F279" s="17">
        <f t="shared" si="4"/>
        <v>100214</v>
      </c>
    </row>
    <row r="280" ht="15.75" spans="1:6">
      <c r="A280" s="18">
        <v>45700</v>
      </c>
      <c r="B280" s="93" t="s">
        <v>2584</v>
      </c>
      <c r="C280" s="17" t="s">
        <v>2585</v>
      </c>
      <c r="D280" s="17"/>
      <c r="E280" s="19">
        <v>3000</v>
      </c>
      <c r="F280" s="17">
        <f t="shared" si="4"/>
        <v>103214</v>
      </c>
    </row>
    <row r="281" ht="15.75" spans="1:6">
      <c r="A281" s="18">
        <v>45728</v>
      </c>
      <c r="B281" s="93" t="s">
        <v>253</v>
      </c>
      <c r="C281" s="17" t="s">
        <v>694</v>
      </c>
      <c r="D281" s="17">
        <v>50000</v>
      </c>
      <c r="E281" s="19"/>
      <c r="F281" s="17">
        <f t="shared" si="4"/>
        <v>53214</v>
      </c>
    </row>
    <row r="282" ht="15.75" spans="1:6">
      <c r="A282" s="18">
        <v>45759</v>
      </c>
      <c r="B282" s="93" t="s">
        <v>2586</v>
      </c>
      <c r="C282" s="17" t="s">
        <v>2587</v>
      </c>
      <c r="D282" s="17"/>
      <c r="E282" s="19">
        <v>28052</v>
      </c>
      <c r="F282" s="17">
        <f t="shared" si="4"/>
        <v>81266</v>
      </c>
    </row>
    <row r="283" ht="15.75" spans="1:6">
      <c r="A283" s="18">
        <v>45820</v>
      </c>
      <c r="B283" s="93" t="s">
        <v>2588</v>
      </c>
      <c r="C283" s="17" t="s">
        <v>2495</v>
      </c>
      <c r="D283" s="17"/>
      <c r="E283" s="19">
        <v>34872</v>
      </c>
      <c r="F283" s="17">
        <f t="shared" si="4"/>
        <v>116138</v>
      </c>
    </row>
    <row r="284" ht="15.75" spans="1:6">
      <c r="A284" s="18">
        <v>45820</v>
      </c>
      <c r="B284" s="93" t="s">
        <v>253</v>
      </c>
      <c r="C284" s="17" t="s">
        <v>694</v>
      </c>
      <c r="D284" s="17">
        <v>50000</v>
      </c>
      <c r="E284" s="19"/>
      <c r="F284" s="17">
        <f t="shared" ref="F284:F296" si="5">F283-D284+E284</f>
        <v>66138</v>
      </c>
    </row>
    <row r="285" ht="15.75" spans="1:6">
      <c r="A285" s="18">
        <v>45942</v>
      </c>
      <c r="B285" s="93" t="s">
        <v>2589</v>
      </c>
      <c r="C285" s="17" t="s">
        <v>2461</v>
      </c>
      <c r="D285" s="17"/>
      <c r="E285" s="19">
        <v>30996</v>
      </c>
      <c r="F285" s="17">
        <f t="shared" si="5"/>
        <v>97134</v>
      </c>
    </row>
    <row r="286" ht="15.75" spans="1:6">
      <c r="A286" s="18">
        <v>45973</v>
      </c>
      <c r="B286" s="93" t="s">
        <v>2590</v>
      </c>
      <c r="C286" s="17" t="s">
        <v>2591</v>
      </c>
      <c r="D286" s="17"/>
      <c r="E286" s="19">
        <v>37380</v>
      </c>
      <c r="F286" s="17">
        <f t="shared" si="5"/>
        <v>134514</v>
      </c>
    </row>
    <row r="287" ht="15.75" spans="1:6">
      <c r="A287" s="18" t="s">
        <v>2592</v>
      </c>
      <c r="B287" s="93" t="s">
        <v>2593</v>
      </c>
      <c r="C287" s="17" t="s">
        <v>2456</v>
      </c>
      <c r="D287" s="17"/>
      <c r="E287" s="19">
        <v>33348</v>
      </c>
      <c r="F287" s="17">
        <f t="shared" si="5"/>
        <v>167862</v>
      </c>
    </row>
    <row r="288" ht="15.75" spans="1:6">
      <c r="A288" s="18" t="s">
        <v>2594</v>
      </c>
      <c r="B288" s="93" t="s">
        <v>253</v>
      </c>
      <c r="C288" s="17" t="s">
        <v>2564</v>
      </c>
      <c r="D288" s="17">
        <v>65000</v>
      </c>
      <c r="E288" s="19"/>
      <c r="F288" s="17">
        <f t="shared" si="5"/>
        <v>102862</v>
      </c>
    </row>
    <row r="289" ht="15.75" spans="1:6">
      <c r="A289" s="18" t="s">
        <v>2595</v>
      </c>
      <c r="B289" s="93" t="s">
        <v>2596</v>
      </c>
      <c r="C289" s="17" t="s">
        <v>2461</v>
      </c>
      <c r="D289" s="17"/>
      <c r="E289" s="19">
        <v>31374</v>
      </c>
      <c r="F289" s="17">
        <f t="shared" si="5"/>
        <v>134236</v>
      </c>
    </row>
    <row r="290" ht="15.75" spans="1:6">
      <c r="A290" s="18" t="s">
        <v>2595</v>
      </c>
      <c r="B290" s="93" t="s">
        <v>253</v>
      </c>
      <c r="C290" s="17" t="s">
        <v>2564</v>
      </c>
      <c r="D290" s="17">
        <v>35000</v>
      </c>
      <c r="E290" s="19"/>
      <c r="F290" s="17">
        <f t="shared" si="5"/>
        <v>99236</v>
      </c>
    </row>
    <row r="291" ht="15.75" spans="1:6">
      <c r="A291" s="18" t="s">
        <v>2595</v>
      </c>
      <c r="B291" s="93" t="s">
        <v>253</v>
      </c>
      <c r="C291" s="17" t="s">
        <v>694</v>
      </c>
      <c r="D291" s="17">
        <v>15000</v>
      </c>
      <c r="E291" s="19"/>
      <c r="F291" s="17">
        <f t="shared" si="5"/>
        <v>84236</v>
      </c>
    </row>
    <row r="292" ht="15.75" spans="1:6">
      <c r="A292" s="18" t="s">
        <v>2597</v>
      </c>
      <c r="B292" s="93" t="s">
        <v>2598</v>
      </c>
      <c r="C292" s="17" t="s">
        <v>2513</v>
      </c>
      <c r="D292" s="17"/>
      <c r="E292" s="19">
        <v>18822</v>
      </c>
      <c r="F292" s="17">
        <f t="shared" si="5"/>
        <v>103058</v>
      </c>
    </row>
    <row r="293" ht="15.75" spans="1:6">
      <c r="A293" s="18" t="s">
        <v>2597</v>
      </c>
      <c r="B293" s="93" t="s">
        <v>2599</v>
      </c>
      <c r="C293" s="17" t="s">
        <v>2461</v>
      </c>
      <c r="D293" s="17"/>
      <c r="E293" s="19">
        <v>26568</v>
      </c>
      <c r="F293" s="17">
        <f t="shared" si="5"/>
        <v>129626</v>
      </c>
    </row>
    <row r="294" ht="15.75" spans="1:6">
      <c r="A294" s="18" t="s">
        <v>2597</v>
      </c>
      <c r="B294" s="93" t="s">
        <v>253</v>
      </c>
      <c r="C294" s="17" t="s">
        <v>157</v>
      </c>
      <c r="D294" s="17">
        <v>30000</v>
      </c>
      <c r="E294" s="19"/>
      <c r="F294" s="17">
        <f t="shared" ref="F294:F306" si="6">F293-D294+E294</f>
        <v>99626</v>
      </c>
    </row>
    <row r="295" ht="15.75" spans="1:6">
      <c r="A295" s="18" t="s">
        <v>2600</v>
      </c>
      <c r="B295" s="93" t="s">
        <v>2601</v>
      </c>
      <c r="C295" s="17" t="s">
        <v>2602</v>
      </c>
      <c r="D295" s="17"/>
      <c r="E295" s="19">
        <v>30996</v>
      </c>
      <c r="F295" s="17">
        <f t="shared" si="6"/>
        <v>130622</v>
      </c>
    </row>
    <row r="296" ht="15.75" spans="1:6">
      <c r="A296" s="18" t="s">
        <v>2600</v>
      </c>
      <c r="B296" s="93" t="s">
        <v>2603</v>
      </c>
      <c r="C296" s="17" t="s">
        <v>2604</v>
      </c>
      <c r="D296" s="17"/>
      <c r="E296" s="19">
        <v>9200</v>
      </c>
      <c r="F296" s="17">
        <f t="shared" si="6"/>
        <v>139822</v>
      </c>
    </row>
    <row r="297" ht="15.75" spans="1:6">
      <c r="A297" s="18" t="s">
        <v>2605</v>
      </c>
      <c r="B297" s="93" t="s">
        <v>253</v>
      </c>
      <c r="C297" s="17" t="s">
        <v>2564</v>
      </c>
      <c r="D297" s="17">
        <v>70000</v>
      </c>
      <c r="E297" s="19"/>
      <c r="F297" s="17">
        <f t="shared" si="6"/>
        <v>69822</v>
      </c>
    </row>
    <row r="298" ht="15.75" spans="1:6">
      <c r="A298" s="18" t="s">
        <v>2606</v>
      </c>
      <c r="B298" s="93" t="s">
        <v>2607</v>
      </c>
      <c r="C298" s="17" t="s">
        <v>2461</v>
      </c>
      <c r="D298" s="17"/>
      <c r="E298" s="19">
        <v>30996</v>
      </c>
      <c r="F298" s="17">
        <f t="shared" si="6"/>
        <v>100818</v>
      </c>
    </row>
    <row r="299" ht="15.75" spans="1:6">
      <c r="A299" s="18" t="s">
        <v>2606</v>
      </c>
      <c r="B299" s="93" t="s">
        <v>2608</v>
      </c>
      <c r="C299" s="17" t="s">
        <v>155</v>
      </c>
      <c r="D299" s="17"/>
      <c r="E299" s="19">
        <v>6496</v>
      </c>
      <c r="F299" s="17">
        <f t="shared" si="6"/>
        <v>107314</v>
      </c>
    </row>
    <row r="300" ht="15.75" spans="1:6">
      <c r="A300" s="18" t="s">
        <v>595</v>
      </c>
      <c r="B300" s="93" t="s">
        <v>2609</v>
      </c>
      <c r="C300" s="17" t="s">
        <v>2610</v>
      </c>
      <c r="D300" s="17"/>
      <c r="E300" s="19">
        <v>37456</v>
      </c>
      <c r="F300" s="17">
        <f t="shared" si="6"/>
        <v>144770</v>
      </c>
    </row>
    <row r="301" ht="15.75" spans="1:6">
      <c r="A301" s="18" t="s">
        <v>595</v>
      </c>
      <c r="B301" s="93" t="s">
        <v>253</v>
      </c>
      <c r="C301" s="17" t="s">
        <v>694</v>
      </c>
      <c r="D301" s="17">
        <v>40000</v>
      </c>
      <c r="E301" s="19"/>
      <c r="F301" s="17">
        <f t="shared" si="6"/>
        <v>104770</v>
      </c>
    </row>
    <row r="302" ht="15.75" spans="1:6">
      <c r="A302" s="18">
        <v>46082</v>
      </c>
      <c r="B302" s="93" t="s">
        <v>2611</v>
      </c>
      <c r="C302" s="17" t="s">
        <v>2500</v>
      </c>
      <c r="D302" s="17"/>
      <c r="E302" s="19">
        <v>28048</v>
      </c>
      <c r="F302" s="17">
        <f t="shared" ref="F302:F316" si="7">F301-D302+E302</f>
        <v>132818</v>
      </c>
    </row>
    <row r="303" ht="15.75" spans="1:6">
      <c r="A303" s="18">
        <v>46082</v>
      </c>
      <c r="B303" s="93" t="s">
        <v>2612</v>
      </c>
      <c r="C303" s="17" t="s">
        <v>2613</v>
      </c>
      <c r="D303" s="17"/>
      <c r="E303" s="19">
        <v>8800</v>
      </c>
      <c r="F303" s="17">
        <f t="shared" si="7"/>
        <v>141618</v>
      </c>
    </row>
    <row r="304" ht="15.75" spans="1:6">
      <c r="A304" s="18">
        <v>46082</v>
      </c>
      <c r="B304" s="93" t="s">
        <v>253</v>
      </c>
      <c r="C304" s="17" t="s">
        <v>2614</v>
      </c>
      <c r="D304" s="17">
        <v>50000</v>
      </c>
      <c r="E304" s="19"/>
      <c r="F304" s="17">
        <f t="shared" si="7"/>
        <v>91618</v>
      </c>
    </row>
    <row r="305" ht="15.75" spans="1:6">
      <c r="A305" s="18">
        <v>46174</v>
      </c>
      <c r="B305" s="93" t="s">
        <v>2615</v>
      </c>
      <c r="C305" s="17" t="s">
        <v>2616</v>
      </c>
      <c r="D305" s="17"/>
      <c r="E305" s="19">
        <v>33156</v>
      </c>
      <c r="F305" s="17">
        <f t="shared" si="7"/>
        <v>124774</v>
      </c>
    </row>
    <row r="306" ht="15.75" spans="1:6">
      <c r="A306" s="18">
        <v>46174</v>
      </c>
      <c r="B306" s="93" t="s">
        <v>2617</v>
      </c>
      <c r="C306" s="17" t="s">
        <v>2618</v>
      </c>
      <c r="D306" s="17"/>
      <c r="E306" s="19">
        <v>23900</v>
      </c>
      <c r="F306" s="17">
        <f t="shared" si="7"/>
        <v>148674</v>
      </c>
    </row>
    <row r="307" ht="15.75" spans="1:6">
      <c r="A307" s="18">
        <v>46174</v>
      </c>
      <c r="B307" s="93" t="s">
        <v>253</v>
      </c>
      <c r="C307" s="17" t="s">
        <v>694</v>
      </c>
      <c r="D307" s="17">
        <v>45000</v>
      </c>
      <c r="E307" s="19"/>
      <c r="F307" s="17">
        <f t="shared" si="7"/>
        <v>103674</v>
      </c>
    </row>
    <row r="308" ht="15.75" spans="1:6">
      <c r="A308" s="18">
        <v>46174</v>
      </c>
      <c r="B308" s="93" t="s">
        <v>253</v>
      </c>
      <c r="C308" s="17" t="s">
        <v>2619</v>
      </c>
      <c r="D308" s="17">
        <v>5000</v>
      </c>
      <c r="E308" s="19"/>
      <c r="F308" s="17">
        <f t="shared" si="7"/>
        <v>98674</v>
      </c>
    </row>
    <row r="309" ht="15.75" spans="1:6">
      <c r="A309" s="18">
        <v>46204</v>
      </c>
      <c r="B309" s="93" t="s">
        <v>2620</v>
      </c>
      <c r="C309" s="17" t="s">
        <v>648</v>
      </c>
      <c r="D309" s="17"/>
      <c r="E309" s="19">
        <v>2984</v>
      </c>
      <c r="F309" s="17">
        <f t="shared" si="7"/>
        <v>101658</v>
      </c>
    </row>
    <row r="310" ht="15.75" spans="1:6">
      <c r="A310" s="18">
        <v>46235</v>
      </c>
      <c r="B310" s="93" t="s">
        <v>2621</v>
      </c>
      <c r="C310" s="17" t="s">
        <v>2495</v>
      </c>
      <c r="D310" s="17"/>
      <c r="E310" s="19">
        <v>34872</v>
      </c>
      <c r="F310" s="17">
        <f t="shared" si="7"/>
        <v>136530</v>
      </c>
    </row>
    <row r="311" ht="15.75" spans="1:6">
      <c r="A311" s="18" t="s">
        <v>1314</v>
      </c>
      <c r="B311" s="93" t="s">
        <v>2622</v>
      </c>
      <c r="C311" s="17" t="s">
        <v>2461</v>
      </c>
      <c r="D311" s="17"/>
      <c r="E311" s="19">
        <v>14760</v>
      </c>
      <c r="F311" s="17">
        <f t="shared" si="7"/>
        <v>151290</v>
      </c>
    </row>
    <row r="312" ht="15.75" spans="1:6">
      <c r="A312" s="18" t="s">
        <v>1314</v>
      </c>
      <c r="B312" s="93" t="s">
        <v>2623</v>
      </c>
      <c r="C312" s="17" t="s">
        <v>2461</v>
      </c>
      <c r="D312" s="17"/>
      <c r="E312" s="19">
        <v>22140</v>
      </c>
      <c r="F312" s="17">
        <f t="shared" si="7"/>
        <v>173430</v>
      </c>
    </row>
    <row r="313" ht="15.75" spans="1:6">
      <c r="A313" s="18" t="s">
        <v>1314</v>
      </c>
      <c r="B313" s="93" t="s">
        <v>253</v>
      </c>
      <c r="C313" s="17" t="s">
        <v>694</v>
      </c>
      <c r="D313" s="17">
        <v>80000</v>
      </c>
      <c r="E313" s="19"/>
      <c r="F313" s="17">
        <f t="shared" si="7"/>
        <v>93430</v>
      </c>
    </row>
    <row r="314" ht="15.75" spans="1:6">
      <c r="A314" s="18" t="s">
        <v>2624</v>
      </c>
      <c r="B314" s="93" t="s">
        <v>2625</v>
      </c>
      <c r="C314" s="17" t="s">
        <v>2500</v>
      </c>
      <c r="D314" s="17"/>
      <c r="E314" s="19">
        <v>33582</v>
      </c>
      <c r="F314" s="17">
        <f t="shared" ref="F314:F326" si="8">F313-D314+E314</f>
        <v>127012</v>
      </c>
    </row>
    <row r="315" ht="15.75" spans="1:6">
      <c r="A315" s="18" t="s">
        <v>2626</v>
      </c>
      <c r="B315" s="93" t="s">
        <v>253</v>
      </c>
      <c r="C315" s="17" t="s">
        <v>157</v>
      </c>
      <c r="D315" s="17">
        <v>49000</v>
      </c>
      <c r="E315" s="19"/>
      <c r="F315" s="17">
        <f t="shared" si="8"/>
        <v>78012</v>
      </c>
    </row>
    <row r="316" ht="15.75" spans="1:6">
      <c r="A316" s="18" t="s">
        <v>2627</v>
      </c>
      <c r="B316" s="93" t="s">
        <v>2628</v>
      </c>
      <c r="C316" s="17" t="s">
        <v>2502</v>
      </c>
      <c r="D316" s="17"/>
      <c r="E316" s="19">
        <v>37456</v>
      </c>
      <c r="F316" s="17">
        <f t="shared" si="8"/>
        <v>115468</v>
      </c>
    </row>
    <row r="317" ht="15.75" spans="1:6">
      <c r="A317" s="18" t="s">
        <v>2627</v>
      </c>
      <c r="B317" s="93" t="s">
        <v>2629</v>
      </c>
      <c r="C317" s="17" t="s">
        <v>2461</v>
      </c>
      <c r="D317" s="17"/>
      <c r="E317" s="19">
        <v>18450</v>
      </c>
      <c r="F317" s="17">
        <f t="shared" si="8"/>
        <v>133918</v>
      </c>
    </row>
    <row r="318" ht="15.75" spans="1:6">
      <c r="A318" s="18" t="s">
        <v>2630</v>
      </c>
      <c r="B318" s="93" t="s">
        <v>2631</v>
      </c>
      <c r="C318" s="17" t="s">
        <v>2461</v>
      </c>
      <c r="D318" s="17"/>
      <c r="E318" s="19">
        <v>19926</v>
      </c>
      <c r="F318" s="17">
        <f t="shared" si="8"/>
        <v>153844</v>
      </c>
    </row>
    <row r="319" ht="15.75" spans="1:6">
      <c r="A319" s="18" t="s">
        <v>2630</v>
      </c>
      <c r="B319" s="93" t="s">
        <v>253</v>
      </c>
      <c r="C319" s="17" t="s">
        <v>157</v>
      </c>
      <c r="D319" s="17">
        <v>50000</v>
      </c>
      <c r="E319" s="19"/>
      <c r="F319" s="17">
        <f t="shared" si="8"/>
        <v>103844</v>
      </c>
    </row>
    <row r="320" ht="15.75" spans="1:6">
      <c r="A320" s="18" t="s">
        <v>2632</v>
      </c>
      <c r="B320" s="93" t="s">
        <v>2633</v>
      </c>
      <c r="C320" s="17" t="s">
        <v>2500</v>
      </c>
      <c r="D320" s="17"/>
      <c r="E320" s="19">
        <v>30630</v>
      </c>
      <c r="F320" s="17">
        <f t="shared" si="8"/>
        <v>134474</v>
      </c>
    </row>
    <row r="321" ht="15.75" spans="1:6">
      <c r="A321" s="18" t="s">
        <v>2306</v>
      </c>
      <c r="B321" s="93" t="s">
        <v>253</v>
      </c>
      <c r="C321" s="17" t="s">
        <v>2581</v>
      </c>
      <c r="D321" s="17">
        <v>50000</v>
      </c>
      <c r="E321" s="19"/>
      <c r="F321" s="17">
        <f t="shared" si="8"/>
        <v>84474</v>
      </c>
    </row>
    <row r="322" ht="15.75" spans="1:6">
      <c r="A322" s="18" t="s">
        <v>2306</v>
      </c>
      <c r="B322" s="93" t="s">
        <v>2634</v>
      </c>
      <c r="C322" s="17" t="s">
        <v>2461</v>
      </c>
      <c r="D322" s="17"/>
      <c r="E322" s="19">
        <v>30996</v>
      </c>
      <c r="F322" s="17">
        <f t="shared" si="8"/>
        <v>115470</v>
      </c>
    </row>
    <row r="323" ht="15.75" spans="1:6">
      <c r="A323" s="18" t="s">
        <v>2635</v>
      </c>
      <c r="B323" s="93" t="s">
        <v>2636</v>
      </c>
      <c r="C323" s="17" t="s">
        <v>2461</v>
      </c>
      <c r="D323" s="17"/>
      <c r="E323" s="19">
        <v>26568</v>
      </c>
      <c r="F323" s="17">
        <f t="shared" si="8"/>
        <v>142038</v>
      </c>
    </row>
    <row r="324" ht="15.75" spans="1:6">
      <c r="A324" s="18" t="s">
        <v>2637</v>
      </c>
      <c r="B324" s="93" t="s">
        <v>2638</v>
      </c>
      <c r="C324" s="17" t="s">
        <v>2522</v>
      </c>
      <c r="D324" s="17"/>
      <c r="E324" s="19">
        <v>32620</v>
      </c>
      <c r="F324" s="17">
        <f t="shared" si="8"/>
        <v>174658</v>
      </c>
    </row>
    <row r="325" ht="15.75" spans="1:6">
      <c r="A325" s="18" t="s">
        <v>2637</v>
      </c>
      <c r="B325" s="93" t="s">
        <v>5</v>
      </c>
      <c r="C325" s="17" t="s">
        <v>2581</v>
      </c>
      <c r="D325" s="17">
        <v>50000</v>
      </c>
      <c r="E325" s="19"/>
      <c r="F325" s="17">
        <f t="shared" ref="F325:F336" si="9">F324-D325+E325</f>
        <v>124658</v>
      </c>
    </row>
    <row r="326" ht="15.75" spans="1:6">
      <c r="A326" s="18" t="s">
        <v>2637</v>
      </c>
      <c r="B326" s="93" t="s">
        <v>253</v>
      </c>
      <c r="C326" s="17" t="s">
        <v>157</v>
      </c>
      <c r="D326" s="17">
        <v>3500</v>
      </c>
      <c r="E326" s="19"/>
      <c r="F326" s="17">
        <f t="shared" si="9"/>
        <v>121158</v>
      </c>
    </row>
    <row r="327" ht="15.75" spans="1:6">
      <c r="A327" s="18">
        <v>46083</v>
      </c>
      <c r="B327" s="93" t="s">
        <v>2639</v>
      </c>
      <c r="C327" s="17" t="s">
        <v>648</v>
      </c>
      <c r="D327" s="17"/>
      <c r="E327" s="19">
        <v>19380</v>
      </c>
      <c r="F327" s="17">
        <f t="shared" si="9"/>
        <v>140538</v>
      </c>
    </row>
    <row r="328" ht="15.75" spans="1:6">
      <c r="A328" s="18">
        <v>46083</v>
      </c>
      <c r="B328" s="93" t="s">
        <v>2640</v>
      </c>
      <c r="C328" s="17" t="s">
        <v>2500</v>
      </c>
      <c r="D328" s="17"/>
      <c r="E328" s="19">
        <v>8120</v>
      </c>
      <c r="F328" s="17">
        <f t="shared" si="9"/>
        <v>148658</v>
      </c>
    </row>
    <row r="329" ht="15.75" spans="1:6">
      <c r="A329" s="18">
        <v>46205</v>
      </c>
      <c r="B329" s="93" t="s">
        <v>253</v>
      </c>
      <c r="C329" s="17" t="s">
        <v>157</v>
      </c>
      <c r="D329" s="17">
        <v>100000</v>
      </c>
      <c r="E329" s="19"/>
      <c r="F329" s="17">
        <f t="shared" si="9"/>
        <v>48658</v>
      </c>
    </row>
    <row r="330" ht="15.75" spans="1:6">
      <c r="A330" s="18">
        <v>46205</v>
      </c>
      <c r="B330" s="93" t="s">
        <v>2641</v>
      </c>
      <c r="C330" s="17" t="s">
        <v>2461</v>
      </c>
      <c r="D330" s="17"/>
      <c r="E330" s="19">
        <v>30996</v>
      </c>
      <c r="F330" s="17">
        <f t="shared" si="9"/>
        <v>79654</v>
      </c>
    </row>
    <row r="331" ht="15.75" spans="1:6">
      <c r="A331" s="18">
        <v>46267</v>
      </c>
      <c r="B331" s="93" t="s">
        <v>2642</v>
      </c>
      <c r="C331" s="17" t="s">
        <v>2643</v>
      </c>
      <c r="D331" s="17"/>
      <c r="E331" s="19">
        <v>37484</v>
      </c>
      <c r="F331" s="17">
        <f t="shared" si="9"/>
        <v>117138</v>
      </c>
    </row>
    <row r="332" ht="15.75" spans="1:6">
      <c r="A332" s="18">
        <v>46297</v>
      </c>
      <c r="B332" s="93" t="s">
        <v>2644</v>
      </c>
      <c r="C332" s="17" t="s">
        <v>2645</v>
      </c>
      <c r="D332" s="17"/>
      <c r="E332" s="19">
        <v>19560</v>
      </c>
      <c r="F332" s="17">
        <f t="shared" si="9"/>
        <v>136698</v>
      </c>
    </row>
    <row r="333" ht="15.75" spans="1:6">
      <c r="A333" s="18" t="s">
        <v>2646</v>
      </c>
      <c r="B333" s="93" t="s">
        <v>2647</v>
      </c>
      <c r="C333" s="17" t="s">
        <v>2648</v>
      </c>
      <c r="D333" s="17"/>
      <c r="E333" s="19">
        <v>80040</v>
      </c>
      <c r="F333" s="17">
        <f t="shared" ref="F333:F346" si="10">F332-D333+E333</f>
        <v>216738</v>
      </c>
    </row>
    <row r="334" ht="15.75" spans="1:6">
      <c r="A334" s="18" t="s">
        <v>2646</v>
      </c>
      <c r="B334" s="93" t="s">
        <v>253</v>
      </c>
      <c r="C334" s="17" t="s">
        <v>694</v>
      </c>
      <c r="D334" s="17">
        <v>100000</v>
      </c>
      <c r="E334" s="19"/>
      <c r="F334" s="17">
        <f t="shared" si="10"/>
        <v>116738</v>
      </c>
    </row>
    <row r="335" ht="15.75" spans="1:6">
      <c r="A335" s="18" t="s">
        <v>2646</v>
      </c>
      <c r="B335" s="93" t="s">
        <v>2649</v>
      </c>
      <c r="C335" s="17" t="s">
        <v>2650</v>
      </c>
      <c r="D335" s="17"/>
      <c r="E335" s="19">
        <v>22628</v>
      </c>
      <c r="F335" s="17">
        <f t="shared" si="10"/>
        <v>139366</v>
      </c>
    </row>
    <row r="336" ht="15.75" spans="1:6">
      <c r="A336" s="18" t="s">
        <v>2651</v>
      </c>
      <c r="B336" s="93" t="s">
        <v>2652</v>
      </c>
      <c r="C336" s="17" t="s">
        <v>2461</v>
      </c>
      <c r="D336" s="17"/>
      <c r="E336" s="19">
        <v>11808</v>
      </c>
      <c r="F336" s="17">
        <f t="shared" si="10"/>
        <v>151174</v>
      </c>
    </row>
    <row r="337" ht="15.75" spans="1:6">
      <c r="A337" s="18" t="s">
        <v>2653</v>
      </c>
      <c r="B337" s="93" t="s">
        <v>2654</v>
      </c>
      <c r="C337" s="17" t="s">
        <v>2602</v>
      </c>
      <c r="D337" s="17"/>
      <c r="E337" s="19">
        <v>147600</v>
      </c>
      <c r="F337" s="17">
        <f t="shared" si="10"/>
        <v>298774</v>
      </c>
    </row>
    <row r="338" ht="15.75" spans="1:6">
      <c r="A338" s="18"/>
      <c r="B338" s="93"/>
      <c r="C338" s="17"/>
      <c r="D338" s="17"/>
      <c r="E338" s="19"/>
      <c r="F338" s="17">
        <f t="shared" si="10"/>
        <v>298774</v>
      </c>
    </row>
    <row r="339" ht="15.75" spans="1:6">
      <c r="A339" s="18"/>
      <c r="B339" s="93"/>
      <c r="C339" s="17"/>
      <c r="D339" s="17"/>
      <c r="E339" s="19"/>
      <c r="F339" s="17">
        <f t="shared" si="10"/>
        <v>298774</v>
      </c>
    </row>
    <row r="340" ht="15.75" spans="1:6">
      <c r="A340" s="18"/>
      <c r="B340" s="93"/>
      <c r="C340" s="17"/>
      <c r="D340" s="17"/>
      <c r="E340" s="19"/>
      <c r="F340" s="17">
        <f t="shared" si="10"/>
        <v>298774</v>
      </c>
    </row>
    <row r="341" ht="15.75" spans="1:6">
      <c r="A341" s="18"/>
      <c r="B341" s="93"/>
      <c r="C341" s="17"/>
      <c r="D341" s="17"/>
      <c r="E341" s="19"/>
      <c r="F341" s="17">
        <f t="shared" si="10"/>
        <v>298774</v>
      </c>
    </row>
    <row r="342" ht="15.75" spans="1:6">
      <c r="A342" s="18"/>
      <c r="B342" s="93"/>
      <c r="C342" s="17"/>
      <c r="D342" s="17"/>
      <c r="E342" s="19"/>
      <c r="F342" s="17">
        <f t="shared" si="10"/>
        <v>298774</v>
      </c>
    </row>
    <row r="343" ht="15.75" spans="1:6">
      <c r="A343" s="18"/>
      <c r="B343" s="93"/>
      <c r="C343" s="17"/>
      <c r="D343" s="17"/>
      <c r="E343" s="19"/>
      <c r="F343" s="17">
        <f t="shared" si="10"/>
        <v>298774</v>
      </c>
    </row>
    <row r="344" ht="15.75" spans="1:6">
      <c r="A344" s="18"/>
      <c r="B344" s="93"/>
      <c r="C344" s="17"/>
      <c r="D344" s="17"/>
      <c r="E344" s="19"/>
      <c r="F344" s="17">
        <f t="shared" si="10"/>
        <v>298774</v>
      </c>
    </row>
    <row r="345" ht="15.75" spans="1:6">
      <c r="A345" s="18"/>
      <c r="B345" s="93"/>
      <c r="C345" s="17"/>
      <c r="D345" s="17"/>
      <c r="E345" s="19"/>
      <c r="F345" s="17">
        <f t="shared" si="10"/>
        <v>298774</v>
      </c>
    </row>
    <row r="346" ht="25.5" customHeight="1" spans="1:6">
      <c r="A346" s="7" t="s">
        <v>303</v>
      </c>
      <c r="B346" s="8"/>
      <c r="C346" s="8"/>
      <c r="D346" s="8"/>
      <c r="E346" s="9"/>
      <c r="F346" s="17">
        <f t="shared" si="10"/>
        <v>298774</v>
      </c>
    </row>
    <row r="347" ht="15.75" spans="6:7">
      <c r="F347" s="249"/>
      <c r="G347" s="240"/>
    </row>
  </sheetData>
  <mergeCells count="6">
    <mergeCell ref="A3:C3"/>
    <mergeCell ref="D3:F3"/>
    <mergeCell ref="A4:B4"/>
    <mergeCell ref="C4:F4"/>
    <mergeCell ref="A346:E346"/>
    <mergeCell ref="A1:F2"/>
  </mergeCells>
  <pageMargins left="0.7" right="0.7" top="0.75" bottom="0.75" header="0.3" footer="0.3"/>
  <pageSetup paperSize="9" orientation="portrait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F86"/>
  <sheetViews>
    <sheetView topLeftCell="A17" workbookViewId="0">
      <selection activeCell="B42" sqref="B42"/>
    </sheetView>
  </sheetViews>
  <sheetFormatPr defaultColWidth="9" defaultRowHeight="15" outlineLevelCol="5"/>
  <cols>
    <col min="1" max="1" width="11.7142857142857" customWidth="1"/>
    <col min="2" max="2" width="11.1428571428571" customWidth="1"/>
    <col min="3" max="3" width="32" customWidth="1"/>
    <col min="4" max="4" width="10.5714285714286" customWidth="1"/>
    <col min="5" max="6" width="11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2655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/>
    </row>
    <row r="6" ht="15.75" spans="1:6">
      <c r="A6" s="52">
        <v>45880</v>
      </c>
      <c r="B6" s="51" t="s">
        <v>2656</v>
      </c>
      <c r="C6" s="51" t="s">
        <v>140</v>
      </c>
      <c r="D6" s="51"/>
      <c r="E6" s="51">
        <v>19038</v>
      </c>
      <c r="F6" s="36">
        <v>19038</v>
      </c>
    </row>
    <row r="7" ht="15.75" spans="1:6">
      <c r="A7" s="51" t="s">
        <v>2565</v>
      </c>
      <c r="B7" s="51" t="s">
        <v>2657</v>
      </c>
      <c r="C7" s="51" t="s">
        <v>140</v>
      </c>
      <c r="D7" s="51"/>
      <c r="E7" s="51">
        <v>500</v>
      </c>
      <c r="F7" s="51">
        <f>F6+E7-D7</f>
        <v>19538</v>
      </c>
    </row>
    <row r="8" ht="15.75" spans="1:6">
      <c r="A8" s="51" t="s">
        <v>2573</v>
      </c>
      <c r="B8" s="51" t="s">
        <v>2658</v>
      </c>
      <c r="C8" s="51" t="s">
        <v>694</v>
      </c>
      <c r="D8" s="51">
        <v>500</v>
      </c>
      <c r="E8" s="51"/>
      <c r="F8" s="51">
        <f t="shared" ref="F8:F26" si="0">F7+E8-D8</f>
        <v>19038</v>
      </c>
    </row>
    <row r="9" ht="15.75" spans="1:6">
      <c r="A9" s="51" t="s">
        <v>2573</v>
      </c>
      <c r="B9" s="51" t="s">
        <v>2659</v>
      </c>
      <c r="C9" s="51" t="s">
        <v>140</v>
      </c>
      <c r="D9" s="51"/>
      <c r="E9" s="51">
        <v>520</v>
      </c>
      <c r="F9" s="51">
        <f t="shared" si="0"/>
        <v>19558</v>
      </c>
    </row>
    <row r="10" ht="15.75" spans="1:6">
      <c r="A10" s="51" t="s">
        <v>2297</v>
      </c>
      <c r="B10" s="51" t="s">
        <v>2660</v>
      </c>
      <c r="C10" s="51" t="s">
        <v>140</v>
      </c>
      <c r="D10" s="51"/>
      <c r="E10" s="51">
        <v>175</v>
      </c>
      <c r="F10" s="51">
        <f t="shared" si="0"/>
        <v>19733</v>
      </c>
    </row>
    <row r="11" ht="15.75" spans="1:6">
      <c r="A11" s="51" t="s">
        <v>2661</v>
      </c>
      <c r="B11" s="51" t="s">
        <v>2662</v>
      </c>
      <c r="C11" s="51" t="s">
        <v>140</v>
      </c>
      <c r="D11" s="51"/>
      <c r="E11" s="51">
        <v>556</v>
      </c>
      <c r="F11" s="51">
        <f t="shared" si="0"/>
        <v>20289</v>
      </c>
    </row>
    <row r="12" ht="15.75" spans="1:6">
      <c r="A12" s="51" t="s">
        <v>2663</v>
      </c>
      <c r="B12" s="51" t="s">
        <v>2664</v>
      </c>
      <c r="C12" s="51" t="s">
        <v>694</v>
      </c>
      <c r="D12" s="51">
        <v>556</v>
      </c>
      <c r="E12" s="51"/>
      <c r="F12" s="51">
        <f t="shared" si="0"/>
        <v>19733</v>
      </c>
    </row>
    <row r="13" ht="15.75" spans="1:6">
      <c r="A13" s="51" t="s">
        <v>2582</v>
      </c>
      <c r="B13" s="51" t="s">
        <v>2665</v>
      </c>
      <c r="C13" s="51" t="s">
        <v>140</v>
      </c>
      <c r="D13" s="51"/>
      <c r="E13" s="51">
        <v>1130</v>
      </c>
      <c r="F13" s="51">
        <f t="shared" si="0"/>
        <v>20863</v>
      </c>
    </row>
    <row r="14" ht="15.75" spans="1:6">
      <c r="A14" s="51" t="s">
        <v>2301</v>
      </c>
      <c r="B14" s="51" t="s">
        <v>2664</v>
      </c>
      <c r="C14" s="51" t="s">
        <v>694</v>
      </c>
      <c r="D14" s="51">
        <v>500</v>
      </c>
      <c r="E14" s="51"/>
      <c r="F14" s="51">
        <f t="shared" si="0"/>
        <v>20363</v>
      </c>
    </row>
    <row r="15" ht="15.75" spans="1:6">
      <c r="A15" s="51" t="s">
        <v>2301</v>
      </c>
      <c r="B15" s="51" t="s">
        <v>2664</v>
      </c>
      <c r="C15" s="51" t="s">
        <v>694</v>
      </c>
      <c r="D15" s="51">
        <v>450</v>
      </c>
      <c r="E15" s="51"/>
      <c r="F15" s="51">
        <f t="shared" si="0"/>
        <v>19913</v>
      </c>
    </row>
    <row r="16" ht="15.75" spans="1:6">
      <c r="A16" s="52">
        <v>45820</v>
      </c>
      <c r="B16" s="51" t="s">
        <v>2666</v>
      </c>
      <c r="C16" s="51" t="s">
        <v>140</v>
      </c>
      <c r="D16" s="51"/>
      <c r="E16" s="51">
        <v>4660</v>
      </c>
      <c r="F16" s="51">
        <f t="shared" si="0"/>
        <v>24573</v>
      </c>
    </row>
    <row r="17" ht="15.75" spans="1:6">
      <c r="A17" s="52">
        <v>45820</v>
      </c>
      <c r="B17" s="51" t="s">
        <v>2667</v>
      </c>
      <c r="C17" s="51" t="s">
        <v>140</v>
      </c>
      <c r="D17" s="51"/>
      <c r="E17" s="51">
        <v>55</v>
      </c>
      <c r="F17" s="51">
        <f t="shared" si="0"/>
        <v>24628</v>
      </c>
    </row>
    <row r="18" ht="15.75" spans="1:6">
      <c r="A18" s="52">
        <v>45759</v>
      </c>
      <c r="B18" s="51" t="s">
        <v>2668</v>
      </c>
      <c r="C18" s="51" t="s">
        <v>2669</v>
      </c>
      <c r="D18" s="51"/>
      <c r="E18" s="51">
        <v>1760</v>
      </c>
      <c r="F18" s="51">
        <f t="shared" si="0"/>
        <v>26388</v>
      </c>
    </row>
    <row r="19" ht="15.75" spans="1:6">
      <c r="A19" s="52">
        <v>45881</v>
      </c>
      <c r="B19" s="51" t="s">
        <v>2664</v>
      </c>
      <c r="C19" s="51" t="s">
        <v>694</v>
      </c>
      <c r="D19" s="51">
        <v>7350</v>
      </c>
      <c r="E19" s="51"/>
      <c r="F19" s="51">
        <f t="shared" si="0"/>
        <v>19038</v>
      </c>
    </row>
    <row r="20" ht="15.75" spans="1:6">
      <c r="A20" s="52">
        <v>45881</v>
      </c>
      <c r="B20" s="51" t="s">
        <v>2670</v>
      </c>
      <c r="C20" s="51" t="s">
        <v>140</v>
      </c>
      <c r="D20" s="51"/>
      <c r="E20" s="51">
        <v>4810</v>
      </c>
      <c r="F20" s="51">
        <f t="shared" si="0"/>
        <v>23848</v>
      </c>
    </row>
    <row r="21" ht="15.75" spans="1:6">
      <c r="A21" s="52">
        <v>45942</v>
      </c>
      <c r="B21" s="51" t="s">
        <v>2664</v>
      </c>
      <c r="C21" s="51" t="s">
        <v>694</v>
      </c>
      <c r="D21" s="51">
        <v>4800</v>
      </c>
      <c r="E21" s="51"/>
      <c r="F21" s="51">
        <f t="shared" si="0"/>
        <v>19048</v>
      </c>
    </row>
    <row r="22" ht="15.75" spans="1:6">
      <c r="A22" s="52">
        <v>45942</v>
      </c>
      <c r="B22" s="51" t="s">
        <v>2671</v>
      </c>
      <c r="C22" s="51" t="s">
        <v>140</v>
      </c>
      <c r="D22" s="51"/>
      <c r="E22" s="51">
        <v>380</v>
      </c>
      <c r="F22" s="51">
        <f t="shared" si="0"/>
        <v>19428</v>
      </c>
    </row>
    <row r="23" ht="15.75" spans="1:6">
      <c r="A23" s="52">
        <v>45942</v>
      </c>
      <c r="B23" s="51" t="s">
        <v>2672</v>
      </c>
      <c r="C23" s="51" t="s">
        <v>2673</v>
      </c>
      <c r="D23" s="51"/>
      <c r="E23" s="51">
        <v>3600</v>
      </c>
      <c r="F23" s="51">
        <f t="shared" si="0"/>
        <v>23028</v>
      </c>
    </row>
    <row r="24" ht="15.75" spans="1:6">
      <c r="A24" s="51" t="s">
        <v>2674</v>
      </c>
      <c r="B24" s="242" t="s">
        <v>2675</v>
      </c>
      <c r="C24" s="51" t="s">
        <v>2676</v>
      </c>
      <c r="D24" s="51"/>
      <c r="E24" s="51">
        <v>6000</v>
      </c>
      <c r="F24" s="51">
        <f t="shared" si="0"/>
        <v>29028</v>
      </c>
    </row>
    <row r="25" ht="15.75" spans="1:6">
      <c r="A25" s="51" t="s">
        <v>2677</v>
      </c>
      <c r="B25" s="51" t="s">
        <v>2664</v>
      </c>
      <c r="C25" s="51" t="s">
        <v>2614</v>
      </c>
      <c r="D25" s="51">
        <v>5000</v>
      </c>
      <c r="E25" s="51"/>
      <c r="F25" s="51">
        <f t="shared" si="0"/>
        <v>24028</v>
      </c>
    </row>
    <row r="26" ht="15.75" spans="1:6">
      <c r="A26" s="51" t="s">
        <v>2677</v>
      </c>
      <c r="B26" s="51" t="s">
        <v>2664</v>
      </c>
      <c r="C26" s="51" t="s">
        <v>694</v>
      </c>
      <c r="D26" s="51">
        <v>1000</v>
      </c>
      <c r="E26" s="51"/>
      <c r="F26" s="51">
        <f t="shared" si="0"/>
        <v>23028</v>
      </c>
    </row>
    <row r="27" ht="15.75" spans="1:6">
      <c r="A27" s="52">
        <v>46055</v>
      </c>
      <c r="B27" s="51" t="s">
        <v>2678</v>
      </c>
      <c r="C27" s="51" t="s">
        <v>140</v>
      </c>
      <c r="D27" s="51"/>
      <c r="E27" s="51">
        <v>8965</v>
      </c>
      <c r="F27" s="51">
        <f t="shared" ref="F27:F38" si="1">F26+E27-D27</f>
        <v>31993</v>
      </c>
    </row>
    <row r="28" ht="15.75" spans="1:6">
      <c r="A28" s="52">
        <v>46083</v>
      </c>
      <c r="B28" s="51" t="s">
        <v>2664</v>
      </c>
      <c r="C28" s="51" t="s">
        <v>2614</v>
      </c>
      <c r="D28" s="51">
        <v>8500</v>
      </c>
      <c r="E28" s="51"/>
      <c r="F28" s="51">
        <f t="shared" si="1"/>
        <v>23493</v>
      </c>
    </row>
    <row r="29" ht="15.75" spans="1:6">
      <c r="A29" s="52">
        <v>46114</v>
      </c>
      <c r="B29" s="51" t="s">
        <v>2664</v>
      </c>
      <c r="C29" s="51" t="s">
        <v>694</v>
      </c>
      <c r="D29" s="51">
        <v>465</v>
      </c>
      <c r="E29" s="51"/>
      <c r="F29" s="51">
        <f t="shared" si="1"/>
        <v>23028</v>
      </c>
    </row>
    <row r="30" ht="15.75" spans="1:6">
      <c r="A30" s="52">
        <v>46114</v>
      </c>
      <c r="B30" s="51" t="s">
        <v>2679</v>
      </c>
      <c r="C30" s="51" t="s">
        <v>140</v>
      </c>
      <c r="D30" s="51"/>
      <c r="E30" s="51">
        <v>23500</v>
      </c>
      <c r="F30" s="51">
        <f t="shared" si="1"/>
        <v>46528</v>
      </c>
    </row>
    <row r="31" ht="15.75" spans="1:6">
      <c r="A31" s="52">
        <v>46144</v>
      </c>
      <c r="B31" s="51"/>
      <c r="C31" s="51" t="s">
        <v>2680</v>
      </c>
      <c r="D31" s="51">
        <v>23500</v>
      </c>
      <c r="E31" s="51"/>
      <c r="F31" s="51">
        <f t="shared" si="1"/>
        <v>23028</v>
      </c>
    </row>
    <row r="32" ht="15.75" spans="1:6">
      <c r="A32" s="52">
        <v>46267</v>
      </c>
      <c r="B32" s="51" t="s">
        <v>2681</v>
      </c>
      <c r="C32" s="51" t="s">
        <v>2682</v>
      </c>
      <c r="D32" s="51"/>
      <c r="E32" s="51">
        <v>24158</v>
      </c>
      <c r="F32" s="51">
        <f t="shared" si="1"/>
        <v>47186</v>
      </c>
    </row>
    <row r="33" ht="15.75" spans="1:6">
      <c r="A33" s="52">
        <v>46267</v>
      </c>
      <c r="B33" s="51" t="s">
        <v>2664</v>
      </c>
      <c r="C33" s="51" t="s">
        <v>2614</v>
      </c>
      <c r="D33" s="51">
        <v>6000</v>
      </c>
      <c r="E33" s="51"/>
      <c r="F33" s="51">
        <f t="shared" si="1"/>
        <v>41186</v>
      </c>
    </row>
    <row r="34" ht="15.75" spans="1:6">
      <c r="A34" s="52">
        <v>46297</v>
      </c>
      <c r="B34" s="51" t="s">
        <v>2664</v>
      </c>
      <c r="C34" s="51" t="s">
        <v>2581</v>
      </c>
      <c r="D34" s="51">
        <v>4000</v>
      </c>
      <c r="E34" s="51"/>
      <c r="F34" s="51">
        <f t="shared" si="1"/>
        <v>37186</v>
      </c>
    </row>
    <row r="35" ht="15.75" spans="1:6">
      <c r="A35" s="52">
        <v>46328</v>
      </c>
      <c r="B35" s="51" t="s">
        <v>2664</v>
      </c>
      <c r="C35" s="51" t="s">
        <v>694</v>
      </c>
      <c r="D35" s="51">
        <v>3400</v>
      </c>
      <c r="E35" s="51"/>
      <c r="F35" s="51">
        <f t="shared" si="1"/>
        <v>33786</v>
      </c>
    </row>
    <row r="36" ht="15.75" spans="1:6">
      <c r="A36" s="52">
        <v>46328</v>
      </c>
      <c r="B36" s="51" t="s">
        <v>2664</v>
      </c>
      <c r="C36" s="51" t="s">
        <v>2614</v>
      </c>
      <c r="D36" s="51">
        <v>3500</v>
      </c>
      <c r="E36" s="51"/>
      <c r="F36" s="51">
        <f t="shared" ref="F36:F48" si="2">F35+E36-D36</f>
        <v>30286</v>
      </c>
    </row>
    <row r="37" ht="15.75" spans="1:6">
      <c r="A37" s="52">
        <v>46358</v>
      </c>
      <c r="B37" s="51" t="s">
        <v>2683</v>
      </c>
      <c r="C37" s="51" t="s">
        <v>694</v>
      </c>
      <c r="D37" s="51">
        <v>5170</v>
      </c>
      <c r="E37" s="51"/>
      <c r="F37" s="51">
        <f t="shared" si="2"/>
        <v>25116</v>
      </c>
    </row>
    <row r="38" ht="15.75" spans="1:6">
      <c r="A38" s="52" t="s">
        <v>2651</v>
      </c>
      <c r="B38" s="51" t="s">
        <v>2684</v>
      </c>
      <c r="C38" s="51" t="s">
        <v>2685</v>
      </c>
      <c r="D38" s="51"/>
      <c r="E38" s="51">
        <v>3690</v>
      </c>
      <c r="F38" s="51">
        <f t="shared" si="2"/>
        <v>28806</v>
      </c>
    </row>
    <row r="39" ht="15.75" spans="1:6">
      <c r="A39" s="52" t="s">
        <v>2651</v>
      </c>
      <c r="B39" s="51" t="s">
        <v>2664</v>
      </c>
      <c r="C39" s="51" t="s">
        <v>694</v>
      </c>
      <c r="D39" s="51">
        <v>19038</v>
      </c>
      <c r="E39" s="51"/>
      <c r="F39" s="51">
        <f t="shared" si="2"/>
        <v>9768</v>
      </c>
    </row>
    <row r="40" ht="15.75" spans="1:6">
      <c r="A40" s="52">
        <v>46357</v>
      </c>
      <c r="B40" s="51" t="s">
        <v>2664</v>
      </c>
      <c r="C40" s="51" t="s">
        <v>694</v>
      </c>
      <c r="D40" s="51">
        <v>1900</v>
      </c>
      <c r="E40" s="51"/>
      <c r="F40" s="51">
        <f t="shared" si="2"/>
        <v>7868</v>
      </c>
    </row>
    <row r="41" ht="15.75" spans="1:6">
      <c r="A41" s="52" t="s">
        <v>2653</v>
      </c>
      <c r="B41" s="51" t="s">
        <v>2686</v>
      </c>
      <c r="C41" s="51" t="s">
        <v>2687</v>
      </c>
      <c r="D41" s="51"/>
      <c r="E41" s="51">
        <v>7265</v>
      </c>
      <c r="F41" s="51">
        <f t="shared" si="2"/>
        <v>15133</v>
      </c>
    </row>
    <row r="42" ht="15.75" spans="1:6">
      <c r="A42" s="52"/>
      <c r="B42" s="51"/>
      <c r="C42" s="51"/>
      <c r="D42" s="51"/>
      <c r="E42" s="51"/>
      <c r="F42" s="51">
        <f t="shared" si="2"/>
        <v>15133</v>
      </c>
    </row>
    <row r="43" ht="15.75" spans="1:6">
      <c r="A43" s="52"/>
      <c r="B43" s="51"/>
      <c r="C43" s="51"/>
      <c r="D43" s="51"/>
      <c r="E43" s="51"/>
      <c r="F43" s="51">
        <f t="shared" si="2"/>
        <v>15133</v>
      </c>
    </row>
    <row r="44" ht="15.75" spans="1:6">
      <c r="A44" s="52"/>
      <c r="B44" s="51"/>
      <c r="C44" s="51"/>
      <c r="D44" s="51"/>
      <c r="E44" s="51"/>
      <c r="F44" s="51">
        <f t="shared" si="2"/>
        <v>15133</v>
      </c>
    </row>
    <row r="45" ht="15.75" spans="1:6">
      <c r="A45" s="52"/>
      <c r="B45" s="51"/>
      <c r="C45" s="51"/>
      <c r="D45" s="51"/>
      <c r="E45" s="51"/>
      <c r="F45" s="51">
        <f t="shared" si="2"/>
        <v>15133</v>
      </c>
    </row>
    <row r="46" ht="15.75" spans="1:6">
      <c r="A46" s="51"/>
      <c r="B46" s="51"/>
      <c r="C46" s="51"/>
      <c r="D46" s="51"/>
      <c r="E46" s="51"/>
      <c r="F46" s="51">
        <f t="shared" si="2"/>
        <v>15133</v>
      </c>
    </row>
    <row r="47" ht="15.75" spans="1:6">
      <c r="A47" s="36"/>
      <c r="B47" s="36"/>
      <c r="C47" s="36"/>
      <c r="D47" s="36"/>
      <c r="E47" s="36"/>
      <c r="F47" s="51">
        <f t="shared" si="2"/>
        <v>15133</v>
      </c>
    </row>
    <row r="48" ht="21" spans="1:6">
      <c r="A48" s="243" t="s">
        <v>2688</v>
      </c>
      <c r="B48" s="244"/>
      <c r="C48" s="244"/>
      <c r="D48" s="244"/>
      <c r="E48" s="245"/>
      <c r="F48" s="51">
        <f t="shared" si="2"/>
        <v>15133</v>
      </c>
    </row>
    <row r="86" ht="26" customHeight="1"/>
  </sheetData>
  <mergeCells count="6">
    <mergeCell ref="A3:C3"/>
    <mergeCell ref="D3:F3"/>
    <mergeCell ref="A4:B4"/>
    <mergeCell ref="C4:F4"/>
    <mergeCell ref="A48:E48"/>
    <mergeCell ref="A1:F2"/>
  </mergeCells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L95"/>
  <sheetViews>
    <sheetView topLeftCell="A56" workbookViewId="0">
      <selection activeCell="B67" sqref="B67"/>
    </sheetView>
  </sheetViews>
  <sheetFormatPr defaultColWidth="9" defaultRowHeight="15"/>
  <cols>
    <col min="1" max="1" width="11.7142857142857" customWidth="1"/>
    <col min="2" max="2" width="13.8571428571429" customWidth="1"/>
    <col min="3" max="3" width="17.7142857142857" customWidth="1"/>
    <col min="4" max="4" width="11.2857142857143" customWidth="1"/>
    <col min="5" max="5" width="9.28571428571429" customWidth="1"/>
    <col min="6" max="6" width="13.4285714285714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95" t="s">
        <v>2689</v>
      </c>
      <c r="E3" s="196"/>
      <c r="F3" s="197"/>
    </row>
    <row r="4" ht="22.5" customHeight="1" spans="1:6">
      <c r="A4" s="13" t="s">
        <v>84</v>
      </c>
      <c r="B4" s="13"/>
      <c r="C4" s="14" t="s">
        <v>2690</v>
      </c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2691</v>
      </c>
      <c r="E5" s="13" t="s">
        <v>2026</v>
      </c>
      <c r="F5" s="13" t="s">
        <v>91</v>
      </c>
    </row>
    <row r="6" ht="15.75" spans="1:6">
      <c r="A6" s="198" t="s">
        <v>2692</v>
      </c>
      <c r="B6" s="199" t="s">
        <v>2693</v>
      </c>
      <c r="C6" s="200"/>
      <c r="D6" s="201">
        <v>6500</v>
      </c>
      <c r="E6" s="201">
        <v>15415</v>
      </c>
      <c r="F6" s="17">
        <f>E6-D6</f>
        <v>8915</v>
      </c>
    </row>
    <row r="7" ht="15.75" spans="1:6">
      <c r="A7" s="202" t="s">
        <v>2694</v>
      </c>
      <c r="B7" s="203" t="s">
        <v>1178</v>
      </c>
      <c r="C7" s="203" t="s">
        <v>2695</v>
      </c>
      <c r="D7" s="204"/>
      <c r="E7" s="205">
        <v>14599</v>
      </c>
      <c r="F7" s="17">
        <v>23514</v>
      </c>
    </row>
    <row r="8" ht="15.75" spans="1:6">
      <c r="A8" s="206">
        <v>45997</v>
      </c>
      <c r="B8" s="203" t="s">
        <v>2696</v>
      </c>
      <c r="C8" s="203" t="s">
        <v>157</v>
      </c>
      <c r="D8" s="205">
        <v>5450</v>
      </c>
      <c r="E8" s="205"/>
      <c r="F8" s="17">
        <f>F7+E8-D8</f>
        <v>18064</v>
      </c>
    </row>
    <row r="9" ht="15.75" spans="1:6">
      <c r="A9" s="206" t="s">
        <v>2697</v>
      </c>
      <c r="B9" s="203" t="s">
        <v>2698</v>
      </c>
      <c r="C9" s="203" t="s">
        <v>2699</v>
      </c>
      <c r="D9" s="205"/>
      <c r="E9" s="205">
        <v>7500</v>
      </c>
      <c r="F9" s="17">
        <f t="shared" ref="F9:F18" si="0">F8+E9-D9</f>
        <v>25564</v>
      </c>
    </row>
    <row r="10" ht="15.75" spans="1:6">
      <c r="A10" s="206" t="s">
        <v>2697</v>
      </c>
      <c r="B10" s="203" t="s">
        <v>2696</v>
      </c>
      <c r="C10" s="203" t="s">
        <v>157</v>
      </c>
      <c r="D10" s="205">
        <v>1250</v>
      </c>
      <c r="E10" s="205"/>
      <c r="F10" s="17">
        <f t="shared" si="0"/>
        <v>24314</v>
      </c>
    </row>
    <row r="11" ht="15.75" spans="1:6">
      <c r="A11" s="206" t="s">
        <v>2700</v>
      </c>
      <c r="B11" s="203" t="s">
        <v>2701</v>
      </c>
      <c r="C11" s="203" t="s">
        <v>2702</v>
      </c>
      <c r="D11" s="205"/>
      <c r="E11" s="205">
        <v>13575</v>
      </c>
      <c r="F11" s="17">
        <f t="shared" si="0"/>
        <v>37889</v>
      </c>
    </row>
    <row r="12" ht="15.75" spans="1:6">
      <c r="A12" s="206" t="s">
        <v>2700</v>
      </c>
      <c r="B12" s="203" t="s">
        <v>2696</v>
      </c>
      <c r="C12" s="203" t="s">
        <v>157</v>
      </c>
      <c r="D12" s="205">
        <v>7500</v>
      </c>
      <c r="E12" s="205"/>
      <c r="F12" s="17">
        <f t="shared" si="0"/>
        <v>30389</v>
      </c>
    </row>
    <row r="13" ht="15.75" spans="1:6">
      <c r="A13" s="206" t="s">
        <v>2703</v>
      </c>
      <c r="B13" s="203" t="s">
        <v>2704</v>
      </c>
      <c r="C13" s="203" t="s">
        <v>2705</v>
      </c>
      <c r="D13" s="205"/>
      <c r="E13" s="205">
        <v>22081</v>
      </c>
      <c r="F13" s="17">
        <f t="shared" si="0"/>
        <v>52470</v>
      </c>
    </row>
    <row r="14" ht="15.75" spans="1:6">
      <c r="A14" s="206" t="s">
        <v>2703</v>
      </c>
      <c r="B14" s="203" t="s">
        <v>2696</v>
      </c>
      <c r="C14" s="203" t="s">
        <v>157</v>
      </c>
      <c r="D14" s="205">
        <v>10000</v>
      </c>
      <c r="E14" s="205"/>
      <c r="F14" s="17">
        <f t="shared" si="0"/>
        <v>42470</v>
      </c>
    </row>
    <row r="15" ht="15.75" spans="1:6">
      <c r="A15" s="206"/>
      <c r="B15" s="203"/>
      <c r="C15" s="203" t="s">
        <v>157</v>
      </c>
      <c r="D15" s="205">
        <v>3000</v>
      </c>
      <c r="E15" s="205"/>
      <c r="F15" s="17">
        <f t="shared" si="0"/>
        <v>39470</v>
      </c>
    </row>
    <row r="16" ht="15.75" spans="1:6">
      <c r="A16" s="206" t="s">
        <v>2694</v>
      </c>
      <c r="B16" s="203" t="s">
        <v>2696</v>
      </c>
      <c r="C16" s="203" t="s">
        <v>157</v>
      </c>
      <c r="D16" s="205">
        <v>22000</v>
      </c>
      <c r="E16" s="205"/>
      <c r="F16" s="17">
        <f t="shared" si="0"/>
        <v>17470</v>
      </c>
    </row>
    <row r="17" ht="15.75" spans="1:6">
      <c r="A17" s="202" t="s">
        <v>2706</v>
      </c>
      <c r="B17" s="203" t="s">
        <v>2707</v>
      </c>
      <c r="C17" s="203" t="s">
        <v>2702</v>
      </c>
      <c r="D17" s="204"/>
      <c r="E17" s="205">
        <v>1900</v>
      </c>
      <c r="F17" s="17">
        <f t="shared" si="0"/>
        <v>19370</v>
      </c>
    </row>
    <row r="18" ht="15.75" spans="1:6">
      <c r="A18" s="202" t="s">
        <v>2708</v>
      </c>
      <c r="B18" s="203" t="s">
        <v>2696</v>
      </c>
      <c r="C18" s="203" t="s">
        <v>157</v>
      </c>
      <c r="D18" s="205">
        <v>7600</v>
      </c>
      <c r="E18" s="205"/>
      <c r="F18" s="17">
        <f t="shared" si="0"/>
        <v>11770</v>
      </c>
    </row>
    <row r="19" ht="15.75" spans="1:6">
      <c r="A19" s="202"/>
      <c r="B19" s="203"/>
      <c r="C19" s="203" t="s">
        <v>2709</v>
      </c>
      <c r="D19" s="207">
        <v>5400</v>
      </c>
      <c r="E19" s="205"/>
      <c r="F19" s="17">
        <f t="shared" ref="F19:F72" si="1">F18+E19-D19</f>
        <v>6370</v>
      </c>
    </row>
    <row r="20" ht="15.75" spans="1:6">
      <c r="A20" s="202" t="s">
        <v>2710</v>
      </c>
      <c r="B20" s="203" t="s">
        <v>2696</v>
      </c>
      <c r="C20" s="203" t="s">
        <v>157</v>
      </c>
      <c r="D20" s="205">
        <v>3500</v>
      </c>
      <c r="E20" s="205"/>
      <c r="F20" s="17">
        <f t="shared" si="1"/>
        <v>2870</v>
      </c>
    </row>
    <row r="21" ht="15.75" spans="1:6">
      <c r="A21" s="202" t="s">
        <v>2710</v>
      </c>
      <c r="B21" s="203" t="s">
        <v>1184</v>
      </c>
      <c r="C21" s="203" t="s">
        <v>2702</v>
      </c>
      <c r="D21" s="204"/>
      <c r="E21" s="205">
        <v>2800</v>
      </c>
      <c r="F21" s="17">
        <f t="shared" si="1"/>
        <v>5670</v>
      </c>
    </row>
    <row r="22" ht="15.75" spans="1:6">
      <c r="A22" s="202" t="s">
        <v>2711</v>
      </c>
      <c r="B22" s="203" t="s">
        <v>2696</v>
      </c>
      <c r="C22" s="203" t="s">
        <v>157</v>
      </c>
      <c r="D22" s="205">
        <v>2800</v>
      </c>
      <c r="E22" s="205"/>
      <c r="F22" s="17">
        <f t="shared" si="1"/>
        <v>2870</v>
      </c>
    </row>
    <row r="23" ht="15.75" spans="1:6">
      <c r="A23" s="202"/>
      <c r="B23" s="203"/>
      <c r="C23" s="203" t="s">
        <v>2709</v>
      </c>
      <c r="D23" s="205">
        <v>2000</v>
      </c>
      <c r="E23" s="205"/>
      <c r="F23" s="17">
        <f t="shared" si="1"/>
        <v>870</v>
      </c>
    </row>
    <row r="24" ht="15.75" spans="1:6">
      <c r="A24" s="202" t="s">
        <v>2711</v>
      </c>
      <c r="B24" s="203" t="s">
        <v>1188</v>
      </c>
      <c r="C24" s="203" t="s">
        <v>2702</v>
      </c>
      <c r="D24" s="204"/>
      <c r="E24" s="205">
        <v>6932</v>
      </c>
      <c r="F24" s="17">
        <f t="shared" si="1"/>
        <v>7802</v>
      </c>
    </row>
    <row r="25" ht="15.75" spans="1:6">
      <c r="A25" s="202" t="s">
        <v>2712</v>
      </c>
      <c r="B25" s="203" t="s">
        <v>2696</v>
      </c>
      <c r="C25" s="203" t="s">
        <v>157</v>
      </c>
      <c r="D25" s="205">
        <v>6000</v>
      </c>
      <c r="E25" s="205"/>
      <c r="F25" s="17">
        <f t="shared" si="1"/>
        <v>1802</v>
      </c>
    </row>
    <row r="26" ht="15.75" spans="1:6">
      <c r="A26" s="206">
        <v>45723</v>
      </c>
      <c r="B26" s="203" t="s">
        <v>1189</v>
      </c>
      <c r="C26" s="203" t="s">
        <v>2713</v>
      </c>
      <c r="D26" s="204"/>
      <c r="E26" s="205">
        <v>2600</v>
      </c>
      <c r="F26" s="17">
        <f t="shared" si="1"/>
        <v>4402</v>
      </c>
    </row>
    <row r="27" ht="15.75" spans="1:6">
      <c r="A27" s="206">
        <v>45876</v>
      </c>
      <c r="B27" s="203" t="s">
        <v>1191</v>
      </c>
      <c r="C27" s="203" t="s">
        <v>2364</v>
      </c>
      <c r="D27" s="204"/>
      <c r="E27" s="205">
        <v>4250</v>
      </c>
      <c r="F27" s="17">
        <f t="shared" si="1"/>
        <v>8652</v>
      </c>
    </row>
    <row r="28" ht="15.75" spans="1:6">
      <c r="A28" s="206">
        <v>45937</v>
      </c>
      <c r="B28" s="203" t="s">
        <v>1193</v>
      </c>
      <c r="C28" s="203" t="s">
        <v>2702</v>
      </c>
      <c r="D28" s="204"/>
      <c r="E28" s="205">
        <v>4566</v>
      </c>
      <c r="F28" s="17">
        <f t="shared" si="1"/>
        <v>13218</v>
      </c>
    </row>
    <row r="29" ht="15.75" spans="1:6">
      <c r="A29" s="206">
        <v>45998</v>
      </c>
      <c r="B29" s="203" t="s">
        <v>1194</v>
      </c>
      <c r="C29" s="203" t="s">
        <v>2695</v>
      </c>
      <c r="D29" s="204"/>
      <c r="E29" s="205">
        <v>7777</v>
      </c>
      <c r="F29" s="17">
        <f t="shared" si="1"/>
        <v>20995</v>
      </c>
    </row>
    <row r="30" ht="15.75" spans="1:6">
      <c r="A30" s="206">
        <v>45998</v>
      </c>
      <c r="B30" s="203" t="s">
        <v>2696</v>
      </c>
      <c r="C30" s="203" t="s">
        <v>157</v>
      </c>
      <c r="D30" s="205">
        <v>500</v>
      </c>
      <c r="E30" s="205"/>
      <c r="F30" s="17">
        <f t="shared" si="1"/>
        <v>20495</v>
      </c>
    </row>
    <row r="31" ht="15.75" spans="1:6">
      <c r="A31" s="206"/>
      <c r="B31" s="203"/>
      <c r="C31" s="203" t="s">
        <v>2709</v>
      </c>
      <c r="D31" s="205">
        <v>4000</v>
      </c>
      <c r="E31" s="205"/>
      <c r="F31" s="17">
        <f t="shared" si="1"/>
        <v>16495</v>
      </c>
    </row>
    <row r="32" ht="15.75" spans="1:6">
      <c r="A32" s="206" t="s">
        <v>2714</v>
      </c>
      <c r="B32" s="203" t="s">
        <v>2696</v>
      </c>
      <c r="C32" s="203" t="s">
        <v>2715</v>
      </c>
      <c r="D32" s="205">
        <v>2700</v>
      </c>
      <c r="E32" s="205"/>
      <c r="F32" s="17">
        <f t="shared" si="1"/>
        <v>13795</v>
      </c>
    </row>
    <row r="33" ht="15.75" spans="1:6">
      <c r="A33" s="206" t="s">
        <v>2716</v>
      </c>
      <c r="B33" s="203" t="s">
        <v>1197</v>
      </c>
      <c r="C33" s="203" t="s">
        <v>2717</v>
      </c>
      <c r="D33" s="204"/>
      <c r="E33" s="205">
        <v>5480</v>
      </c>
      <c r="F33" s="17">
        <f t="shared" si="1"/>
        <v>19275</v>
      </c>
    </row>
    <row r="34" ht="15.75" spans="1:12">
      <c r="A34" s="202" t="s">
        <v>2718</v>
      </c>
      <c r="B34" s="208" t="s">
        <v>2719</v>
      </c>
      <c r="C34" s="203" t="s">
        <v>2695</v>
      </c>
      <c r="D34" s="204"/>
      <c r="E34" s="205">
        <v>11009</v>
      </c>
      <c r="F34" s="17">
        <f t="shared" si="1"/>
        <v>30284</v>
      </c>
      <c r="L34" s="76"/>
    </row>
    <row r="35" ht="15.75" spans="1:6">
      <c r="A35" s="202" t="s">
        <v>2718</v>
      </c>
      <c r="B35" s="203" t="s">
        <v>2696</v>
      </c>
      <c r="C35" s="203" t="s">
        <v>157</v>
      </c>
      <c r="D35" s="205">
        <v>4300</v>
      </c>
      <c r="E35" s="205"/>
      <c r="F35" s="17">
        <f t="shared" si="1"/>
        <v>25984</v>
      </c>
    </row>
    <row r="36" ht="15.75" spans="1:6">
      <c r="A36" s="202"/>
      <c r="B36" s="203"/>
      <c r="C36" s="203" t="s">
        <v>157</v>
      </c>
      <c r="D36" s="205">
        <v>2500</v>
      </c>
      <c r="E36" s="205"/>
      <c r="F36" s="17">
        <f t="shared" si="1"/>
        <v>23484</v>
      </c>
    </row>
    <row r="37" ht="15.75" spans="1:6">
      <c r="A37" s="202" t="s">
        <v>2720</v>
      </c>
      <c r="B37" s="203" t="s">
        <v>2696</v>
      </c>
      <c r="C37" s="203" t="s">
        <v>157</v>
      </c>
      <c r="D37" s="205">
        <v>8000</v>
      </c>
      <c r="E37" s="205"/>
      <c r="F37" s="17">
        <f t="shared" si="1"/>
        <v>15484</v>
      </c>
    </row>
    <row r="38" ht="15.75" spans="1:6">
      <c r="A38" s="209" t="s">
        <v>2720</v>
      </c>
      <c r="B38" s="210" t="s">
        <v>1204</v>
      </c>
      <c r="C38" s="210" t="s">
        <v>2695</v>
      </c>
      <c r="D38" s="211"/>
      <c r="E38" s="211">
        <v>16929</v>
      </c>
      <c r="F38" s="17">
        <f t="shared" si="1"/>
        <v>32413</v>
      </c>
    </row>
    <row r="39" ht="15.75" spans="1:6">
      <c r="A39" s="212" t="s">
        <v>1612</v>
      </c>
      <c r="B39" s="213" t="s">
        <v>2721</v>
      </c>
      <c r="C39" s="213" t="s">
        <v>2695</v>
      </c>
      <c r="D39" s="214"/>
      <c r="E39" s="214">
        <v>4220</v>
      </c>
      <c r="F39" s="17">
        <f t="shared" si="1"/>
        <v>36633</v>
      </c>
    </row>
    <row r="40" ht="15.75" spans="1:6">
      <c r="A40" s="198" t="s">
        <v>1513</v>
      </c>
      <c r="B40" s="215" t="s">
        <v>2722</v>
      </c>
      <c r="C40" s="199" t="s">
        <v>2695</v>
      </c>
      <c r="D40" s="201"/>
      <c r="E40" s="201">
        <v>9844</v>
      </c>
      <c r="F40" s="17">
        <f t="shared" si="1"/>
        <v>46477</v>
      </c>
    </row>
    <row r="41" ht="15.75" spans="1:6">
      <c r="A41" s="209" t="s">
        <v>1513</v>
      </c>
      <c r="B41" s="210" t="s">
        <v>2696</v>
      </c>
      <c r="C41" s="210" t="s">
        <v>157</v>
      </c>
      <c r="D41" s="211">
        <v>4210</v>
      </c>
      <c r="E41" s="211"/>
      <c r="F41" s="17">
        <f t="shared" si="1"/>
        <v>42267</v>
      </c>
    </row>
    <row r="42" ht="15.75" spans="1:6">
      <c r="A42" s="209" t="s">
        <v>2168</v>
      </c>
      <c r="B42" s="210" t="s">
        <v>2696</v>
      </c>
      <c r="C42" s="210" t="s">
        <v>157</v>
      </c>
      <c r="D42" s="211">
        <v>6000</v>
      </c>
      <c r="E42" s="211"/>
      <c r="F42" s="17">
        <f t="shared" si="1"/>
        <v>36267</v>
      </c>
    </row>
    <row r="43" ht="15.75" spans="1:6">
      <c r="A43" s="209" t="s">
        <v>2168</v>
      </c>
      <c r="B43" s="210" t="s">
        <v>2723</v>
      </c>
      <c r="C43" s="210" t="s">
        <v>2364</v>
      </c>
      <c r="D43" s="211"/>
      <c r="E43" s="211">
        <v>2600</v>
      </c>
      <c r="F43" s="17">
        <f t="shared" si="1"/>
        <v>38867</v>
      </c>
    </row>
    <row r="44" ht="15.75" spans="1:6">
      <c r="A44" s="209" t="s">
        <v>2042</v>
      </c>
      <c r="B44" s="210" t="s">
        <v>2696</v>
      </c>
      <c r="C44" s="210" t="s">
        <v>157</v>
      </c>
      <c r="D44" s="211">
        <v>5000</v>
      </c>
      <c r="E44" s="211"/>
      <c r="F44" s="17">
        <f t="shared" si="1"/>
        <v>33867</v>
      </c>
    </row>
    <row r="45" ht="15.75" spans="1:6">
      <c r="A45" s="209" t="s">
        <v>2042</v>
      </c>
      <c r="B45" s="210" t="s">
        <v>2696</v>
      </c>
      <c r="C45" s="210" t="s">
        <v>157</v>
      </c>
      <c r="D45" s="211">
        <v>1500</v>
      </c>
      <c r="E45" s="211"/>
      <c r="F45" s="17">
        <f t="shared" si="1"/>
        <v>32367</v>
      </c>
    </row>
    <row r="46" ht="15.75" spans="1:6">
      <c r="A46" s="209" t="s">
        <v>2042</v>
      </c>
      <c r="B46" s="210" t="s">
        <v>2724</v>
      </c>
      <c r="C46" s="210" t="s">
        <v>2695</v>
      </c>
      <c r="D46" s="211"/>
      <c r="E46" s="211">
        <v>8646</v>
      </c>
      <c r="F46" s="17">
        <f t="shared" si="1"/>
        <v>41013</v>
      </c>
    </row>
    <row r="47" ht="15.75" spans="1:6">
      <c r="A47" s="209" t="s">
        <v>2052</v>
      </c>
      <c r="B47" s="210" t="s">
        <v>2725</v>
      </c>
      <c r="C47" s="210" t="s">
        <v>2695</v>
      </c>
      <c r="D47" s="211"/>
      <c r="E47" s="211">
        <v>11275</v>
      </c>
      <c r="F47" s="17">
        <f t="shared" si="1"/>
        <v>52288</v>
      </c>
    </row>
    <row r="48" ht="15.75" spans="1:6">
      <c r="A48" s="209" t="s">
        <v>549</v>
      </c>
      <c r="B48" s="210" t="s">
        <v>2696</v>
      </c>
      <c r="C48" s="210" t="s">
        <v>157</v>
      </c>
      <c r="D48" s="211">
        <v>11200</v>
      </c>
      <c r="E48" s="211"/>
      <c r="F48" s="17">
        <f t="shared" si="1"/>
        <v>41088</v>
      </c>
    </row>
    <row r="49" ht="15.75" spans="1:6">
      <c r="A49" s="209" t="s">
        <v>2052</v>
      </c>
      <c r="B49" s="210" t="s">
        <v>2696</v>
      </c>
      <c r="C49" s="210" t="s">
        <v>2715</v>
      </c>
      <c r="D49" s="211">
        <v>9500</v>
      </c>
      <c r="E49" s="211"/>
      <c r="F49" s="17">
        <f t="shared" si="1"/>
        <v>31588</v>
      </c>
    </row>
    <row r="50" ht="15.75" spans="1:6">
      <c r="A50" s="209" t="s">
        <v>549</v>
      </c>
      <c r="B50" s="210" t="s">
        <v>2726</v>
      </c>
      <c r="C50" s="210" t="s">
        <v>2727</v>
      </c>
      <c r="D50" s="211"/>
      <c r="E50" s="211">
        <v>11246</v>
      </c>
      <c r="F50" s="17">
        <f t="shared" si="1"/>
        <v>42834</v>
      </c>
    </row>
    <row r="51" ht="15.75" spans="1:6">
      <c r="A51" s="216" t="s">
        <v>552</v>
      </c>
      <c r="B51" s="216" t="s">
        <v>2043</v>
      </c>
      <c r="C51" s="216" t="s">
        <v>157</v>
      </c>
      <c r="D51" s="217">
        <v>7500</v>
      </c>
      <c r="E51" s="218"/>
      <c r="F51" s="17">
        <f t="shared" si="1"/>
        <v>35334</v>
      </c>
    </row>
    <row r="52" ht="15.75" spans="1:6">
      <c r="A52" s="219"/>
      <c r="B52" s="219"/>
      <c r="C52" s="220" t="s">
        <v>2709</v>
      </c>
      <c r="D52" s="221">
        <v>2975</v>
      </c>
      <c r="E52" s="218"/>
      <c r="F52" s="17">
        <f t="shared" si="1"/>
        <v>32359</v>
      </c>
    </row>
    <row r="53" ht="15.75" spans="1:6">
      <c r="A53" s="222" t="s">
        <v>552</v>
      </c>
      <c r="B53" s="216" t="s">
        <v>2728</v>
      </c>
      <c r="C53" s="216" t="s">
        <v>2695</v>
      </c>
      <c r="D53" s="218"/>
      <c r="E53" s="217">
        <v>10946</v>
      </c>
      <c r="F53" s="17">
        <f t="shared" si="1"/>
        <v>43305</v>
      </c>
    </row>
    <row r="54" ht="15.75" spans="1:6">
      <c r="A54" s="223">
        <v>45725</v>
      </c>
      <c r="B54" s="224" t="s">
        <v>2729</v>
      </c>
      <c r="C54" s="220" t="s">
        <v>2730</v>
      </c>
      <c r="D54" s="218"/>
      <c r="E54" s="225">
        <v>1881</v>
      </c>
      <c r="F54" s="17">
        <f t="shared" si="1"/>
        <v>45186</v>
      </c>
    </row>
    <row r="55" ht="15.75" spans="1:6">
      <c r="A55" s="216" t="s">
        <v>2078</v>
      </c>
      <c r="B55" s="222" t="s">
        <v>2731</v>
      </c>
      <c r="C55" s="222" t="s">
        <v>2695</v>
      </c>
      <c r="D55" s="217"/>
      <c r="E55" s="217">
        <v>11452</v>
      </c>
      <c r="F55" s="17">
        <f t="shared" si="1"/>
        <v>56638</v>
      </c>
    </row>
    <row r="56" ht="15.75" spans="1:6">
      <c r="A56" s="216" t="s">
        <v>2227</v>
      </c>
      <c r="B56" s="216" t="s">
        <v>2732</v>
      </c>
      <c r="C56" s="222" t="s">
        <v>2368</v>
      </c>
      <c r="D56" s="217"/>
      <c r="E56" s="218">
        <v>3466</v>
      </c>
      <c r="F56" s="17">
        <f t="shared" si="1"/>
        <v>60104</v>
      </c>
    </row>
    <row r="57" ht="15.75" spans="1:6">
      <c r="A57" s="226" t="s">
        <v>2227</v>
      </c>
      <c r="B57" s="216" t="s">
        <v>2696</v>
      </c>
      <c r="C57" s="227" t="s">
        <v>157</v>
      </c>
      <c r="D57" s="217">
        <v>12000</v>
      </c>
      <c r="E57" s="218"/>
      <c r="F57" s="17">
        <f t="shared" si="1"/>
        <v>48104</v>
      </c>
    </row>
    <row r="58" ht="15.75" spans="1:6">
      <c r="A58" s="226"/>
      <c r="B58" s="216" t="s">
        <v>2696</v>
      </c>
      <c r="C58" s="227" t="s">
        <v>101</v>
      </c>
      <c r="D58" s="217">
        <v>3466</v>
      </c>
      <c r="E58" s="218"/>
      <c r="F58" s="17">
        <f t="shared" si="1"/>
        <v>44638</v>
      </c>
    </row>
    <row r="59" ht="15.75" spans="1:6">
      <c r="A59" s="226" t="s">
        <v>2524</v>
      </c>
      <c r="B59" s="216" t="s">
        <v>2696</v>
      </c>
      <c r="C59" s="227" t="s">
        <v>2733</v>
      </c>
      <c r="D59" s="217">
        <v>3460</v>
      </c>
      <c r="E59" s="218"/>
      <c r="F59" s="17">
        <f t="shared" si="1"/>
        <v>41178</v>
      </c>
    </row>
    <row r="60" ht="15.75" spans="1:6">
      <c r="A60" s="226" t="s">
        <v>2087</v>
      </c>
      <c r="B60" s="216" t="s">
        <v>2734</v>
      </c>
      <c r="C60" s="227" t="s">
        <v>2735</v>
      </c>
      <c r="D60" s="217"/>
      <c r="E60" s="218">
        <v>56625</v>
      </c>
      <c r="F60" s="17">
        <f t="shared" si="1"/>
        <v>97803</v>
      </c>
    </row>
    <row r="61" ht="15.75" spans="1:6">
      <c r="A61" s="228">
        <v>45942</v>
      </c>
      <c r="B61" s="229"/>
      <c r="C61" s="230" t="s">
        <v>2736</v>
      </c>
      <c r="D61" s="217">
        <v>15000</v>
      </c>
      <c r="E61" s="231"/>
      <c r="F61" s="17">
        <f t="shared" si="1"/>
        <v>82803</v>
      </c>
    </row>
    <row r="62" ht="15.75" spans="1:6">
      <c r="A62" s="228">
        <v>45942</v>
      </c>
      <c r="B62" s="229"/>
      <c r="C62" s="230" t="s">
        <v>2737</v>
      </c>
      <c r="D62" s="217">
        <v>10000</v>
      </c>
      <c r="E62" s="231"/>
      <c r="F62" s="17">
        <f t="shared" si="1"/>
        <v>72803</v>
      </c>
    </row>
    <row r="63" ht="15.75" spans="1:6">
      <c r="A63" s="232">
        <v>45942</v>
      </c>
      <c r="B63" s="229"/>
      <c r="C63" s="230" t="s">
        <v>2738</v>
      </c>
      <c r="D63" s="217">
        <v>5000</v>
      </c>
      <c r="E63" s="231"/>
      <c r="F63" s="17">
        <f t="shared" si="1"/>
        <v>67803</v>
      </c>
    </row>
    <row r="64" ht="15.75" spans="1:6">
      <c r="A64" s="233" t="s">
        <v>2677</v>
      </c>
      <c r="B64" s="229" t="s">
        <v>2739</v>
      </c>
      <c r="C64" s="230" t="s">
        <v>2740</v>
      </c>
      <c r="D64" s="217"/>
      <c r="E64" s="231">
        <v>8035</v>
      </c>
      <c r="F64" s="17">
        <f t="shared" si="1"/>
        <v>75838</v>
      </c>
    </row>
    <row r="65" ht="15.75" spans="1:6">
      <c r="A65" s="233" t="s">
        <v>2635</v>
      </c>
      <c r="B65" s="229" t="s">
        <v>2043</v>
      </c>
      <c r="C65" s="230" t="s">
        <v>2614</v>
      </c>
      <c r="D65" s="217">
        <v>8035</v>
      </c>
      <c r="E65" s="231"/>
      <c r="F65" s="17">
        <f t="shared" si="1"/>
        <v>67803</v>
      </c>
    </row>
    <row r="66" ht="15.75" spans="1:6">
      <c r="A66" s="233" t="s">
        <v>2635</v>
      </c>
      <c r="B66" s="229" t="s">
        <v>2741</v>
      </c>
      <c r="C66" s="230" t="s">
        <v>2695</v>
      </c>
      <c r="D66" s="217"/>
      <c r="E66" s="231">
        <v>11496</v>
      </c>
      <c r="F66" s="17">
        <f t="shared" si="1"/>
        <v>79299</v>
      </c>
    </row>
    <row r="67" ht="15.75" spans="1:6">
      <c r="A67" s="233"/>
      <c r="B67" s="229"/>
      <c r="C67" s="230"/>
      <c r="D67" s="217"/>
      <c r="E67" s="231"/>
      <c r="F67" s="17">
        <f t="shared" si="1"/>
        <v>79299</v>
      </c>
    </row>
    <row r="68" ht="15.75" spans="1:6">
      <c r="A68" s="233"/>
      <c r="B68" s="229"/>
      <c r="C68" s="230"/>
      <c r="D68" s="217"/>
      <c r="E68" s="231"/>
      <c r="F68" s="17">
        <f t="shared" si="1"/>
        <v>79299</v>
      </c>
    </row>
    <row r="69" ht="15.75" spans="1:6">
      <c r="A69" s="233"/>
      <c r="B69" s="229"/>
      <c r="C69" s="230"/>
      <c r="D69" s="217"/>
      <c r="E69" s="231"/>
      <c r="F69" s="17">
        <f t="shared" si="1"/>
        <v>79299</v>
      </c>
    </row>
    <row r="70" ht="15.75" spans="1:6">
      <c r="A70" s="233"/>
      <c r="B70" s="229"/>
      <c r="C70" s="230"/>
      <c r="D70" s="217"/>
      <c r="E70" s="231"/>
      <c r="F70" s="17">
        <f t="shared" si="1"/>
        <v>79299</v>
      </c>
    </row>
    <row r="71" ht="15.75" spans="1:6">
      <c r="A71" s="233"/>
      <c r="B71" s="229"/>
      <c r="C71" s="230"/>
      <c r="D71" s="217"/>
      <c r="E71" s="231"/>
      <c r="F71" s="17">
        <f t="shared" si="1"/>
        <v>79299</v>
      </c>
    </row>
    <row r="72" ht="18.75" spans="1:6">
      <c r="A72" s="234"/>
      <c r="B72" s="235" t="s">
        <v>2688</v>
      </c>
      <c r="C72" s="236"/>
      <c r="D72" s="237"/>
      <c r="E72" s="238"/>
      <c r="F72" s="17">
        <f t="shared" si="1"/>
        <v>79299</v>
      </c>
    </row>
    <row r="73" ht="15.75" spans="1:6">
      <c r="A73" s="239"/>
      <c r="B73" s="239"/>
      <c r="C73" s="239"/>
      <c r="D73" s="239"/>
      <c r="E73" s="240"/>
      <c r="F73" s="117"/>
    </row>
    <row r="74" ht="15.75" spans="3:10">
      <c r="C74" s="240"/>
      <c r="D74" s="240"/>
      <c r="E74" s="240"/>
      <c r="F74" s="241"/>
      <c r="J74" s="240"/>
    </row>
    <row r="75" ht="15.75" spans="3:6">
      <c r="C75" s="240"/>
      <c r="D75" s="240"/>
      <c r="E75" s="240"/>
      <c r="F75" s="20"/>
    </row>
    <row r="76" ht="15.75" spans="3:6">
      <c r="C76" s="240"/>
      <c r="D76" s="240"/>
      <c r="E76" s="240"/>
      <c r="F76" s="20"/>
    </row>
    <row r="77" ht="15.75" spans="4:6">
      <c r="D77" s="240"/>
      <c r="E77" s="240"/>
      <c r="F77" s="20"/>
    </row>
    <row r="78" ht="15.75" spans="4:6">
      <c r="D78" s="240"/>
      <c r="E78" s="240"/>
      <c r="F78" s="20"/>
    </row>
    <row r="79" ht="15.75" spans="4:6">
      <c r="D79" s="240"/>
      <c r="E79" s="240"/>
      <c r="F79" s="20"/>
    </row>
    <row r="80" spans="4:6">
      <c r="D80" s="240"/>
      <c r="E80" s="240"/>
      <c r="F80" s="240"/>
    </row>
    <row r="81" spans="4:5">
      <c r="D81" s="240"/>
      <c r="E81" s="240"/>
    </row>
    <row r="82" spans="4:5">
      <c r="D82" s="240"/>
      <c r="E82" s="240"/>
    </row>
    <row r="83" spans="4:5">
      <c r="D83" s="240"/>
      <c r="E83" s="240"/>
    </row>
    <row r="84" spans="4:5">
      <c r="D84" s="240"/>
      <c r="E84" s="240"/>
    </row>
    <row r="85" spans="4:5">
      <c r="D85" s="240"/>
      <c r="E85" s="240"/>
    </row>
    <row r="86" spans="4:5">
      <c r="D86" s="240"/>
      <c r="E86" s="240"/>
    </row>
    <row r="87" spans="4:5">
      <c r="D87" s="240"/>
      <c r="E87" s="240"/>
    </row>
    <row r="88" spans="4:5">
      <c r="D88" s="240"/>
      <c r="E88" s="240"/>
    </row>
    <row r="89" spans="4:5">
      <c r="D89" s="240"/>
      <c r="E89" s="240"/>
    </row>
    <row r="90" spans="4:5">
      <c r="D90" s="240"/>
      <c r="E90" s="240"/>
    </row>
    <row r="91" spans="4:5">
      <c r="D91" s="240"/>
      <c r="E91" s="240"/>
    </row>
    <row r="92" spans="4:5">
      <c r="D92" s="240"/>
      <c r="E92" s="240"/>
    </row>
    <row r="93" spans="4:5">
      <c r="D93" s="240"/>
      <c r="E93" s="240"/>
    </row>
    <row r="94" spans="4:5">
      <c r="D94" s="240"/>
      <c r="E94" s="240"/>
    </row>
    <row r="95" spans="4:5">
      <c r="D95" s="240"/>
      <c r="E95" s="240"/>
    </row>
  </sheetData>
  <mergeCells count="5">
    <mergeCell ref="A3:C3"/>
    <mergeCell ref="D3:F3"/>
    <mergeCell ref="A4:B4"/>
    <mergeCell ref="C4:F4"/>
    <mergeCell ref="A1:F2"/>
  </mergeCells>
  <pageMargins left="0.7" right="0.7" top="0.75" bottom="0.75" header="0.3" footer="0.3"/>
  <pageSetup paperSize="9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I103"/>
  <sheetViews>
    <sheetView topLeftCell="A79" workbookViewId="0">
      <selection activeCell="B95" sqref="B95"/>
    </sheetView>
  </sheetViews>
  <sheetFormatPr defaultColWidth="9" defaultRowHeight="15"/>
  <cols>
    <col min="1" max="1" width="11.7142857142857" customWidth="1"/>
    <col min="2" max="2" width="11.1428571428571" customWidth="1"/>
    <col min="3" max="3" width="29.5714285714286" customWidth="1"/>
    <col min="4" max="4" width="11.8571428571429" customWidth="1"/>
    <col min="5" max="5" width="12.8571428571429" customWidth="1"/>
    <col min="6" max="6" width="9.85714285714286" customWidth="1"/>
  </cols>
  <sheetData>
    <row r="1" ht="20.25" customHeight="1" spans="1:6">
      <c r="A1" s="1" t="s">
        <v>81</v>
      </c>
      <c r="B1" s="2"/>
      <c r="C1" s="2"/>
      <c r="D1" s="2"/>
      <c r="E1" s="2"/>
      <c r="F1" s="3"/>
    </row>
    <row r="2" ht="20.25" customHeight="1" spans="1:6">
      <c r="A2" s="4"/>
      <c r="B2" s="5"/>
      <c r="C2" s="5"/>
      <c r="D2" s="5"/>
      <c r="E2" s="5"/>
      <c r="F2" s="6"/>
    </row>
    <row r="3" ht="33" customHeight="1" spans="1:6">
      <c r="A3" s="7" t="s">
        <v>82</v>
      </c>
      <c r="B3" s="8"/>
      <c r="C3" s="9"/>
      <c r="D3" s="10" t="s">
        <v>2000</v>
      </c>
      <c r="E3" s="11"/>
      <c r="F3" s="12"/>
    </row>
    <row r="4" ht="22.5" customHeight="1" spans="1:6">
      <c r="A4" s="13" t="s">
        <v>84</v>
      </c>
      <c r="B4" s="13"/>
      <c r="C4" s="14"/>
      <c r="D4" s="15"/>
      <c r="E4" s="15"/>
      <c r="F4" s="16"/>
    </row>
    <row r="5" ht="18.75" customHeight="1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3" t="s">
        <v>1201</v>
      </c>
      <c r="B6" s="174" t="s">
        <v>2035</v>
      </c>
      <c r="C6" s="167" t="s">
        <v>2000</v>
      </c>
      <c r="D6" s="17">
        <v>9828</v>
      </c>
      <c r="E6" s="17">
        <v>9828</v>
      </c>
      <c r="F6" s="17">
        <f>E6-D6</f>
        <v>0</v>
      </c>
    </row>
    <row r="7" ht="15.75" spans="1:6">
      <c r="A7" s="173" t="s">
        <v>2742</v>
      </c>
      <c r="B7" s="174" t="s">
        <v>2037</v>
      </c>
      <c r="C7" s="167" t="s">
        <v>2743</v>
      </c>
      <c r="D7" s="17"/>
      <c r="E7" s="17">
        <v>8000</v>
      </c>
      <c r="F7" s="17">
        <f>F6-D7+E7</f>
        <v>8000</v>
      </c>
    </row>
    <row r="8" ht="15.75" spans="1:6">
      <c r="A8" s="173" t="s">
        <v>2744</v>
      </c>
      <c r="B8" s="174" t="s">
        <v>2037</v>
      </c>
      <c r="C8" s="167" t="s">
        <v>2745</v>
      </c>
      <c r="D8" s="17">
        <v>8000</v>
      </c>
      <c r="E8" s="17"/>
      <c r="F8" s="17">
        <f t="shared" ref="F8:F62" si="0">F7-D8+E8</f>
        <v>0</v>
      </c>
    </row>
    <row r="9" ht="15.75" spans="1:6">
      <c r="A9" s="173" t="s">
        <v>547</v>
      </c>
      <c r="B9" s="174" t="s">
        <v>2043</v>
      </c>
      <c r="C9" s="167" t="s">
        <v>101</v>
      </c>
      <c r="D9" s="17">
        <v>13500</v>
      </c>
      <c r="E9" s="17"/>
      <c r="F9" s="17">
        <f t="shared" si="0"/>
        <v>-13500</v>
      </c>
    </row>
    <row r="10" ht="15.75" spans="1:6">
      <c r="A10" s="173" t="s">
        <v>1513</v>
      </c>
      <c r="B10" s="174" t="s">
        <v>2038</v>
      </c>
      <c r="C10" s="167" t="s">
        <v>2039</v>
      </c>
      <c r="D10" s="17"/>
      <c r="E10" s="17">
        <v>17640</v>
      </c>
      <c r="F10" s="17">
        <f t="shared" si="0"/>
        <v>4140</v>
      </c>
    </row>
    <row r="11" ht="15.75" spans="1:6">
      <c r="A11" s="175" t="s">
        <v>2042</v>
      </c>
      <c r="B11" s="174" t="s">
        <v>2043</v>
      </c>
      <c r="C11" s="176" t="s">
        <v>101</v>
      </c>
      <c r="D11" s="17">
        <v>6500</v>
      </c>
      <c r="E11" s="17"/>
      <c r="F11" s="17">
        <f t="shared" si="0"/>
        <v>-2360</v>
      </c>
    </row>
    <row r="12" ht="15.75" spans="1:6">
      <c r="A12" s="175" t="s">
        <v>2052</v>
      </c>
      <c r="B12" s="174" t="s">
        <v>2053</v>
      </c>
      <c r="C12" s="176" t="s">
        <v>2743</v>
      </c>
      <c r="D12" s="17"/>
      <c r="E12" s="17">
        <v>26908</v>
      </c>
      <c r="F12" s="17">
        <f t="shared" si="0"/>
        <v>24548</v>
      </c>
    </row>
    <row r="13" ht="15.75" spans="1:6">
      <c r="A13" s="175" t="s">
        <v>2046</v>
      </c>
      <c r="B13" s="174" t="s">
        <v>2043</v>
      </c>
      <c r="C13" s="176" t="s">
        <v>101</v>
      </c>
      <c r="D13" s="17">
        <v>16000</v>
      </c>
      <c r="E13" s="17"/>
      <c r="F13" s="17">
        <f t="shared" si="0"/>
        <v>8548</v>
      </c>
    </row>
    <row r="14" ht="15.75" spans="1:6">
      <c r="A14" s="175" t="s">
        <v>552</v>
      </c>
      <c r="B14" s="174" t="s">
        <v>2043</v>
      </c>
      <c r="C14" s="176" t="s">
        <v>2049</v>
      </c>
      <c r="D14" s="17">
        <v>8900</v>
      </c>
      <c r="E14" s="17"/>
      <c r="F14" s="17">
        <f t="shared" si="0"/>
        <v>-352</v>
      </c>
    </row>
    <row r="15" ht="15.75" spans="1:6">
      <c r="A15" s="177" t="s">
        <v>554</v>
      </c>
      <c r="B15" s="36" t="s">
        <v>2055</v>
      </c>
      <c r="C15" s="178" t="s">
        <v>2039</v>
      </c>
      <c r="D15" s="17"/>
      <c r="E15" s="17">
        <v>15060</v>
      </c>
      <c r="F15" s="17">
        <f t="shared" si="0"/>
        <v>14708</v>
      </c>
    </row>
    <row r="16" ht="15.75" spans="1:6">
      <c r="A16" s="177" t="s">
        <v>554</v>
      </c>
      <c r="B16" s="36" t="s">
        <v>2043</v>
      </c>
      <c r="C16" s="178" t="s">
        <v>2033</v>
      </c>
      <c r="D16" s="17">
        <v>1640</v>
      </c>
      <c r="E16" s="17"/>
      <c r="F16" s="17">
        <f t="shared" si="0"/>
        <v>13068</v>
      </c>
    </row>
    <row r="17" ht="15.75" spans="1:6">
      <c r="A17" s="179">
        <v>45725</v>
      </c>
      <c r="B17" s="180" t="s">
        <v>2058</v>
      </c>
      <c r="C17" s="181" t="s">
        <v>2039</v>
      </c>
      <c r="D17" s="17"/>
      <c r="E17" s="17">
        <v>25628</v>
      </c>
      <c r="F17" s="17">
        <f t="shared" si="0"/>
        <v>38696</v>
      </c>
    </row>
    <row r="18" ht="15.75" spans="1:6">
      <c r="A18" s="179">
        <v>45725</v>
      </c>
      <c r="B18" s="180" t="s">
        <v>2043</v>
      </c>
      <c r="C18" s="178" t="s">
        <v>157</v>
      </c>
      <c r="D18" s="17">
        <v>15000</v>
      </c>
      <c r="E18" s="17"/>
      <c r="F18" s="17">
        <f t="shared" si="0"/>
        <v>23696</v>
      </c>
    </row>
    <row r="19" ht="15.75" spans="1:6">
      <c r="A19" s="179">
        <v>45909</v>
      </c>
      <c r="B19" s="180" t="s">
        <v>2043</v>
      </c>
      <c r="C19" s="181" t="s">
        <v>101</v>
      </c>
      <c r="D19" s="17">
        <v>15000</v>
      </c>
      <c r="E19" s="17"/>
      <c r="F19" s="17">
        <f t="shared" si="0"/>
        <v>8696</v>
      </c>
    </row>
    <row r="20" ht="15.75" spans="1:6">
      <c r="A20" s="119">
        <v>45970</v>
      </c>
      <c r="B20" s="180" t="s">
        <v>2062</v>
      </c>
      <c r="C20" s="182" t="s">
        <v>2746</v>
      </c>
      <c r="D20" s="17"/>
      <c r="E20" s="17">
        <v>42550</v>
      </c>
      <c r="F20" s="17">
        <f t="shared" si="0"/>
        <v>51246</v>
      </c>
    </row>
    <row r="21" ht="15.75" spans="1:6">
      <c r="A21" s="119" t="s">
        <v>2061</v>
      </c>
      <c r="B21" s="180" t="s">
        <v>2043</v>
      </c>
      <c r="C21" s="183" t="s">
        <v>101</v>
      </c>
      <c r="D21" s="17">
        <v>42550</v>
      </c>
      <c r="E21" s="17"/>
      <c r="F21" s="17">
        <f t="shared" si="0"/>
        <v>8696</v>
      </c>
    </row>
    <row r="22" ht="15.75" spans="1:6">
      <c r="A22" s="119">
        <v>45970</v>
      </c>
      <c r="B22" s="180" t="s">
        <v>2747</v>
      </c>
      <c r="C22" s="183" t="s">
        <v>2743</v>
      </c>
      <c r="D22" s="17"/>
      <c r="E22" s="17">
        <v>11530</v>
      </c>
      <c r="F22" s="17">
        <f t="shared" si="0"/>
        <v>20226</v>
      </c>
    </row>
    <row r="23" ht="15.75" spans="1:6">
      <c r="A23" s="119" t="s">
        <v>2061</v>
      </c>
      <c r="B23" s="180" t="s">
        <v>2071</v>
      </c>
      <c r="C23" s="183" t="s">
        <v>2743</v>
      </c>
      <c r="D23" s="17"/>
      <c r="E23" s="17">
        <v>14664</v>
      </c>
      <c r="F23" s="17">
        <f t="shared" si="0"/>
        <v>34890</v>
      </c>
    </row>
    <row r="24" ht="15.75" spans="1:6">
      <c r="A24" s="177" t="s">
        <v>2061</v>
      </c>
      <c r="B24" s="180" t="s">
        <v>2043</v>
      </c>
      <c r="C24" s="184" t="s">
        <v>2065</v>
      </c>
      <c r="D24" s="17">
        <v>3900</v>
      </c>
      <c r="E24" s="17"/>
      <c r="F24" s="17">
        <f t="shared" si="0"/>
        <v>30990</v>
      </c>
    </row>
    <row r="25" ht="15.75" spans="1:6">
      <c r="A25" s="177" t="s">
        <v>2074</v>
      </c>
      <c r="B25" s="180" t="s">
        <v>2043</v>
      </c>
      <c r="C25" s="185" t="s">
        <v>2075</v>
      </c>
      <c r="D25" s="17">
        <v>30000</v>
      </c>
      <c r="E25" s="17"/>
      <c r="F25" s="17">
        <f t="shared" si="0"/>
        <v>990</v>
      </c>
    </row>
    <row r="26" ht="15.75" spans="1:6">
      <c r="A26" s="177" t="s">
        <v>2078</v>
      </c>
      <c r="B26" s="36" t="s">
        <v>2079</v>
      </c>
      <c r="C26" s="36" t="s">
        <v>140</v>
      </c>
      <c r="D26" s="17"/>
      <c r="E26" s="17">
        <v>22950</v>
      </c>
      <c r="F26" s="17">
        <f t="shared" si="0"/>
        <v>23940</v>
      </c>
    </row>
    <row r="27" ht="15.75" spans="1:6">
      <c r="A27" s="177" t="s">
        <v>2082</v>
      </c>
      <c r="B27" s="36" t="s">
        <v>2043</v>
      </c>
      <c r="C27" s="36" t="s">
        <v>101</v>
      </c>
      <c r="D27" s="17">
        <v>15000</v>
      </c>
      <c r="E27" s="17"/>
      <c r="F27" s="17">
        <f t="shared" si="0"/>
        <v>8940</v>
      </c>
    </row>
    <row r="28" ht="15.75" spans="1:6">
      <c r="A28" s="186" t="s">
        <v>2085</v>
      </c>
      <c r="B28" s="36" t="s">
        <v>2086</v>
      </c>
      <c r="C28" s="36" t="s">
        <v>140</v>
      </c>
      <c r="D28" s="17"/>
      <c r="E28" s="17">
        <v>24260</v>
      </c>
      <c r="F28" s="17">
        <f t="shared" si="0"/>
        <v>33200</v>
      </c>
    </row>
    <row r="29" ht="15.75" spans="1:6">
      <c r="A29" s="186" t="s">
        <v>2087</v>
      </c>
      <c r="B29" s="36" t="s">
        <v>2043</v>
      </c>
      <c r="C29" s="36" t="s">
        <v>157</v>
      </c>
      <c r="D29" s="17">
        <v>20000</v>
      </c>
      <c r="E29" s="17"/>
      <c r="F29" s="17">
        <f t="shared" si="0"/>
        <v>13200</v>
      </c>
    </row>
    <row r="30" ht="15.75" spans="1:6">
      <c r="A30" s="119">
        <v>45667</v>
      </c>
      <c r="B30" s="36" t="s">
        <v>2090</v>
      </c>
      <c r="C30" s="36" t="s">
        <v>140</v>
      </c>
      <c r="D30" s="17"/>
      <c r="E30" s="17">
        <v>24000</v>
      </c>
      <c r="F30" s="17">
        <f t="shared" si="0"/>
        <v>37200</v>
      </c>
    </row>
    <row r="31" ht="15.75" spans="1:6">
      <c r="A31" s="119">
        <v>45757</v>
      </c>
      <c r="B31" s="36" t="s">
        <v>2043</v>
      </c>
      <c r="C31" s="36" t="s">
        <v>157</v>
      </c>
      <c r="D31" s="17">
        <v>11000</v>
      </c>
      <c r="E31" s="17"/>
      <c r="F31" s="17">
        <f t="shared" si="0"/>
        <v>26200</v>
      </c>
    </row>
    <row r="32" ht="15.75" spans="1:6">
      <c r="A32" s="119">
        <v>45787</v>
      </c>
      <c r="B32" s="36" t="s">
        <v>2043</v>
      </c>
      <c r="C32" s="36" t="s">
        <v>157</v>
      </c>
      <c r="D32" s="17">
        <v>4000</v>
      </c>
      <c r="E32" s="17"/>
      <c r="F32" s="17">
        <f t="shared" si="0"/>
        <v>22200</v>
      </c>
    </row>
    <row r="33" ht="15.75" spans="1:6">
      <c r="A33" s="119">
        <v>45879</v>
      </c>
      <c r="B33" s="36" t="s">
        <v>2097</v>
      </c>
      <c r="C33" s="36" t="s">
        <v>140</v>
      </c>
      <c r="D33" s="17"/>
      <c r="E33" s="17">
        <v>16300</v>
      </c>
      <c r="F33" s="17">
        <f t="shared" si="0"/>
        <v>38500</v>
      </c>
    </row>
    <row r="34" ht="15.75" spans="1:6">
      <c r="A34" s="187">
        <v>45971</v>
      </c>
      <c r="B34" s="180" t="s">
        <v>2043</v>
      </c>
      <c r="C34" s="180" t="s">
        <v>101</v>
      </c>
      <c r="D34" s="17">
        <v>9200</v>
      </c>
      <c r="E34" s="17"/>
      <c r="F34" s="17">
        <f t="shared" si="0"/>
        <v>29300</v>
      </c>
    </row>
    <row r="35" ht="15.75" spans="1:6">
      <c r="A35" s="187">
        <v>46001</v>
      </c>
      <c r="B35" s="180" t="s">
        <v>2748</v>
      </c>
      <c r="C35" s="180" t="s">
        <v>2749</v>
      </c>
      <c r="D35" s="17"/>
      <c r="E35" s="17">
        <v>1450</v>
      </c>
      <c r="F35" s="17">
        <f t="shared" si="0"/>
        <v>30750</v>
      </c>
    </row>
    <row r="36" ht="15.75" spans="1:6">
      <c r="A36" s="188">
        <v>46001</v>
      </c>
      <c r="B36" s="189" t="s">
        <v>2043</v>
      </c>
      <c r="C36" s="189" t="s">
        <v>101</v>
      </c>
      <c r="D36" s="17">
        <v>3000</v>
      </c>
      <c r="E36" s="17"/>
      <c r="F36" s="17">
        <f t="shared" si="0"/>
        <v>27750</v>
      </c>
    </row>
    <row r="37" ht="15.75" spans="1:6">
      <c r="A37" s="103" t="s">
        <v>2267</v>
      </c>
      <c r="B37" s="17" t="s">
        <v>2750</v>
      </c>
      <c r="C37" s="17" t="s">
        <v>2743</v>
      </c>
      <c r="D37" s="17"/>
      <c r="E37" s="17">
        <v>10460</v>
      </c>
      <c r="F37" s="17">
        <f t="shared" si="0"/>
        <v>38210</v>
      </c>
    </row>
    <row r="38" ht="15.75" spans="1:6">
      <c r="A38" s="103" t="s">
        <v>2536</v>
      </c>
      <c r="B38" s="17" t="s">
        <v>2043</v>
      </c>
      <c r="C38" s="17" t="s">
        <v>157</v>
      </c>
      <c r="D38" s="17">
        <v>19000</v>
      </c>
      <c r="E38" s="17"/>
      <c r="F38" s="17">
        <f t="shared" si="0"/>
        <v>19210</v>
      </c>
    </row>
    <row r="39" ht="15.75" spans="1:6">
      <c r="A39" s="103" t="s">
        <v>2751</v>
      </c>
      <c r="B39" s="17" t="s">
        <v>2752</v>
      </c>
      <c r="C39" s="17" t="s">
        <v>2743</v>
      </c>
      <c r="D39" s="17"/>
      <c r="E39" s="17">
        <v>18580</v>
      </c>
      <c r="F39" s="17">
        <f t="shared" si="0"/>
        <v>37790</v>
      </c>
    </row>
    <row r="40" ht="15.75" spans="1:6">
      <c r="A40" s="103" t="s">
        <v>2753</v>
      </c>
      <c r="B40" s="17" t="s">
        <v>2043</v>
      </c>
      <c r="C40" s="17" t="s">
        <v>101</v>
      </c>
      <c r="D40" s="17">
        <v>10000</v>
      </c>
      <c r="E40" s="17"/>
      <c r="F40" s="17">
        <f t="shared" si="0"/>
        <v>27790</v>
      </c>
    </row>
    <row r="41" ht="15.75" spans="1:6">
      <c r="A41" s="103" t="s">
        <v>1755</v>
      </c>
      <c r="B41" s="17" t="s">
        <v>2043</v>
      </c>
      <c r="C41" s="17" t="s">
        <v>101</v>
      </c>
      <c r="D41" s="17">
        <v>4500</v>
      </c>
      <c r="E41" s="17"/>
      <c r="F41" s="17">
        <f t="shared" si="0"/>
        <v>23290</v>
      </c>
    </row>
    <row r="42" ht="15.75" spans="1:6">
      <c r="A42" s="103" t="s">
        <v>1755</v>
      </c>
      <c r="B42" s="17" t="s">
        <v>2043</v>
      </c>
      <c r="C42" s="17" t="s">
        <v>157</v>
      </c>
      <c r="D42" s="17">
        <v>3500</v>
      </c>
      <c r="E42" s="17"/>
      <c r="F42" s="17">
        <f t="shared" si="0"/>
        <v>19790</v>
      </c>
    </row>
    <row r="43" ht="15.75" spans="1:9">
      <c r="A43" s="103" t="s">
        <v>1755</v>
      </c>
      <c r="B43" s="17" t="s">
        <v>2754</v>
      </c>
      <c r="C43" s="17" t="s">
        <v>2743</v>
      </c>
      <c r="D43" s="17"/>
      <c r="E43" s="17">
        <v>18680</v>
      </c>
      <c r="F43" s="17">
        <f t="shared" si="0"/>
        <v>38470</v>
      </c>
      <c r="I43" s="76"/>
    </row>
    <row r="44" ht="15.75" spans="1:6">
      <c r="A44" s="103" t="s">
        <v>2755</v>
      </c>
      <c r="B44" s="17" t="s">
        <v>2043</v>
      </c>
      <c r="C44" s="17" t="s">
        <v>157</v>
      </c>
      <c r="D44" s="17">
        <v>18000</v>
      </c>
      <c r="E44" s="17"/>
      <c r="F44" s="17">
        <f t="shared" si="0"/>
        <v>20470</v>
      </c>
    </row>
    <row r="45" ht="15.75" spans="1:6">
      <c r="A45" s="103" t="s">
        <v>2551</v>
      </c>
      <c r="B45" s="17" t="s">
        <v>2043</v>
      </c>
      <c r="C45" s="17" t="s">
        <v>157</v>
      </c>
      <c r="D45" s="17">
        <v>18000</v>
      </c>
      <c r="E45" s="17"/>
      <c r="F45" s="17">
        <f t="shared" si="0"/>
        <v>2470</v>
      </c>
    </row>
    <row r="46" ht="15.75" spans="1:6">
      <c r="A46" s="103" t="s">
        <v>2551</v>
      </c>
      <c r="B46" s="17" t="s">
        <v>2756</v>
      </c>
      <c r="C46" s="17" t="s">
        <v>2743</v>
      </c>
      <c r="D46" s="17"/>
      <c r="E46" s="17">
        <v>18790</v>
      </c>
      <c r="F46" s="17">
        <f t="shared" si="0"/>
        <v>21260</v>
      </c>
    </row>
    <row r="47" ht="15.75" spans="1:6">
      <c r="A47" s="190">
        <v>45758</v>
      </c>
      <c r="B47" s="17" t="s">
        <v>2043</v>
      </c>
      <c r="C47" s="17" t="s">
        <v>157</v>
      </c>
      <c r="D47" s="17">
        <v>21000</v>
      </c>
      <c r="E47" s="17"/>
      <c r="F47" s="17">
        <f t="shared" si="0"/>
        <v>260</v>
      </c>
    </row>
    <row r="48" ht="15.75" spans="1:6">
      <c r="A48" s="190">
        <v>45758</v>
      </c>
      <c r="B48" s="17" t="s">
        <v>2757</v>
      </c>
      <c r="C48" s="17" t="s">
        <v>2743</v>
      </c>
      <c r="D48" s="17"/>
      <c r="E48" s="17">
        <v>17840</v>
      </c>
      <c r="F48" s="17">
        <f t="shared" si="0"/>
        <v>18100</v>
      </c>
    </row>
    <row r="49" ht="15.75" spans="1:6">
      <c r="A49" s="190">
        <v>45819</v>
      </c>
      <c r="B49" s="17" t="s">
        <v>2758</v>
      </c>
      <c r="C49" s="17" t="s">
        <v>2759</v>
      </c>
      <c r="D49" s="17"/>
      <c r="E49" s="17">
        <v>5590</v>
      </c>
      <c r="F49" s="17">
        <f t="shared" si="0"/>
        <v>23690</v>
      </c>
    </row>
    <row r="50" ht="15.75" spans="1:6">
      <c r="A50" s="190">
        <v>45911</v>
      </c>
      <c r="B50" s="17" t="s">
        <v>2760</v>
      </c>
      <c r="C50" s="17" t="s">
        <v>2761</v>
      </c>
      <c r="D50" s="17"/>
      <c r="E50" s="17">
        <v>25448</v>
      </c>
      <c r="F50" s="17">
        <f t="shared" si="0"/>
        <v>49138</v>
      </c>
    </row>
    <row r="51" ht="15.75" spans="1:6">
      <c r="A51" s="190">
        <v>45911</v>
      </c>
      <c r="B51" s="17" t="s">
        <v>2043</v>
      </c>
      <c r="C51" s="17" t="s">
        <v>2614</v>
      </c>
      <c r="D51" s="17">
        <v>17000</v>
      </c>
      <c r="E51" s="17"/>
      <c r="F51" s="17">
        <f t="shared" si="0"/>
        <v>32138</v>
      </c>
    </row>
    <row r="52" ht="15.75" spans="1:6">
      <c r="A52" s="103" t="s">
        <v>2762</v>
      </c>
      <c r="B52" s="17" t="s">
        <v>2043</v>
      </c>
      <c r="C52" s="17" t="s">
        <v>2564</v>
      </c>
      <c r="D52" s="17">
        <v>20000</v>
      </c>
      <c r="E52" s="17"/>
      <c r="F52" s="17">
        <f t="shared" si="0"/>
        <v>12138</v>
      </c>
    </row>
    <row r="53" ht="15.75" spans="1:6">
      <c r="A53" s="190">
        <v>45819</v>
      </c>
      <c r="B53" s="17" t="s">
        <v>2043</v>
      </c>
      <c r="C53" s="17" t="s">
        <v>2564</v>
      </c>
      <c r="D53" s="17">
        <v>5590</v>
      </c>
      <c r="E53" s="17"/>
      <c r="F53" s="17">
        <f t="shared" si="0"/>
        <v>6548</v>
      </c>
    </row>
    <row r="54" ht="15.75" spans="1:6">
      <c r="A54" s="191" t="s">
        <v>2565</v>
      </c>
      <c r="B54" s="17" t="s">
        <v>2043</v>
      </c>
      <c r="C54" s="17" t="s">
        <v>157</v>
      </c>
      <c r="D54" s="17">
        <v>1500</v>
      </c>
      <c r="E54" s="17"/>
      <c r="F54" s="17">
        <f t="shared" si="0"/>
        <v>5048</v>
      </c>
    </row>
    <row r="55" ht="15.75" spans="1:6">
      <c r="A55" s="191" t="s">
        <v>2565</v>
      </c>
      <c r="B55" s="17" t="s">
        <v>2043</v>
      </c>
      <c r="C55" s="17" t="s">
        <v>2614</v>
      </c>
      <c r="D55" s="17">
        <v>3500</v>
      </c>
      <c r="E55" s="17"/>
      <c r="F55" s="17">
        <f t="shared" si="0"/>
        <v>1548</v>
      </c>
    </row>
    <row r="56" ht="15.75" spans="1:6">
      <c r="A56" s="191" t="s">
        <v>2565</v>
      </c>
      <c r="B56" s="17" t="s">
        <v>2763</v>
      </c>
      <c r="C56" s="17" t="s">
        <v>2761</v>
      </c>
      <c r="D56" s="17"/>
      <c r="E56" s="17">
        <v>26108</v>
      </c>
      <c r="F56" s="17">
        <f t="shared" si="0"/>
        <v>27656</v>
      </c>
    </row>
    <row r="57" ht="15.75" spans="1:6">
      <c r="A57" s="191" t="s">
        <v>2764</v>
      </c>
      <c r="B57" s="17" t="s">
        <v>2043</v>
      </c>
      <c r="C57" s="17" t="s">
        <v>157</v>
      </c>
      <c r="D57" s="17">
        <v>9000</v>
      </c>
      <c r="E57" s="17"/>
      <c r="F57" s="17">
        <f t="shared" si="0"/>
        <v>18656</v>
      </c>
    </row>
    <row r="58" ht="15.75" spans="1:6">
      <c r="A58" s="191" t="s">
        <v>2568</v>
      </c>
      <c r="B58" s="17" t="s">
        <v>2043</v>
      </c>
      <c r="C58" s="17" t="s">
        <v>157</v>
      </c>
      <c r="D58" s="17">
        <v>11100</v>
      </c>
      <c r="E58" s="17"/>
      <c r="F58" s="17">
        <f t="shared" si="0"/>
        <v>7556</v>
      </c>
    </row>
    <row r="59" ht="15.75" spans="1:6">
      <c r="A59" s="191" t="s">
        <v>2568</v>
      </c>
      <c r="B59" s="17" t="s">
        <v>2765</v>
      </c>
      <c r="C59" s="17" t="s">
        <v>2766</v>
      </c>
      <c r="D59" s="17"/>
      <c r="E59" s="17">
        <v>27288</v>
      </c>
      <c r="F59" s="17">
        <f t="shared" si="0"/>
        <v>34844</v>
      </c>
    </row>
    <row r="60" ht="15.75" spans="1:6">
      <c r="A60" s="191" t="s">
        <v>2297</v>
      </c>
      <c r="B60" s="17" t="s">
        <v>2043</v>
      </c>
      <c r="C60" s="17" t="s">
        <v>2614</v>
      </c>
      <c r="D60" s="17">
        <v>6000</v>
      </c>
      <c r="E60" s="17"/>
      <c r="F60" s="17">
        <f t="shared" si="0"/>
        <v>28844</v>
      </c>
    </row>
    <row r="61" ht="15.75" spans="1:6">
      <c r="A61" s="191" t="s">
        <v>2297</v>
      </c>
      <c r="B61" s="17" t="s">
        <v>2043</v>
      </c>
      <c r="C61" s="17" t="s">
        <v>157</v>
      </c>
      <c r="D61" s="17">
        <v>10070</v>
      </c>
      <c r="E61" s="17"/>
      <c r="F61" s="17">
        <f t="shared" si="0"/>
        <v>18774</v>
      </c>
    </row>
    <row r="62" ht="15.75" spans="1:6">
      <c r="A62" s="191" t="s">
        <v>2297</v>
      </c>
      <c r="B62" s="17" t="s">
        <v>2767</v>
      </c>
      <c r="C62" s="17" t="s">
        <v>2759</v>
      </c>
      <c r="D62" s="17"/>
      <c r="E62" s="17">
        <v>27238</v>
      </c>
      <c r="F62" s="17">
        <f t="shared" si="0"/>
        <v>46012</v>
      </c>
    </row>
    <row r="63" ht="15.75" spans="1:6">
      <c r="A63" s="191" t="s">
        <v>2297</v>
      </c>
      <c r="B63" s="17" t="s">
        <v>2768</v>
      </c>
      <c r="C63" s="17" t="s">
        <v>2769</v>
      </c>
      <c r="D63" s="17"/>
      <c r="E63" s="17">
        <v>35000</v>
      </c>
      <c r="F63" s="17">
        <f t="shared" ref="F59:F73" si="1">F62-D63+E63</f>
        <v>81012</v>
      </c>
    </row>
    <row r="64" ht="15.75" spans="1:6">
      <c r="A64" s="191" t="s">
        <v>2297</v>
      </c>
      <c r="B64" s="17" t="s">
        <v>2043</v>
      </c>
      <c r="C64" s="17" t="s">
        <v>157</v>
      </c>
      <c r="D64" s="17">
        <v>10000</v>
      </c>
      <c r="E64" s="17"/>
      <c r="F64" s="17">
        <f t="shared" si="1"/>
        <v>71012</v>
      </c>
    </row>
    <row r="65" ht="15.75" spans="1:6">
      <c r="A65" s="191" t="s">
        <v>2770</v>
      </c>
      <c r="B65" s="17" t="s">
        <v>2771</v>
      </c>
      <c r="C65" s="17" t="s">
        <v>2772</v>
      </c>
      <c r="D65" s="17"/>
      <c r="E65" s="17">
        <v>8500</v>
      </c>
      <c r="F65" s="17">
        <f t="shared" si="1"/>
        <v>79512</v>
      </c>
    </row>
    <row r="66" ht="15.75" spans="1:6">
      <c r="A66" s="191" t="s">
        <v>2663</v>
      </c>
      <c r="B66" s="17" t="s">
        <v>2043</v>
      </c>
      <c r="C66" s="17" t="s">
        <v>694</v>
      </c>
      <c r="D66" s="17">
        <v>27000</v>
      </c>
      <c r="E66" s="17"/>
      <c r="F66" s="17">
        <f t="shared" si="1"/>
        <v>52512</v>
      </c>
    </row>
    <row r="67" ht="15.75" spans="1:6">
      <c r="A67" s="191" t="s">
        <v>2663</v>
      </c>
      <c r="B67" s="17" t="s">
        <v>2773</v>
      </c>
      <c r="C67" s="17" t="s">
        <v>2766</v>
      </c>
      <c r="D67" s="17"/>
      <c r="E67" s="17">
        <v>29748</v>
      </c>
      <c r="F67" s="17">
        <f t="shared" si="1"/>
        <v>82260</v>
      </c>
    </row>
    <row r="68" ht="15.75" spans="1:6">
      <c r="A68" s="192">
        <v>45820</v>
      </c>
      <c r="B68" s="17" t="s">
        <v>2043</v>
      </c>
      <c r="C68" s="17" t="s">
        <v>157</v>
      </c>
      <c r="D68" s="17">
        <v>29500</v>
      </c>
      <c r="E68" s="17"/>
      <c r="F68" s="17">
        <f t="shared" si="1"/>
        <v>52760</v>
      </c>
    </row>
    <row r="69" ht="15.75" spans="1:6">
      <c r="A69" s="192">
        <v>45820</v>
      </c>
      <c r="B69" s="17" t="s">
        <v>2774</v>
      </c>
      <c r="C69" s="17" t="s">
        <v>2766</v>
      </c>
      <c r="D69" s="17"/>
      <c r="E69" s="17">
        <v>26834</v>
      </c>
      <c r="F69" s="17">
        <f t="shared" si="1"/>
        <v>79594</v>
      </c>
    </row>
    <row r="70" ht="15.75" spans="1:6">
      <c r="A70" s="191" t="s">
        <v>2592</v>
      </c>
      <c r="B70" s="17" t="s">
        <v>2043</v>
      </c>
      <c r="C70" s="17" t="s">
        <v>157</v>
      </c>
      <c r="D70" s="17">
        <v>26900</v>
      </c>
      <c r="E70" s="17"/>
      <c r="F70" s="17">
        <f t="shared" si="1"/>
        <v>52694</v>
      </c>
    </row>
    <row r="71" ht="15.75" spans="1:6">
      <c r="A71" s="191" t="s">
        <v>2592</v>
      </c>
      <c r="B71" s="17" t="s">
        <v>2775</v>
      </c>
      <c r="C71" s="17" t="s">
        <v>2761</v>
      </c>
      <c r="D71" s="17"/>
      <c r="E71" s="17">
        <v>28355</v>
      </c>
      <c r="F71" s="17">
        <f t="shared" ref="F71:F83" si="2">F70-D71+E71</f>
        <v>81049</v>
      </c>
    </row>
    <row r="72" ht="15.75" spans="1:6">
      <c r="A72" s="191" t="s">
        <v>2776</v>
      </c>
      <c r="B72" s="17" t="s">
        <v>2043</v>
      </c>
      <c r="C72" s="17" t="s">
        <v>2777</v>
      </c>
      <c r="D72" s="17">
        <v>28050</v>
      </c>
      <c r="E72" s="17"/>
      <c r="F72" s="17">
        <f t="shared" si="2"/>
        <v>52999</v>
      </c>
    </row>
    <row r="73" ht="15.75" spans="1:6">
      <c r="A73" s="191" t="s">
        <v>2778</v>
      </c>
      <c r="B73" s="17" t="s">
        <v>2779</v>
      </c>
      <c r="C73" s="17" t="s">
        <v>2669</v>
      </c>
      <c r="D73" s="17"/>
      <c r="E73" s="17">
        <v>120</v>
      </c>
      <c r="F73" s="17">
        <f t="shared" si="2"/>
        <v>53119</v>
      </c>
    </row>
    <row r="74" ht="15.75" spans="1:6">
      <c r="A74" s="191" t="s">
        <v>2776</v>
      </c>
      <c r="B74" s="17" t="s">
        <v>2780</v>
      </c>
      <c r="C74" s="17" t="s">
        <v>2781</v>
      </c>
      <c r="D74" s="17"/>
      <c r="E74" s="17">
        <v>29516</v>
      </c>
      <c r="F74" s="17">
        <f t="shared" si="2"/>
        <v>82635</v>
      </c>
    </row>
    <row r="75" ht="15.75" spans="1:6">
      <c r="A75" s="192">
        <v>46023</v>
      </c>
      <c r="B75" s="17" t="s">
        <v>2043</v>
      </c>
      <c r="C75" s="17" t="s">
        <v>694</v>
      </c>
      <c r="D75" s="17">
        <v>29500</v>
      </c>
      <c r="E75" s="17"/>
      <c r="F75" s="17">
        <f t="shared" si="2"/>
        <v>53135</v>
      </c>
    </row>
    <row r="76" ht="15.75" spans="1:6">
      <c r="A76" s="192">
        <v>46023</v>
      </c>
      <c r="B76" s="17" t="s">
        <v>2782</v>
      </c>
      <c r="C76" s="17" t="s">
        <v>2781</v>
      </c>
      <c r="D76" s="17"/>
      <c r="E76" s="17">
        <v>30364</v>
      </c>
      <c r="F76" s="17">
        <f t="shared" si="2"/>
        <v>83499</v>
      </c>
    </row>
    <row r="77" ht="15.75" spans="1:6">
      <c r="A77" s="191" t="s">
        <v>1314</v>
      </c>
      <c r="B77" s="17" t="s">
        <v>2783</v>
      </c>
      <c r="C77" s="17" t="s">
        <v>2781</v>
      </c>
      <c r="D77" s="17"/>
      <c r="E77" s="17">
        <v>31766</v>
      </c>
      <c r="F77" s="17">
        <f t="shared" si="2"/>
        <v>115265</v>
      </c>
    </row>
    <row r="78" ht="15.75" spans="1:6">
      <c r="A78" s="191" t="s">
        <v>1314</v>
      </c>
      <c r="B78" s="17" t="s">
        <v>2043</v>
      </c>
      <c r="C78" s="17" t="s">
        <v>694</v>
      </c>
      <c r="D78" s="17">
        <v>25000</v>
      </c>
      <c r="E78" s="17"/>
      <c r="F78" s="17">
        <f t="shared" si="2"/>
        <v>90265</v>
      </c>
    </row>
    <row r="79" ht="15.75" spans="1:6">
      <c r="A79" s="191" t="s">
        <v>1314</v>
      </c>
      <c r="B79" s="17" t="s">
        <v>2043</v>
      </c>
      <c r="C79" s="17" t="s">
        <v>2614</v>
      </c>
      <c r="D79" s="17">
        <v>3500</v>
      </c>
      <c r="E79" s="17"/>
      <c r="F79" s="17">
        <f t="shared" si="2"/>
        <v>86765</v>
      </c>
    </row>
    <row r="80" ht="15.75" spans="1:6">
      <c r="A80" s="191" t="s">
        <v>1314</v>
      </c>
      <c r="B80" s="17" t="s">
        <v>2043</v>
      </c>
      <c r="C80" s="17" t="s">
        <v>2614</v>
      </c>
      <c r="D80" s="17">
        <v>5000</v>
      </c>
      <c r="E80" s="17"/>
      <c r="F80" s="17">
        <f t="shared" si="2"/>
        <v>81765</v>
      </c>
    </row>
    <row r="81" ht="15.75" spans="1:6">
      <c r="A81" s="191" t="s">
        <v>2627</v>
      </c>
      <c r="B81" s="17" t="s">
        <v>2043</v>
      </c>
      <c r="C81" s="17" t="s">
        <v>157</v>
      </c>
      <c r="D81" s="17">
        <v>12000</v>
      </c>
      <c r="E81" s="17"/>
      <c r="F81" s="193">
        <f t="shared" ref="F81:F93" si="3">F80-D81+E81</f>
        <v>69765</v>
      </c>
    </row>
    <row r="82" ht="15.75" spans="1:6">
      <c r="A82" s="191" t="s">
        <v>2627</v>
      </c>
      <c r="B82" s="17" t="s">
        <v>2043</v>
      </c>
      <c r="C82" s="17" t="s">
        <v>2564</v>
      </c>
      <c r="D82" s="17">
        <v>16800</v>
      </c>
      <c r="E82" s="17"/>
      <c r="F82" s="17">
        <f t="shared" si="3"/>
        <v>52965</v>
      </c>
    </row>
    <row r="83" ht="15.75" spans="1:6">
      <c r="A83" s="191" t="s">
        <v>2627</v>
      </c>
      <c r="B83" s="17" t="s">
        <v>2784</v>
      </c>
      <c r="C83" s="17" t="s">
        <v>2781</v>
      </c>
      <c r="D83" s="17"/>
      <c r="E83" s="17">
        <v>31176</v>
      </c>
      <c r="F83" s="17">
        <f t="shared" si="3"/>
        <v>84141</v>
      </c>
    </row>
    <row r="84" ht="15.75" spans="1:6">
      <c r="A84" s="192">
        <v>46205</v>
      </c>
      <c r="B84" s="17"/>
      <c r="C84" s="17" t="s">
        <v>2785</v>
      </c>
      <c r="D84" s="17">
        <v>3380</v>
      </c>
      <c r="E84" s="17"/>
      <c r="F84" s="17">
        <f t="shared" si="3"/>
        <v>80761</v>
      </c>
    </row>
    <row r="85" ht="15.75" spans="1:6">
      <c r="A85" s="192">
        <v>46205</v>
      </c>
      <c r="B85" s="17" t="s">
        <v>2043</v>
      </c>
      <c r="C85" s="17" t="s">
        <v>2564</v>
      </c>
      <c r="D85" s="17">
        <v>31000</v>
      </c>
      <c r="E85" s="17"/>
      <c r="F85" s="17">
        <f t="shared" si="3"/>
        <v>49761</v>
      </c>
    </row>
    <row r="86" ht="15.75" spans="1:6">
      <c r="A86" s="194">
        <v>46205</v>
      </c>
      <c r="B86" s="17" t="s">
        <v>2043</v>
      </c>
      <c r="C86" s="17" t="s">
        <v>157</v>
      </c>
      <c r="D86" s="17">
        <v>1650</v>
      </c>
      <c r="E86" s="17"/>
      <c r="F86" s="17">
        <f t="shared" si="3"/>
        <v>48111</v>
      </c>
    </row>
    <row r="87" ht="15.75" spans="1:6">
      <c r="A87" s="192">
        <v>46205</v>
      </c>
      <c r="B87" s="17" t="s">
        <v>2043</v>
      </c>
      <c r="C87" s="17" t="s">
        <v>2614</v>
      </c>
      <c r="D87" s="17">
        <v>1350</v>
      </c>
      <c r="E87" s="17"/>
      <c r="F87" s="17">
        <f t="shared" si="3"/>
        <v>46761</v>
      </c>
    </row>
    <row r="88" ht="15.75" spans="1:6">
      <c r="A88" s="192">
        <v>46205</v>
      </c>
      <c r="B88" s="17" t="s">
        <v>2786</v>
      </c>
      <c r="C88" s="17" t="s">
        <v>2761</v>
      </c>
      <c r="D88" s="17"/>
      <c r="E88" s="17">
        <v>31846</v>
      </c>
      <c r="F88" s="17">
        <f t="shared" si="3"/>
        <v>78607</v>
      </c>
    </row>
    <row r="89" ht="15.75" spans="1:6">
      <c r="A89" s="191" t="s">
        <v>2651</v>
      </c>
      <c r="B89" s="17" t="s">
        <v>2787</v>
      </c>
      <c r="C89" s="17" t="s">
        <v>2788</v>
      </c>
      <c r="D89" s="17"/>
      <c r="E89" s="17">
        <v>40825</v>
      </c>
      <c r="F89" s="17">
        <f t="shared" si="3"/>
        <v>119432</v>
      </c>
    </row>
    <row r="90" ht="15.75" spans="1:6">
      <c r="A90" s="191" t="s">
        <v>2651</v>
      </c>
      <c r="B90" s="17" t="s">
        <v>2043</v>
      </c>
      <c r="C90" s="17" t="s">
        <v>157</v>
      </c>
      <c r="D90" s="17">
        <v>8300</v>
      </c>
      <c r="E90" s="17"/>
      <c r="F90" s="17">
        <f t="shared" si="3"/>
        <v>111132</v>
      </c>
    </row>
    <row r="91" ht="15.75" spans="1:6">
      <c r="A91" s="191" t="s">
        <v>2651</v>
      </c>
      <c r="B91" s="17" t="s">
        <v>2043</v>
      </c>
      <c r="C91" s="17" t="s">
        <v>2614</v>
      </c>
      <c r="D91" s="17">
        <v>14600</v>
      </c>
      <c r="E91" s="17"/>
      <c r="F91" s="17">
        <f t="shared" ref="F91:F103" si="4">F90-D91+E91</f>
        <v>96532</v>
      </c>
    </row>
    <row r="92" ht="15.75" spans="1:6">
      <c r="A92" s="191" t="s">
        <v>2653</v>
      </c>
      <c r="B92" s="17" t="s">
        <v>2789</v>
      </c>
      <c r="C92" s="17" t="s">
        <v>2790</v>
      </c>
      <c r="D92" s="17"/>
      <c r="E92" s="17">
        <v>3495</v>
      </c>
      <c r="F92" s="17">
        <f t="shared" si="4"/>
        <v>100027</v>
      </c>
    </row>
    <row r="93" ht="15.75" spans="1:6">
      <c r="A93" s="191" t="s">
        <v>2653</v>
      </c>
      <c r="B93" s="17" t="s">
        <v>2043</v>
      </c>
      <c r="C93" s="17" t="s">
        <v>2614</v>
      </c>
      <c r="D93" s="17">
        <v>10000</v>
      </c>
      <c r="E93" s="17"/>
      <c r="F93" s="17">
        <f t="shared" si="4"/>
        <v>90027</v>
      </c>
    </row>
    <row r="94" ht="15.75" spans="1:6">
      <c r="A94" s="191" t="s">
        <v>2653</v>
      </c>
      <c r="B94" s="17" t="s">
        <v>2043</v>
      </c>
      <c r="C94" s="17" t="s">
        <v>2669</v>
      </c>
      <c r="D94" s="17"/>
      <c r="E94" s="17">
        <v>750</v>
      </c>
      <c r="F94" s="17">
        <f t="shared" si="4"/>
        <v>90777</v>
      </c>
    </row>
    <row r="95" ht="15.75" spans="1:6">
      <c r="A95" s="191"/>
      <c r="B95" s="17"/>
      <c r="C95" s="17"/>
      <c r="D95" s="17"/>
      <c r="E95" s="17"/>
      <c r="F95" s="17">
        <f t="shared" si="4"/>
        <v>90777</v>
      </c>
    </row>
    <row r="96" ht="15.75" spans="1:6">
      <c r="A96" s="191"/>
      <c r="B96" s="17"/>
      <c r="C96" s="17"/>
      <c r="D96" s="17"/>
      <c r="E96" s="17"/>
      <c r="F96" s="17">
        <f t="shared" si="4"/>
        <v>90777</v>
      </c>
    </row>
    <row r="97" ht="15.75" spans="1:6">
      <c r="A97" s="191"/>
      <c r="B97" s="17"/>
      <c r="C97" s="17"/>
      <c r="D97" s="17"/>
      <c r="E97" s="17"/>
      <c r="F97" s="17">
        <f t="shared" si="4"/>
        <v>90777</v>
      </c>
    </row>
    <row r="98" ht="15.75" spans="1:6">
      <c r="A98" s="191"/>
      <c r="B98" s="17"/>
      <c r="C98" s="17"/>
      <c r="D98" s="17"/>
      <c r="E98" s="17"/>
      <c r="F98" s="17">
        <f t="shared" si="4"/>
        <v>90777</v>
      </c>
    </row>
    <row r="99" ht="15.75" spans="1:6">
      <c r="A99" s="191"/>
      <c r="B99" s="17"/>
      <c r="C99" s="17"/>
      <c r="D99" s="17"/>
      <c r="E99" s="17"/>
      <c r="F99" s="17">
        <f t="shared" si="4"/>
        <v>90777</v>
      </c>
    </row>
    <row r="100" ht="15.75" spans="1:6">
      <c r="A100" s="191"/>
      <c r="B100" s="17"/>
      <c r="C100" s="17"/>
      <c r="D100" s="17"/>
      <c r="E100" s="17"/>
      <c r="F100" s="17">
        <f t="shared" si="4"/>
        <v>90777</v>
      </c>
    </row>
    <row r="101" ht="15.75" spans="1:6">
      <c r="A101" s="191"/>
      <c r="B101" s="17"/>
      <c r="C101" s="17"/>
      <c r="D101" s="17"/>
      <c r="E101" s="17"/>
      <c r="F101" s="17">
        <f t="shared" si="4"/>
        <v>90777</v>
      </c>
    </row>
    <row r="102" ht="15.75" spans="1:6">
      <c r="A102" s="191"/>
      <c r="B102" s="17"/>
      <c r="C102" s="17"/>
      <c r="D102" s="17"/>
      <c r="E102" s="17"/>
      <c r="F102" s="17">
        <f t="shared" si="4"/>
        <v>90777</v>
      </c>
    </row>
    <row r="103" ht="18.75" spans="1:6">
      <c r="A103" s="13" t="s">
        <v>303</v>
      </c>
      <c r="B103" s="13"/>
      <c r="C103" s="13"/>
      <c r="D103" s="13"/>
      <c r="E103" s="13"/>
      <c r="F103" s="17">
        <f t="shared" si="4"/>
        <v>90777</v>
      </c>
    </row>
  </sheetData>
  <mergeCells count="6">
    <mergeCell ref="A3:C3"/>
    <mergeCell ref="D3:F3"/>
    <mergeCell ref="A4:B4"/>
    <mergeCell ref="C4:F4"/>
    <mergeCell ref="A103:E103"/>
    <mergeCell ref="A1:F2"/>
  </mergeCells>
  <pageMargins left="0.7" right="0.7" top="0.75" bottom="0.75" header="0.3" footer="0.3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/>
  <dimension ref="A1:F182"/>
  <sheetViews>
    <sheetView topLeftCell="A16" workbookViewId="0">
      <selection activeCell="Q37" sqref="Q37"/>
    </sheetView>
  </sheetViews>
  <sheetFormatPr defaultColWidth="9" defaultRowHeight="15" outlineLevelCol="5"/>
  <cols>
    <col min="1" max="1" width="11.4285714285714" customWidth="1"/>
    <col min="3" max="3" width="25.7142857142857" customWidth="1"/>
  </cols>
  <sheetData>
    <row r="1" spans="1:6">
      <c r="A1" s="1" t="s">
        <v>1756</v>
      </c>
      <c r="B1" s="2"/>
      <c r="C1" s="2"/>
      <c r="D1" s="2"/>
      <c r="E1" s="2"/>
      <c r="F1" s="3"/>
    </row>
    <row r="2" spans="1:6">
      <c r="A2" s="129"/>
      <c r="B2" s="130"/>
      <c r="C2" s="130"/>
      <c r="D2" s="130"/>
      <c r="E2" s="130"/>
      <c r="F2" s="131"/>
    </row>
    <row r="3" spans="1:6">
      <c r="A3" s="4"/>
      <c r="B3" s="5"/>
      <c r="C3" s="5"/>
      <c r="D3" s="5"/>
      <c r="E3" s="5"/>
      <c r="F3" s="6"/>
    </row>
    <row r="4" ht="18.75" spans="1:6">
      <c r="A4" s="13" t="s">
        <v>86</v>
      </c>
      <c r="B4" s="13" t="s">
        <v>87</v>
      </c>
      <c r="C4" s="88" t="s">
        <v>1758</v>
      </c>
      <c r="D4" s="13" t="s">
        <v>1759</v>
      </c>
      <c r="E4" s="13" t="s">
        <v>862</v>
      </c>
      <c r="F4" s="13" t="s">
        <v>1760</v>
      </c>
    </row>
    <row r="5" ht="15.75" spans="1:6">
      <c r="A5" s="73" t="s">
        <v>1765</v>
      </c>
      <c r="B5" s="17">
        <v>3739</v>
      </c>
      <c r="C5" s="132" t="s">
        <v>1766</v>
      </c>
      <c r="D5" s="17">
        <v>12205</v>
      </c>
      <c r="E5" s="17"/>
      <c r="F5" s="17">
        <f>D5-E5</f>
        <v>12205</v>
      </c>
    </row>
    <row r="6" ht="15.75" spans="1:6">
      <c r="A6" s="75">
        <v>44996</v>
      </c>
      <c r="B6" s="17" t="s">
        <v>2791</v>
      </c>
      <c r="C6" s="132" t="s">
        <v>2792</v>
      </c>
      <c r="D6" s="17">
        <v>600</v>
      </c>
      <c r="E6" s="17"/>
      <c r="F6" s="17">
        <f t="shared" ref="F6:F94" si="0">D6-E6</f>
        <v>600</v>
      </c>
    </row>
    <row r="7" ht="15.75" spans="1:6">
      <c r="A7" s="73" t="s">
        <v>1324</v>
      </c>
      <c r="B7" s="17">
        <v>1213</v>
      </c>
      <c r="C7" s="133" t="s">
        <v>2793</v>
      </c>
      <c r="D7" s="17">
        <v>1300</v>
      </c>
      <c r="E7" s="17">
        <v>1300</v>
      </c>
      <c r="F7" s="17">
        <f t="shared" si="0"/>
        <v>0</v>
      </c>
    </row>
    <row r="8" ht="15.75" spans="1:6">
      <c r="A8" s="73" t="s">
        <v>2794</v>
      </c>
      <c r="B8" s="17">
        <v>1376</v>
      </c>
      <c r="C8" s="132" t="s">
        <v>2795</v>
      </c>
      <c r="D8" s="17">
        <v>2770</v>
      </c>
      <c r="E8" s="17">
        <v>700</v>
      </c>
      <c r="F8" s="17">
        <f t="shared" si="0"/>
        <v>2070</v>
      </c>
    </row>
    <row r="9" ht="15.75" spans="1:6">
      <c r="A9" s="73" t="s">
        <v>2796</v>
      </c>
      <c r="B9" s="17" t="s">
        <v>2797</v>
      </c>
      <c r="C9" s="132" t="s">
        <v>2798</v>
      </c>
      <c r="D9" s="17">
        <v>1100</v>
      </c>
      <c r="E9" s="17">
        <v>1100</v>
      </c>
      <c r="F9" s="17">
        <f t="shared" si="0"/>
        <v>0</v>
      </c>
    </row>
    <row r="10" ht="15.75" spans="1:6">
      <c r="A10" s="75">
        <v>45385</v>
      </c>
      <c r="B10" s="17" t="s">
        <v>2799</v>
      </c>
      <c r="C10" s="132" t="s">
        <v>2798</v>
      </c>
      <c r="D10" s="17">
        <v>2500</v>
      </c>
      <c r="E10" s="17">
        <v>2500</v>
      </c>
      <c r="F10" s="17">
        <f t="shared" si="0"/>
        <v>0</v>
      </c>
    </row>
    <row r="11" ht="15.75" spans="1:6">
      <c r="A11" s="73" t="s">
        <v>2800</v>
      </c>
      <c r="B11" s="17" t="s">
        <v>2801</v>
      </c>
      <c r="C11" s="132" t="s">
        <v>2802</v>
      </c>
      <c r="D11" s="17">
        <v>1500</v>
      </c>
      <c r="E11" s="17"/>
      <c r="F11" s="17">
        <f t="shared" si="0"/>
        <v>1500</v>
      </c>
    </row>
    <row r="12" ht="31.5" spans="1:6">
      <c r="A12" s="73" t="s">
        <v>2803</v>
      </c>
      <c r="B12" s="19"/>
      <c r="C12" s="104" t="s">
        <v>2804</v>
      </c>
      <c r="D12" s="17">
        <v>6000</v>
      </c>
      <c r="E12" s="17"/>
      <c r="F12" s="17">
        <f t="shared" si="0"/>
        <v>6000</v>
      </c>
    </row>
    <row r="13" ht="15.75" spans="1:6">
      <c r="A13" s="73" t="s">
        <v>2805</v>
      </c>
      <c r="B13" s="17" t="s">
        <v>2806</v>
      </c>
      <c r="C13" s="132" t="s">
        <v>2807</v>
      </c>
      <c r="D13" s="17">
        <v>13850</v>
      </c>
      <c r="E13" s="17">
        <v>12000</v>
      </c>
      <c r="F13" s="17">
        <f t="shared" si="0"/>
        <v>1850</v>
      </c>
    </row>
    <row r="14" ht="15.75" spans="1:6">
      <c r="A14" s="75">
        <v>45025</v>
      </c>
      <c r="B14" s="17" t="s">
        <v>2808</v>
      </c>
      <c r="C14" s="132" t="s">
        <v>2809</v>
      </c>
      <c r="D14" s="17">
        <v>650</v>
      </c>
      <c r="E14" s="17"/>
      <c r="F14" s="17">
        <f t="shared" si="0"/>
        <v>650</v>
      </c>
    </row>
    <row r="15" ht="16.5" spans="1:6">
      <c r="A15" s="134">
        <v>45239</v>
      </c>
      <c r="B15" s="17" t="s">
        <v>2810</v>
      </c>
      <c r="C15" s="135" t="s">
        <v>2811</v>
      </c>
      <c r="D15" s="35">
        <v>2500</v>
      </c>
      <c r="E15" s="35"/>
      <c r="F15" s="17">
        <f t="shared" si="0"/>
        <v>2500</v>
      </c>
    </row>
    <row r="16" ht="15.75" spans="1:6">
      <c r="A16" s="136" t="s">
        <v>2812</v>
      </c>
      <c r="B16" s="17" t="s">
        <v>2813</v>
      </c>
      <c r="C16" s="137" t="s">
        <v>2814</v>
      </c>
      <c r="D16" s="138">
        <v>3600</v>
      </c>
      <c r="E16" s="138"/>
      <c r="F16" s="17">
        <f t="shared" si="0"/>
        <v>3600</v>
      </c>
    </row>
    <row r="17" ht="16.5" spans="1:6">
      <c r="A17" s="139" t="s">
        <v>2815</v>
      </c>
      <c r="B17" s="17" t="s">
        <v>657</v>
      </c>
      <c r="C17" s="140" t="s">
        <v>2814</v>
      </c>
      <c r="D17" s="141">
        <v>12000</v>
      </c>
      <c r="E17" s="141"/>
      <c r="F17" s="17">
        <f t="shared" si="0"/>
        <v>12000</v>
      </c>
    </row>
    <row r="18" ht="15.75" spans="1:6">
      <c r="A18" s="142">
        <v>44936</v>
      </c>
      <c r="B18" s="17" t="s">
        <v>2816</v>
      </c>
      <c r="C18" s="137" t="s">
        <v>2817</v>
      </c>
      <c r="D18" s="138">
        <v>1500</v>
      </c>
      <c r="E18" s="138">
        <v>1500</v>
      </c>
      <c r="F18" s="17">
        <f t="shared" si="0"/>
        <v>0</v>
      </c>
    </row>
    <row r="19" ht="16.5" spans="1:6">
      <c r="A19" s="143">
        <v>45240</v>
      </c>
      <c r="B19" s="17" t="s">
        <v>2818</v>
      </c>
      <c r="C19" s="135" t="s">
        <v>2817</v>
      </c>
      <c r="D19" s="35">
        <v>4500</v>
      </c>
      <c r="E19" s="35">
        <v>4500</v>
      </c>
      <c r="F19" s="17">
        <f t="shared" si="0"/>
        <v>0</v>
      </c>
    </row>
    <row r="20" ht="15.75" spans="1:6">
      <c r="A20" s="142">
        <v>44995</v>
      </c>
      <c r="B20" s="17" t="s">
        <v>1769</v>
      </c>
      <c r="C20" s="137" t="s">
        <v>1770</v>
      </c>
      <c r="D20" s="138">
        <v>8500</v>
      </c>
      <c r="E20" s="138">
        <v>5000</v>
      </c>
      <c r="F20" s="17">
        <f t="shared" si="0"/>
        <v>3500</v>
      </c>
    </row>
    <row r="21" ht="15.75" spans="1:6">
      <c r="A21" s="144" t="s">
        <v>2815</v>
      </c>
      <c r="B21" s="17" t="s">
        <v>2819</v>
      </c>
      <c r="C21" s="132" t="s">
        <v>1770</v>
      </c>
      <c r="D21" s="17">
        <v>1500</v>
      </c>
      <c r="E21" s="17">
        <v>1500</v>
      </c>
      <c r="F21" s="17">
        <f t="shared" si="0"/>
        <v>0</v>
      </c>
    </row>
    <row r="22" ht="15.75" spans="1:6">
      <c r="A22" s="144" t="s">
        <v>1386</v>
      </c>
      <c r="B22" s="17" t="s">
        <v>1771</v>
      </c>
      <c r="C22" s="133" t="s">
        <v>1770</v>
      </c>
      <c r="D22" s="17">
        <v>1500</v>
      </c>
      <c r="E22" s="17"/>
      <c r="F22" s="17">
        <f t="shared" si="0"/>
        <v>1500</v>
      </c>
    </row>
    <row r="23" ht="15.75" spans="1:6">
      <c r="A23" s="144" t="s">
        <v>916</v>
      </c>
      <c r="B23" s="17" t="s">
        <v>2820</v>
      </c>
      <c r="C23" s="133" t="s">
        <v>1770</v>
      </c>
      <c r="D23" s="17">
        <v>1000</v>
      </c>
      <c r="E23" s="17">
        <v>1000</v>
      </c>
      <c r="F23" s="17">
        <f t="shared" si="0"/>
        <v>0</v>
      </c>
    </row>
    <row r="24" ht="16.5" spans="1:6">
      <c r="A24" s="145" t="s">
        <v>589</v>
      </c>
      <c r="B24" s="17" t="s">
        <v>1772</v>
      </c>
      <c r="C24" s="146" t="s">
        <v>1770</v>
      </c>
      <c r="D24" s="147">
        <v>3000</v>
      </c>
      <c r="E24" s="17"/>
      <c r="F24" s="17">
        <f t="shared" si="0"/>
        <v>3000</v>
      </c>
    </row>
    <row r="25" ht="15.75" spans="1:6">
      <c r="A25" s="148">
        <v>45170</v>
      </c>
      <c r="B25" s="17" t="s">
        <v>2821</v>
      </c>
      <c r="C25" s="149" t="s">
        <v>2822</v>
      </c>
      <c r="D25" s="150">
        <v>2500</v>
      </c>
      <c r="E25" s="150">
        <v>2500</v>
      </c>
      <c r="F25" s="17">
        <f t="shared" si="0"/>
        <v>0</v>
      </c>
    </row>
    <row r="26" ht="15.75" spans="1:6">
      <c r="A26" s="148">
        <v>45446</v>
      </c>
      <c r="B26" s="17" t="s">
        <v>2823</v>
      </c>
      <c r="C26" s="149" t="s">
        <v>2822</v>
      </c>
      <c r="D26" s="150">
        <v>3000</v>
      </c>
      <c r="E26" s="150">
        <v>3000</v>
      </c>
      <c r="F26" s="17">
        <f t="shared" si="0"/>
        <v>0</v>
      </c>
    </row>
    <row r="27" ht="15.75" spans="1:6">
      <c r="A27" s="148">
        <v>45476</v>
      </c>
      <c r="B27" s="17" t="s">
        <v>2824</v>
      </c>
      <c r="C27" s="149" t="s">
        <v>2822</v>
      </c>
      <c r="D27" s="150">
        <v>13000</v>
      </c>
      <c r="E27" s="150">
        <v>13000</v>
      </c>
      <c r="F27" s="17">
        <f t="shared" si="0"/>
        <v>0</v>
      </c>
    </row>
    <row r="28" ht="15.75" spans="1:6">
      <c r="A28" s="75">
        <v>45179</v>
      </c>
      <c r="B28" s="17" t="s">
        <v>1773</v>
      </c>
      <c r="C28" s="151" t="s">
        <v>1774</v>
      </c>
      <c r="D28" s="17">
        <v>2050</v>
      </c>
      <c r="E28" s="17"/>
      <c r="F28" s="17">
        <f t="shared" si="0"/>
        <v>2050</v>
      </c>
    </row>
    <row r="29" ht="15.75" spans="1:6">
      <c r="A29" s="75" t="s">
        <v>1775</v>
      </c>
      <c r="B29" s="17" t="s">
        <v>1776</v>
      </c>
      <c r="C29" s="132" t="s">
        <v>1774</v>
      </c>
      <c r="D29" s="17">
        <v>2700</v>
      </c>
      <c r="E29" s="17"/>
      <c r="F29" s="17">
        <f t="shared" si="0"/>
        <v>2700</v>
      </c>
    </row>
    <row r="30" ht="15.75" spans="1:6">
      <c r="A30" s="75" t="s">
        <v>2825</v>
      </c>
      <c r="B30" s="17" t="s">
        <v>2826</v>
      </c>
      <c r="C30" s="132" t="s">
        <v>2827</v>
      </c>
      <c r="D30" s="17">
        <v>3300</v>
      </c>
      <c r="E30" s="17">
        <v>3300</v>
      </c>
      <c r="F30" s="17">
        <f t="shared" si="0"/>
        <v>0</v>
      </c>
    </row>
    <row r="31" ht="15.75" spans="1:6">
      <c r="A31" s="75" t="s">
        <v>923</v>
      </c>
      <c r="B31" s="17" t="s">
        <v>2828</v>
      </c>
      <c r="C31" s="132" t="s">
        <v>2829</v>
      </c>
      <c r="D31" s="17">
        <v>15000</v>
      </c>
      <c r="E31" s="17">
        <v>10000</v>
      </c>
      <c r="F31" s="17">
        <f t="shared" si="0"/>
        <v>5000</v>
      </c>
    </row>
    <row r="32" ht="15.75" spans="1:6">
      <c r="A32" s="73" t="s">
        <v>2830</v>
      </c>
      <c r="B32" s="17" t="s">
        <v>2831</v>
      </c>
      <c r="C32" s="132" t="s">
        <v>2832</v>
      </c>
      <c r="D32" s="17">
        <v>3300</v>
      </c>
      <c r="E32" s="17"/>
      <c r="F32" s="17">
        <f t="shared" si="0"/>
        <v>3300</v>
      </c>
    </row>
    <row r="33" ht="15.75" spans="1:6">
      <c r="A33" s="75">
        <v>45058</v>
      </c>
      <c r="B33" s="17" t="s">
        <v>2833</v>
      </c>
      <c r="C33" s="132" t="s">
        <v>2834</v>
      </c>
      <c r="D33" s="17">
        <v>1500</v>
      </c>
      <c r="E33" s="17"/>
      <c r="F33" s="17">
        <f t="shared" si="0"/>
        <v>1500</v>
      </c>
    </row>
    <row r="34" ht="15.75" spans="1:6">
      <c r="A34" s="75">
        <v>45028</v>
      </c>
      <c r="B34" s="17" t="s">
        <v>2835</v>
      </c>
      <c r="C34" s="132" t="s">
        <v>2836</v>
      </c>
      <c r="D34" s="17">
        <v>7500</v>
      </c>
      <c r="E34" s="17">
        <v>7500</v>
      </c>
      <c r="F34" s="17">
        <f t="shared" si="0"/>
        <v>0</v>
      </c>
    </row>
    <row r="35" ht="15.75" spans="1:6">
      <c r="A35" s="73" t="s">
        <v>2837</v>
      </c>
      <c r="B35" s="17" t="s">
        <v>2838</v>
      </c>
      <c r="C35" s="132" t="s">
        <v>2839</v>
      </c>
      <c r="D35" s="17">
        <v>1300</v>
      </c>
      <c r="E35" s="17"/>
      <c r="F35" s="17">
        <f t="shared" si="0"/>
        <v>1300</v>
      </c>
    </row>
    <row r="36" ht="15.75" spans="1:6">
      <c r="A36" s="152" t="s">
        <v>2840</v>
      </c>
      <c r="B36" s="17" t="s">
        <v>2841</v>
      </c>
      <c r="C36" s="135" t="s">
        <v>2842</v>
      </c>
      <c r="D36" s="35">
        <v>2000</v>
      </c>
      <c r="E36" s="35">
        <v>2000</v>
      </c>
      <c r="F36" s="17">
        <f t="shared" si="0"/>
        <v>0</v>
      </c>
    </row>
    <row r="37" ht="15.75" spans="1:6">
      <c r="A37" s="20" t="s">
        <v>564</v>
      </c>
      <c r="B37" s="17" t="s">
        <v>2843</v>
      </c>
      <c r="C37" s="135" t="s">
        <v>2844</v>
      </c>
      <c r="D37" s="98">
        <v>8250</v>
      </c>
      <c r="E37" s="98">
        <v>11000</v>
      </c>
      <c r="F37" s="17">
        <f t="shared" si="0"/>
        <v>-2750</v>
      </c>
    </row>
    <row r="38" ht="16.5" spans="1:6">
      <c r="A38" s="20" t="s">
        <v>645</v>
      </c>
      <c r="B38" s="17" t="s">
        <v>2345</v>
      </c>
      <c r="C38" s="135" t="s">
        <v>2842</v>
      </c>
      <c r="D38" s="153"/>
      <c r="E38" s="98"/>
      <c r="F38" s="17">
        <f t="shared" si="0"/>
        <v>0</v>
      </c>
    </row>
    <row r="39" ht="16.5" spans="1:6">
      <c r="A39" s="20" t="s">
        <v>1147</v>
      </c>
      <c r="B39" s="17" t="s">
        <v>2845</v>
      </c>
      <c r="C39" s="135" t="s">
        <v>2842</v>
      </c>
      <c r="D39" s="98">
        <v>10000</v>
      </c>
      <c r="E39" s="98"/>
      <c r="F39" s="17">
        <f t="shared" si="0"/>
        <v>10000</v>
      </c>
    </row>
    <row r="40" ht="15.75" spans="1:6">
      <c r="A40" s="142">
        <v>45566</v>
      </c>
      <c r="B40" s="17" t="s">
        <v>2846</v>
      </c>
      <c r="C40" s="137" t="s">
        <v>2847</v>
      </c>
      <c r="D40" s="138">
        <v>8400</v>
      </c>
      <c r="E40" s="138">
        <v>8400</v>
      </c>
      <c r="F40" s="17">
        <f t="shared" si="0"/>
        <v>0</v>
      </c>
    </row>
    <row r="41" ht="16.5" spans="1:6">
      <c r="A41" s="139" t="s">
        <v>1047</v>
      </c>
      <c r="B41" s="17" t="s">
        <v>2848</v>
      </c>
      <c r="C41" s="140" t="s">
        <v>2847</v>
      </c>
      <c r="D41" s="141">
        <v>120</v>
      </c>
      <c r="E41" s="141">
        <v>120</v>
      </c>
      <c r="F41" s="17">
        <f t="shared" si="0"/>
        <v>0</v>
      </c>
    </row>
    <row r="42" ht="15.75" spans="1:6">
      <c r="A42" s="136" t="s">
        <v>1777</v>
      </c>
      <c r="B42" s="17" t="s">
        <v>1778</v>
      </c>
      <c r="C42" s="137" t="s">
        <v>1779</v>
      </c>
      <c r="D42" s="138">
        <v>7500</v>
      </c>
      <c r="E42" s="138"/>
      <c r="F42" s="17">
        <f t="shared" si="0"/>
        <v>7500</v>
      </c>
    </row>
    <row r="43" ht="16.5" spans="1:6">
      <c r="A43" s="139" t="s">
        <v>1230</v>
      </c>
      <c r="B43" s="17" t="s">
        <v>1780</v>
      </c>
      <c r="C43" s="140" t="s">
        <v>1779</v>
      </c>
      <c r="D43" s="141">
        <v>1500</v>
      </c>
      <c r="E43" s="141"/>
      <c r="F43" s="17">
        <f t="shared" si="0"/>
        <v>1500</v>
      </c>
    </row>
    <row r="44" ht="15.75" spans="1:6">
      <c r="A44" s="154" t="s">
        <v>600</v>
      </c>
      <c r="B44" s="17" t="s">
        <v>2849</v>
      </c>
      <c r="C44" s="155" t="s">
        <v>2850</v>
      </c>
      <c r="D44" s="150">
        <v>750</v>
      </c>
      <c r="E44" s="150"/>
      <c r="F44" s="17">
        <f t="shared" si="0"/>
        <v>750</v>
      </c>
    </row>
    <row r="45" ht="15.75" spans="1:6">
      <c r="A45" s="73" t="s">
        <v>559</v>
      </c>
      <c r="B45" s="17" t="s">
        <v>2851</v>
      </c>
      <c r="C45" s="132" t="s">
        <v>2852</v>
      </c>
      <c r="D45" s="17">
        <v>1615</v>
      </c>
      <c r="E45" s="17">
        <v>1600</v>
      </c>
      <c r="F45" s="17">
        <f t="shared" si="0"/>
        <v>15</v>
      </c>
    </row>
    <row r="46" ht="15.75" spans="1:6">
      <c r="A46" s="73" t="s">
        <v>1216</v>
      </c>
      <c r="B46" s="17" t="s">
        <v>1781</v>
      </c>
      <c r="C46" s="132" t="s">
        <v>1782</v>
      </c>
      <c r="D46" s="17">
        <v>7000</v>
      </c>
      <c r="E46" s="17"/>
      <c r="F46" s="17">
        <f t="shared" si="0"/>
        <v>7000</v>
      </c>
    </row>
    <row r="47" ht="15.75" spans="1:6">
      <c r="A47" s="73" t="s">
        <v>1230</v>
      </c>
      <c r="B47" s="17" t="s">
        <v>2853</v>
      </c>
      <c r="C47" s="132" t="s">
        <v>2854</v>
      </c>
      <c r="D47" s="17">
        <v>6500</v>
      </c>
      <c r="E47" s="17">
        <v>5000</v>
      </c>
      <c r="F47" s="17">
        <f t="shared" si="0"/>
        <v>1500</v>
      </c>
    </row>
    <row r="48" ht="16.5" spans="1:6">
      <c r="A48" s="134">
        <v>45353</v>
      </c>
      <c r="B48" s="17" t="s">
        <v>2855</v>
      </c>
      <c r="C48" s="135" t="s">
        <v>2856</v>
      </c>
      <c r="D48" s="35">
        <v>14400</v>
      </c>
      <c r="E48" s="35"/>
      <c r="F48" s="17">
        <f t="shared" si="0"/>
        <v>14400</v>
      </c>
    </row>
    <row r="49" ht="15.75" spans="1:6">
      <c r="A49" s="142" t="s">
        <v>2857</v>
      </c>
      <c r="B49" s="17" t="s">
        <v>2858</v>
      </c>
      <c r="C49" s="156" t="s">
        <v>2859</v>
      </c>
      <c r="D49" s="138">
        <v>4800</v>
      </c>
      <c r="E49" s="138">
        <v>4800</v>
      </c>
      <c r="F49" s="17">
        <f t="shared" si="0"/>
        <v>0</v>
      </c>
    </row>
    <row r="50" ht="15.75" spans="1:6">
      <c r="A50" s="144">
        <v>44993</v>
      </c>
      <c r="B50" s="17" t="s">
        <v>2860</v>
      </c>
      <c r="C50" s="133" t="s">
        <v>2859</v>
      </c>
      <c r="D50" s="17">
        <v>7000</v>
      </c>
      <c r="E50" s="17">
        <v>7000</v>
      </c>
      <c r="F50" s="17">
        <f t="shared" si="0"/>
        <v>0</v>
      </c>
    </row>
    <row r="51" ht="16.5" spans="1:6">
      <c r="A51" s="139" t="s">
        <v>2861</v>
      </c>
      <c r="B51" s="17" t="s">
        <v>2862</v>
      </c>
      <c r="C51" s="157" t="s">
        <v>2859</v>
      </c>
      <c r="D51" s="141">
        <v>8200</v>
      </c>
      <c r="E51" s="141">
        <v>8200</v>
      </c>
      <c r="F51" s="17">
        <f t="shared" si="0"/>
        <v>0</v>
      </c>
    </row>
    <row r="52" ht="16.5" spans="1:6">
      <c r="A52" s="145" t="s">
        <v>1040</v>
      </c>
      <c r="B52" s="17" t="s">
        <v>2863</v>
      </c>
      <c r="C52" s="158" t="s">
        <v>2859</v>
      </c>
      <c r="D52" s="153">
        <v>400</v>
      </c>
      <c r="E52" s="141">
        <v>400</v>
      </c>
      <c r="F52" s="17">
        <f t="shared" si="0"/>
        <v>0</v>
      </c>
    </row>
    <row r="53" ht="15.75" spans="1:6">
      <c r="A53" s="75" t="s">
        <v>1321</v>
      </c>
      <c r="B53" s="17">
        <v>2595</v>
      </c>
      <c r="C53" s="155" t="s">
        <v>1320</v>
      </c>
      <c r="D53" s="150">
        <v>1625</v>
      </c>
      <c r="E53" s="150"/>
      <c r="F53" s="17">
        <f t="shared" si="0"/>
        <v>1625</v>
      </c>
    </row>
    <row r="54" ht="15.75" spans="1:6">
      <c r="A54" s="73" t="s">
        <v>1322</v>
      </c>
      <c r="B54" s="17">
        <v>1519</v>
      </c>
      <c r="C54" s="155" t="s">
        <v>1320</v>
      </c>
      <c r="D54" s="17">
        <v>1700</v>
      </c>
      <c r="E54" s="17"/>
      <c r="F54" s="17">
        <f t="shared" si="0"/>
        <v>1700</v>
      </c>
    </row>
    <row r="55" ht="15.75" spans="1:6">
      <c r="A55" s="73" t="s">
        <v>1324</v>
      </c>
      <c r="B55" s="17">
        <v>1920</v>
      </c>
      <c r="C55" s="155" t="s">
        <v>1320</v>
      </c>
      <c r="D55" s="17">
        <v>5000</v>
      </c>
      <c r="E55" s="17"/>
      <c r="F55" s="17">
        <f t="shared" si="0"/>
        <v>5000</v>
      </c>
    </row>
    <row r="56" ht="15.75" spans="1:6">
      <c r="A56" s="75">
        <v>44936</v>
      </c>
      <c r="B56" s="17" t="s">
        <v>1326</v>
      </c>
      <c r="C56" s="155" t="s">
        <v>1320</v>
      </c>
      <c r="D56" s="17">
        <v>3600</v>
      </c>
      <c r="E56" s="17"/>
      <c r="F56" s="17">
        <f t="shared" si="0"/>
        <v>3600</v>
      </c>
    </row>
    <row r="57" ht="15.75" spans="1:6">
      <c r="A57" s="159" t="s">
        <v>586</v>
      </c>
      <c r="B57" s="17" t="s">
        <v>2864</v>
      </c>
      <c r="C57" s="149" t="s">
        <v>2865</v>
      </c>
      <c r="D57" s="17">
        <v>1500</v>
      </c>
      <c r="E57" s="17">
        <v>1500</v>
      </c>
      <c r="F57" s="17">
        <f t="shared" si="0"/>
        <v>0</v>
      </c>
    </row>
    <row r="58" ht="15.75" spans="1:6">
      <c r="A58" s="75" t="s">
        <v>566</v>
      </c>
      <c r="B58" s="17" t="s">
        <v>1783</v>
      </c>
      <c r="C58" s="160" t="s">
        <v>1784</v>
      </c>
      <c r="D58" s="17">
        <v>7200</v>
      </c>
      <c r="E58" s="17">
        <v>3000</v>
      </c>
      <c r="F58" s="17">
        <f t="shared" si="0"/>
        <v>4200</v>
      </c>
    </row>
    <row r="59" ht="15.75" spans="1:6">
      <c r="A59" s="75" t="s">
        <v>746</v>
      </c>
      <c r="B59" s="17" t="s">
        <v>2866</v>
      </c>
      <c r="C59" s="149" t="s">
        <v>2865</v>
      </c>
      <c r="D59" s="17">
        <v>320</v>
      </c>
      <c r="E59" s="17">
        <v>320</v>
      </c>
      <c r="F59" s="17">
        <f t="shared" si="0"/>
        <v>0</v>
      </c>
    </row>
    <row r="60" ht="15.75" spans="1:6">
      <c r="A60" s="75" t="s">
        <v>622</v>
      </c>
      <c r="B60" s="17" t="s">
        <v>2867</v>
      </c>
      <c r="C60" s="149" t="s">
        <v>2865</v>
      </c>
      <c r="D60" s="17">
        <v>3520</v>
      </c>
      <c r="E60" s="17">
        <v>3520</v>
      </c>
      <c r="F60" s="17">
        <f t="shared" si="0"/>
        <v>0</v>
      </c>
    </row>
    <row r="61" ht="15.75" spans="1:6">
      <c r="A61" s="75" t="s">
        <v>2868</v>
      </c>
      <c r="B61" s="17" t="s">
        <v>2869</v>
      </c>
      <c r="C61" s="149" t="s">
        <v>2870</v>
      </c>
      <c r="D61" s="17">
        <v>110</v>
      </c>
      <c r="E61" s="17">
        <v>110</v>
      </c>
      <c r="F61" s="17">
        <f t="shared" si="0"/>
        <v>0</v>
      </c>
    </row>
    <row r="62" ht="15.75" spans="1:6">
      <c r="A62" s="75">
        <v>45325</v>
      </c>
      <c r="B62" s="17" t="s">
        <v>2871</v>
      </c>
      <c r="C62" s="149" t="s">
        <v>76</v>
      </c>
      <c r="D62" s="17">
        <v>27520</v>
      </c>
      <c r="E62" s="17">
        <v>27520</v>
      </c>
      <c r="F62" s="17">
        <f t="shared" si="0"/>
        <v>0</v>
      </c>
    </row>
    <row r="63" ht="15.75" spans="1:6">
      <c r="A63" s="75">
        <v>45476</v>
      </c>
      <c r="B63" s="17" t="s">
        <v>2872</v>
      </c>
      <c r="C63" s="149" t="s">
        <v>76</v>
      </c>
      <c r="D63" s="17">
        <v>2100</v>
      </c>
      <c r="E63" s="17">
        <v>2100</v>
      </c>
      <c r="F63" s="17">
        <f t="shared" si="0"/>
        <v>0</v>
      </c>
    </row>
    <row r="64" ht="15.75" spans="1:6">
      <c r="A64" s="75" t="s">
        <v>2873</v>
      </c>
      <c r="B64" s="17" t="s">
        <v>2874</v>
      </c>
      <c r="C64" s="149" t="s">
        <v>76</v>
      </c>
      <c r="D64" s="17">
        <v>1800</v>
      </c>
      <c r="E64" s="17">
        <v>1800</v>
      </c>
      <c r="F64" s="17">
        <f t="shared" si="0"/>
        <v>0</v>
      </c>
    </row>
    <row r="65" ht="15.75" spans="1:6">
      <c r="A65" s="75">
        <v>45541</v>
      </c>
      <c r="B65" s="17" t="s">
        <v>2875</v>
      </c>
      <c r="C65" s="149" t="s">
        <v>76</v>
      </c>
      <c r="D65" s="17">
        <v>3150</v>
      </c>
      <c r="E65" s="17">
        <v>3150</v>
      </c>
      <c r="F65" s="17">
        <f t="shared" si="0"/>
        <v>0</v>
      </c>
    </row>
    <row r="66" ht="15.75" spans="1:6">
      <c r="A66" s="75" t="s">
        <v>891</v>
      </c>
      <c r="B66" s="17" t="s">
        <v>2876</v>
      </c>
      <c r="C66" s="155" t="s">
        <v>2877</v>
      </c>
      <c r="D66" s="17">
        <v>910</v>
      </c>
      <c r="E66" s="17">
        <v>910</v>
      </c>
      <c r="F66" s="17">
        <f t="shared" si="0"/>
        <v>0</v>
      </c>
    </row>
    <row r="67" ht="15.75" spans="1:6">
      <c r="A67" s="75" t="s">
        <v>1258</v>
      </c>
      <c r="B67" s="17" t="s">
        <v>2878</v>
      </c>
      <c r="C67" s="155" t="s">
        <v>2879</v>
      </c>
      <c r="D67" s="17">
        <v>1500</v>
      </c>
      <c r="E67" s="17">
        <v>1500</v>
      </c>
      <c r="F67" s="17">
        <f t="shared" si="0"/>
        <v>0</v>
      </c>
    </row>
    <row r="68" ht="15.75" spans="1:6">
      <c r="A68" s="75">
        <v>45448</v>
      </c>
      <c r="B68" s="17" t="s">
        <v>2880</v>
      </c>
      <c r="C68" s="155" t="s">
        <v>2879</v>
      </c>
      <c r="D68" s="17">
        <v>1500</v>
      </c>
      <c r="E68" s="17">
        <v>1500</v>
      </c>
      <c r="F68" s="17">
        <f t="shared" si="0"/>
        <v>0</v>
      </c>
    </row>
    <row r="69" ht="15.75" spans="1:6">
      <c r="A69" s="75" t="s">
        <v>1262</v>
      </c>
      <c r="B69" s="17" t="s">
        <v>2881</v>
      </c>
      <c r="C69" s="132" t="s">
        <v>2882</v>
      </c>
      <c r="D69" s="17">
        <v>1500</v>
      </c>
      <c r="E69" s="17"/>
      <c r="F69" s="17">
        <f t="shared" si="0"/>
        <v>1500</v>
      </c>
    </row>
    <row r="70" ht="15.75" spans="1:6">
      <c r="A70" s="75" t="s">
        <v>961</v>
      </c>
      <c r="B70" s="17" t="s">
        <v>2883</v>
      </c>
      <c r="C70" s="132" t="s">
        <v>2884</v>
      </c>
      <c r="D70" s="17">
        <v>1100</v>
      </c>
      <c r="E70" s="73">
        <v>1100</v>
      </c>
      <c r="F70" s="17">
        <f t="shared" si="0"/>
        <v>0</v>
      </c>
    </row>
    <row r="71" ht="15.75" spans="1:6">
      <c r="A71" s="75" t="s">
        <v>1785</v>
      </c>
      <c r="B71" s="17" t="s">
        <v>1786</v>
      </c>
      <c r="C71" s="132" t="s">
        <v>1787</v>
      </c>
      <c r="D71" s="17">
        <v>40000</v>
      </c>
      <c r="E71" s="73"/>
      <c r="F71" s="17">
        <f t="shared" si="0"/>
        <v>40000</v>
      </c>
    </row>
    <row r="72" ht="15.75" spans="1:6">
      <c r="A72" s="75">
        <v>45354</v>
      </c>
      <c r="B72" s="17" t="s">
        <v>1788</v>
      </c>
      <c r="C72" s="132" t="s">
        <v>1789</v>
      </c>
      <c r="D72" s="17">
        <v>12880</v>
      </c>
      <c r="E72" s="73"/>
      <c r="F72" s="17">
        <f t="shared" si="0"/>
        <v>12880</v>
      </c>
    </row>
    <row r="73" ht="15.75" spans="1:6">
      <c r="A73" s="75">
        <v>45385</v>
      </c>
      <c r="B73" s="17" t="s">
        <v>2885</v>
      </c>
      <c r="C73" s="132" t="s">
        <v>2886</v>
      </c>
      <c r="D73" s="17">
        <v>550</v>
      </c>
      <c r="E73" s="73">
        <v>550</v>
      </c>
      <c r="F73" s="17">
        <f t="shared" si="0"/>
        <v>0</v>
      </c>
    </row>
    <row r="74" ht="15.75" spans="1:6">
      <c r="A74" s="75">
        <v>45415</v>
      </c>
      <c r="B74" s="17" t="s">
        <v>2887</v>
      </c>
      <c r="C74" s="133" t="s">
        <v>1809</v>
      </c>
      <c r="D74" s="17">
        <v>1000</v>
      </c>
      <c r="E74" s="73">
        <v>1000</v>
      </c>
      <c r="F74" s="17">
        <f t="shared" si="0"/>
        <v>0</v>
      </c>
    </row>
    <row r="75" ht="15.75" spans="1:6">
      <c r="A75" s="75">
        <v>45476</v>
      </c>
      <c r="B75" s="17" t="s">
        <v>2888</v>
      </c>
      <c r="C75" s="132" t="s">
        <v>2889</v>
      </c>
      <c r="D75" s="17">
        <v>425000</v>
      </c>
      <c r="E75" s="73"/>
      <c r="F75" s="17">
        <f t="shared" si="0"/>
        <v>425000</v>
      </c>
    </row>
    <row r="76" ht="15.75" spans="1:6">
      <c r="A76" s="75" t="s">
        <v>1333</v>
      </c>
      <c r="B76" s="17" t="s">
        <v>2890</v>
      </c>
      <c r="C76" s="132" t="s">
        <v>2891</v>
      </c>
      <c r="D76" s="17">
        <v>910</v>
      </c>
      <c r="E76" s="73">
        <v>900</v>
      </c>
      <c r="F76" s="17">
        <f t="shared" si="0"/>
        <v>10</v>
      </c>
    </row>
    <row r="77" ht="15.75" spans="1:6">
      <c r="A77" s="75" t="s">
        <v>1333</v>
      </c>
      <c r="B77" s="17" t="s">
        <v>2892</v>
      </c>
      <c r="C77" s="132" t="s">
        <v>2893</v>
      </c>
      <c r="D77" s="17">
        <v>10000</v>
      </c>
      <c r="E77" s="73">
        <v>10000</v>
      </c>
      <c r="F77" s="17">
        <f t="shared" si="0"/>
        <v>0</v>
      </c>
    </row>
    <row r="78" ht="15.75" spans="1:6">
      <c r="A78" s="75">
        <v>45447</v>
      </c>
      <c r="B78" s="17" t="s">
        <v>2894</v>
      </c>
      <c r="C78" s="132" t="s">
        <v>2895</v>
      </c>
      <c r="D78" s="17">
        <v>4500</v>
      </c>
      <c r="E78" s="73">
        <v>4500</v>
      </c>
      <c r="F78" s="17">
        <f t="shared" si="0"/>
        <v>0</v>
      </c>
    </row>
    <row r="79" ht="15.75" spans="1:6">
      <c r="A79" s="75">
        <v>45508</v>
      </c>
      <c r="B79" s="17" t="s">
        <v>1071</v>
      </c>
      <c r="C79" s="132" t="s">
        <v>2896</v>
      </c>
      <c r="D79" s="17">
        <v>13150</v>
      </c>
      <c r="E79" s="73"/>
      <c r="F79" s="17">
        <f t="shared" si="0"/>
        <v>13150</v>
      </c>
    </row>
    <row r="80" ht="15.75" spans="1:6">
      <c r="A80" s="75" t="s">
        <v>2332</v>
      </c>
      <c r="B80" s="17" t="s">
        <v>2897</v>
      </c>
      <c r="C80" s="132" t="s">
        <v>2898</v>
      </c>
      <c r="D80" s="17">
        <v>3040</v>
      </c>
      <c r="E80" s="73">
        <v>3040</v>
      </c>
      <c r="F80" s="17">
        <f t="shared" si="0"/>
        <v>0</v>
      </c>
    </row>
    <row r="81" ht="15.75" spans="1:6">
      <c r="A81" s="75" t="s">
        <v>913</v>
      </c>
      <c r="B81" s="17" t="s">
        <v>2899</v>
      </c>
      <c r="C81" s="132" t="s">
        <v>2900</v>
      </c>
      <c r="D81" s="17">
        <v>5000</v>
      </c>
      <c r="E81" s="73">
        <v>5000</v>
      </c>
      <c r="F81" s="17">
        <f t="shared" si="0"/>
        <v>0</v>
      </c>
    </row>
    <row r="82" ht="15.75" spans="1:6">
      <c r="A82" s="75" t="s">
        <v>919</v>
      </c>
      <c r="B82" s="17" t="s">
        <v>2901</v>
      </c>
      <c r="C82" s="132" t="s">
        <v>2902</v>
      </c>
      <c r="D82" s="17">
        <v>850</v>
      </c>
      <c r="E82" s="73">
        <v>850</v>
      </c>
      <c r="F82" s="17">
        <f t="shared" si="0"/>
        <v>0</v>
      </c>
    </row>
    <row r="83" ht="15.75" spans="1:6">
      <c r="A83" s="75" t="s">
        <v>1453</v>
      </c>
      <c r="B83" s="17" t="s">
        <v>2903</v>
      </c>
      <c r="C83" s="132" t="s">
        <v>2902</v>
      </c>
      <c r="D83" s="17">
        <v>750</v>
      </c>
      <c r="E83" s="73">
        <v>750</v>
      </c>
      <c r="F83" s="17">
        <f t="shared" si="0"/>
        <v>0</v>
      </c>
    </row>
    <row r="84" ht="15.75" spans="1:6">
      <c r="A84" s="75" t="s">
        <v>919</v>
      </c>
      <c r="B84" s="17" t="s">
        <v>2904</v>
      </c>
      <c r="C84" s="132" t="s">
        <v>2905</v>
      </c>
      <c r="D84" s="17">
        <v>5400</v>
      </c>
      <c r="E84" s="73">
        <v>5400</v>
      </c>
      <c r="F84" s="17">
        <f t="shared" si="0"/>
        <v>0</v>
      </c>
    </row>
    <row r="85" ht="15.75" spans="1:6">
      <c r="A85" s="75" t="s">
        <v>919</v>
      </c>
      <c r="B85" s="17" t="s">
        <v>2906</v>
      </c>
      <c r="C85" s="132" t="s">
        <v>2907</v>
      </c>
      <c r="D85" s="17">
        <v>535</v>
      </c>
      <c r="E85" s="73">
        <v>535</v>
      </c>
      <c r="F85" s="17">
        <f t="shared" si="0"/>
        <v>0</v>
      </c>
    </row>
    <row r="86" ht="15.75" spans="1:6">
      <c r="A86" s="75" t="s">
        <v>923</v>
      </c>
      <c r="B86" s="17" t="s">
        <v>1790</v>
      </c>
      <c r="C86" s="132" t="s">
        <v>1791</v>
      </c>
      <c r="D86" s="17">
        <v>12400</v>
      </c>
      <c r="E86" s="73"/>
      <c r="F86" s="17">
        <f t="shared" si="0"/>
        <v>12400</v>
      </c>
    </row>
    <row r="87" ht="15.75" spans="1:6">
      <c r="A87" s="75" t="s">
        <v>2908</v>
      </c>
      <c r="B87" s="17" t="s">
        <v>2909</v>
      </c>
      <c r="C87" s="132" t="s">
        <v>83</v>
      </c>
      <c r="D87" s="17">
        <v>7300</v>
      </c>
      <c r="E87" s="73">
        <v>7300</v>
      </c>
      <c r="F87" s="17">
        <f t="shared" si="0"/>
        <v>0</v>
      </c>
    </row>
    <row r="88" ht="15.75" spans="1:6">
      <c r="A88" s="75" t="s">
        <v>2908</v>
      </c>
      <c r="B88" s="17" t="s">
        <v>2910</v>
      </c>
      <c r="C88" s="132" t="s">
        <v>1782</v>
      </c>
      <c r="D88" s="17">
        <v>11100</v>
      </c>
      <c r="E88" s="73">
        <v>11100</v>
      </c>
      <c r="F88" s="17">
        <f t="shared" si="0"/>
        <v>0</v>
      </c>
    </row>
    <row r="89" ht="15.75" spans="1:6">
      <c r="A89" s="75" t="s">
        <v>2908</v>
      </c>
      <c r="B89" s="17" t="s">
        <v>2911</v>
      </c>
      <c r="C89" s="132" t="s">
        <v>83</v>
      </c>
      <c r="D89" s="17">
        <v>2750</v>
      </c>
      <c r="E89" s="73">
        <v>2750</v>
      </c>
      <c r="F89" s="17">
        <f t="shared" si="0"/>
        <v>0</v>
      </c>
    </row>
    <row r="90" ht="15.75" spans="1:6">
      <c r="A90" s="75">
        <v>45296</v>
      </c>
      <c r="B90" s="17" t="s">
        <v>2912</v>
      </c>
      <c r="C90" s="132" t="s">
        <v>2913</v>
      </c>
      <c r="D90" s="17">
        <v>2750</v>
      </c>
      <c r="E90" s="73"/>
      <c r="F90" s="17">
        <f t="shared" si="0"/>
        <v>2750</v>
      </c>
    </row>
    <row r="91" ht="15.75" spans="1:6">
      <c r="A91" s="75">
        <v>45296</v>
      </c>
      <c r="B91" s="17" t="s">
        <v>2914</v>
      </c>
      <c r="C91" s="132" t="s">
        <v>83</v>
      </c>
      <c r="D91" s="17">
        <v>64100</v>
      </c>
      <c r="E91" s="73">
        <v>64100</v>
      </c>
      <c r="F91" s="17">
        <f t="shared" si="0"/>
        <v>0</v>
      </c>
    </row>
    <row r="92" ht="15.75" spans="1:6">
      <c r="A92" s="75">
        <v>45327</v>
      </c>
      <c r="B92" s="17" t="s">
        <v>2915</v>
      </c>
      <c r="C92" s="132" t="s">
        <v>2916</v>
      </c>
      <c r="D92" s="17">
        <v>5700</v>
      </c>
      <c r="E92" s="73">
        <v>5700</v>
      </c>
      <c r="F92" s="17">
        <f t="shared" si="0"/>
        <v>0</v>
      </c>
    </row>
    <row r="93" ht="15.75" spans="1:6">
      <c r="A93" s="75">
        <v>45417</v>
      </c>
      <c r="B93" s="17" t="s">
        <v>2917</v>
      </c>
      <c r="C93" s="132" t="s">
        <v>2918</v>
      </c>
      <c r="D93" s="17">
        <v>1800</v>
      </c>
      <c r="E93" s="73">
        <v>1700</v>
      </c>
      <c r="F93" s="17">
        <f t="shared" si="0"/>
        <v>100</v>
      </c>
    </row>
    <row r="94" ht="15.75" spans="1:6">
      <c r="A94" s="75">
        <v>45478</v>
      </c>
      <c r="B94" s="17" t="s">
        <v>2919</v>
      </c>
      <c r="C94" s="132" t="s">
        <v>2920</v>
      </c>
      <c r="D94" s="17">
        <v>2000</v>
      </c>
      <c r="E94" s="73"/>
      <c r="F94" s="17">
        <f t="shared" si="0"/>
        <v>2000</v>
      </c>
    </row>
    <row r="95" ht="15.75" spans="1:6">
      <c r="A95" s="75">
        <v>45540</v>
      </c>
      <c r="B95" s="17" t="s">
        <v>2921</v>
      </c>
      <c r="C95" s="133" t="s">
        <v>1793</v>
      </c>
      <c r="D95" s="17">
        <v>3050</v>
      </c>
      <c r="E95" s="73">
        <v>3050</v>
      </c>
      <c r="F95" s="17">
        <f t="shared" ref="F95:F158" si="1">D95-E95</f>
        <v>0</v>
      </c>
    </row>
    <row r="96" ht="15.75" spans="1:6">
      <c r="A96" s="75" t="s">
        <v>1748</v>
      </c>
      <c r="B96" s="17" t="s">
        <v>1792</v>
      </c>
      <c r="C96" s="133" t="s">
        <v>1793</v>
      </c>
      <c r="D96" s="17">
        <v>900</v>
      </c>
      <c r="E96" s="73"/>
      <c r="F96" s="17">
        <f t="shared" si="1"/>
        <v>900</v>
      </c>
    </row>
    <row r="97" ht="15.75" spans="1:6">
      <c r="A97" s="75" t="s">
        <v>2922</v>
      </c>
      <c r="B97" s="17" t="s">
        <v>2923</v>
      </c>
      <c r="C97" s="132" t="s">
        <v>2924</v>
      </c>
      <c r="D97" s="17">
        <v>6050</v>
      </c>
      <c r="E97" s="73"/>
      <c r="F97" s="17">
        <f t="shared" si="1"/>
        <v>6050</v>
      </c>
    </row>
    <row r="98" ht="15.75" spans="1:6">
      <c r="A98" s="75">
        <v>45387</v>
      </c>
      <c r="B98" s="17" t="s">
        <v>2925</v>
      </c>
      <c r="C98" s="132" t="s">
        <v>2926</v>
      </c>
      <c r="D98" s="17">
        <v>1500</v>
      </c>
      <c r="E98" s="73"/>
      <c r="F98" s="17">
        <f t="shared" si="1"/>
        <v>1500</v>
      </c>
    </row>
    <row r="99" ht="15.75" spans="1:6">
      <c r="A99" s="75" t="s">
        <v>1453</v>
      </c>
      <c r="B99" s="17" t="s">
        <v>1794</v>
      </c>
      <c r="C99" s="132" t="s">
        <v>1795</v>
      </c>
      <c r="D99" s="17">
        <v>1500</v>
      </c>
      <c r="E99" s="73"/>
      <c r="F99" s="17">
        <f t="shared" si="1"/>
        <v>1500</v>
      </c>
    </row>
    <row r="100" ht="15.75" spans="1:6">
      <c r="A100" s="75" t="s">
        <v>1340</v>
      </c>
      <c r="B100" s="17" t="s">
        <v>2927</v>
      </c>
      <c r="C100" s="132" t="s">
        <v>2928</v>
      </c>
      <c r="D100" s="17">
        <v>30000</v>
      </c>
      <c r="E100" s="73"/>
      <c r="F100" s="17">
        <f t="shared" si="1"/>
        <v>30000</v>
      </c>
    </row>
    <row r="101" ht="15.75" spans="1:6">
      <c r="A101" s="75">
        <v>45297</v>
      </c>
      <c r="B101" s="17" t="s">
        <v>1796</v>
      </c>
      <c r="C101" s="132" t="s">
        <v>1797</v>
      </c>
      <c r="D101" s="17">
        <v>1200</v>
      </c>
      <c r="E101" s="73"/>
      <c r="F101" s="17">
        <f t="shared" si="1"/>
        <v>1200</v>
      </c>
    </row>
    <row r="102" ht="15.75" spans="1:6">
      <c r="A102" s="75" t="s">
        <v>97</v>
      </c>
      <c r="B102" s="17" t="s">
        <v>2929</v>
      </c>
      <c r="C102" s="132" t="s">
        <v>2930</v>
      </c>
      <c r="D102" s="17">
        <v>950</v>
      </c>
      <c r="E102" s="73">
        <v>950</v>
      </c>
      <c r="F102" s="17">
        <f t="shared" si="1"/>
        <v>0</v>
      </c>
    </row>
    <row r="103" ht="15.75" spans="1:6">
      <c r="A103" s="75">
        <v>45418</v>
      </c>
      <c r="B103" s="17" t="s">
        <v>2931</v>
      </c>
      <c r="C103" s="132" t="s">
        <v>2932</v>
      </c>
      <c r="D103" s="17">
        <v>18900</v>
      </c>
      <c r="E103" s="73">
        <v>18900</v>
      </c>
      <c r="F103" s="17">
        <f t="shared" si="1"/>
        <v>0</v>
      </c>
    </row>
    <row r="104" ht="15.75" spans="1:6">
      <c r="A104" s="75">
        <v>45297</v>
      </c>
      <c r="B104" s="17" t="s">
        <v>2933</v>
      </c>
      <c r="C104" s="132" t="s">
        <v>2934</v>
      </c>
      <c r="D104" s="17">
        <v>1900</v>
      </c>
      <c r="E104" s="73"/>
      <c r="F104" s="17">
        <f t="shared" si="1"/>
        <v>1900</v>
      </c>
    </row>
    <row r="105" ht="15.75" spans="1:6">
      <c r="A105" s="75">
        <v>45541</v>
      </c>
      <c r="B105" s="17" t="s">
        <v>2935</v>
      </c>
      <c r="C105" s="132" t="s">
        <v>1825</v>
      </c>
      <c r="D105" s="17">
        <v>7500</v>
      </c>
      <c r="E105" s="73"/>
      <c r="F105" s="17">
        <f t="shared" si="1"/>
        <v>7500</v>
      </c>
    </row>
    <row r="106" ht="15.75" spans="1:6">
      <c r="A106" s="75" t="s">
        <v>2351</v>
      </c>
      <c r="B106" s="17" t="s">
        <v>2936</v>
      </c>
      <c r="C106" s="132" t="s">
        <v>2937</v>
      </c>
      <c r="D106" s="17">
        <v>17000</v>
      </c>
      <c r="E106" s="73"/>
      <c r="F106" s="17">
        <f t="shared" si="1"/>
        <v>17000</v>
      </c>
    </row>
    <row r="107" ht="15.75" spans="1:6">
      <c r="A107" s="75" t="s">
        <v>2354</v>
      </c>
      <c r="B107" s="17" t="s">
        <v>2938</v>
      </c>
      <c r="C107" s="132" t="s">
        <v>2939</v>
      </c>
      <c r="D107" s="17">
        <v>1500</v>
      </c>
      <c r="E107" s="73">
        <v>1100</v>
      </c>
      <c r="F107" s="17">
        <f t="shared" si="1"/>
        <v>400</v>
      </c>
    </row>
    <row r="108" ht="15.75" spans="1:6">
      <c r="A108" s="161" t="s">
        <v>115</v>
      </c>
      <c r="B108" s="17" t="s">
        <v>2940</v>
      </c>
      <c r="C108" s="132" t="s">
        <v>1974</v>
      </c>
      <c r="D108" s="17">
        <v>1655</v>
      </c>
      <c r="E108" s="73">
        <v>1655</v>
      </c>
      <c r="F108" s="17">
        <f t="shared" si="1"/>
        <v>0</v>
      </c>
    </row>
    <row r="109" ht="15.75" spans="1:6">
      <c r="A109" s="75" t="s">
        <v>115</v>
      </c>
      <c r="B109" s="17" t="s">
        <v>2941</v>
      </c>
      <c r="C109" s="162" t="s">
        <v>2942</v>
      </c>
      <c r="D109" s="17">
        <v>6112</v>
      </c>
      <c r="E109" s="73"/>
      <c r="F109" s="17">
        <f t="shared" si="1"/>
        <v>6112</v>
      </c>
    </row>
    <row r="110" ht="15.75" spans="1:6">
      <c r="A110" s="99" t="s">
        <v>118</v>
      </c>
      <c r="B110" s="93" t="s">
        <v>1798</v>
      </c>
      <c r="C110" s="163" t="s">
        <v>1799</v>
      </c>
      <c r="D110" s="100">
        <v>1500</v>
      </c>
      <c r="E110" s="73"/>
      <c r="F110" s="17">
        <f t="shared" si="1"/>
        <v>1500</v>
      </c>
    </row>
    <row r="111" ht="15.75" spans="1:6">
      <c r="A111" s="99" t="s">
        <v>118</v>
      </c>
      <c r="B111" s="93" t="s">
        <v>2943</v>
      </c>
      <c r="C111" s="162" t="s">
        <v>2942</v>
      </c>
      <c r="D111" s="100">
        <v>44337</v>
      </c>
      <c r="E111" s="89"/>
      <c r="F111" s="17">
        <f t="shared" si="1"/>
        <v>44337</v>
      </c>
    </row>
    <row r="112" ht="15.75" spans="1:6">
      <c r="A112" s="94" t="s">
        <v>1800</v>
      </c>
      <c r="B112" s="93" t="s">
        <v>1801</v>
      </c>
      <c r="C112" s="164" t="s">
        <v>1802</v>
      </c>
      <c r="D112" s="93">
        <v>236993</v>
      </c>
      <c r="E112" s="89"/>
      <c r="F112" s="17">
        <f t="shared" si="1"/>
        <v>236993</v>
      </c>
    </row>
    <row r="113" ht="15.75" spans="1:6">
      <c r="A113" s="94" t="s">
        <v>1800</v>
      </c>
      <c r="B113" s="93" t="s">
        <v>2944</v>
      </c>
      <c r="C113" s="162" t="s">
        <v>2942</v>
      </c>
      <c r="D113" s="93">
        <v>1000</v>
      </c>
      <c r="E113" s="89"/>
      <c r="F113" s="17">
        <f t="shared" si="1"/>
        <v>1000</v>
      </c>
    </row>
    <row r="114" ht="15.75" spans="1:6">
      <c r="A114" s="94" t="s">
        <v>1800</v>
      </c>
      <c r="B114" s="93" t="s">
        <v>2945</v>
      </c>
      <c r="C114" s="162" t="s">
        <v>2942</v>
      </c>
      <c r="D114" s="93">
        <v>5300</v>
      </c>
      <c r="E114" s="89">
        <v>5000</v>
      </c>
      <c r="F114" s="17">
        <f t="shared" si="1"/>
        <v>300</v>
      </c>
    </row>
    <row r="115" ht="15.75" spans="1:6">
      <c r="A115" s="94" t="s">
        <v>1800</v>
      </c>
      <c r="B115" s="93" t="s">
        <v>2946</v>
      </c>
      <c r="C115" s="165" t="s">
        <v>2947</v>
      </c>
      <c r="D115" s="93">
        <v>3950</v>
      </c>
      <c r="E115" s="89"/>
      <c r="F115" s="17">
        <f t="shared" si="1"/>
        <v>3950</v>
      </c>
    </row>
    <row r="116" ht="15.75" spans="1:6">
      <c r="A116" s="94" t="s">
        <v>122</v>
      </c>
      <c r="B116" s="93" t="s">
        <v>2948</v>
      </c>
      <c r="C116" s="162" t="s">
        <v>2942</v>
      </c>
      <c r="D116" s="93">
        <v>2160</v>
      </c>
      <c r="E116" s="89"/>
      <c r="F116" s="17">
        <f t="shared" si="1"/>
        <v>2160</v>
      </c>
    </row>
    <row r="117" ht="15.75" spans="1:6">
      <c r="A117" s="94" t="s">
        <v>1803</v>
      </c>
      <c r="B117" s="93" t="s">
        <v>1804</v>
      </c>
      <c r="C117" s="164" t="s">
        <v>1805</v>
      </c>
      <c r="D117" s="93">
        <v>10000</v>
      </c>
      <c r="E117" s="89"/>
      <c r="F117" s="17">
        <f t="shared" si="1"/>
        <v>10000</v>
      </c>
    </row>
    <row r="118" ht="15.75" spans="1:6">
      <c r="A118" s="94">
        <v>45298</v>
      </c>
      <c r="B118" s="93" t="s">
        <v>2949</v>
      </c>
      <c r="C118" s="164" t="s">
        <v>2950</v>
      </c>
      <c r="D118" s="93">
        <v>25100</v>
      </c>
      <c r="E118" s="89"/>
      <c r="F118" s="17">
        <f t="shared" si="1"/>
        <v>25100</v>
      </c>
    </row>
    <row r="119" ht="15.75" spans="1:6">
      <c r="A119" s="94">
        <v>45450</v>
      </c>
      <c r="B119" s="93" t="s">
        <v>2951</v>
      </c>
      <c r="C119" s="164" t="s">
        <v>2952</v>
      </c>
      <c r="D119" s="93">
        <v>1500</v>
      </c>
      <c r="E119" s="89"/>
      <c r="F119" s="17">
        <f t="shared" si="1"/>
        <v>1500</v>
      </c>
    </row>
    <row r="120" ht="15.75" spans="1:6">
      <c r="A120" s="94">
        <v>45480</v>
      </c>
      <c r="B120" s="93" t="s">
        <v>2953</v>
      </c>
      <c r="C120" s="164" t="s">
        <v>2954</v>
      </c>
      <c r="D120" s="93">
        <v>1800</v>
      </c>
      <c r="E120" s="89"/>
      <c r="F120" s="17">
        <f t="shared" si="1"/>
        <v>1800</v>
      </c>
    </row>
    <row r="121" ht="15.75" spans="1:6">
      <c r="A121" s="94" t="s">
        <v>2955</v>
      </c>
      <c r="B121" s="93" t="s">
        <v>2956</v>
      </c>
      <c r="C121" s="166" t="s">
        <v>2957</v>
      </c>
      <c r="D121" s="93">
        <v>10847</v>
      </c>
      <c r="E121" s="89"/>
      <c r="F121" s="17">
        <f t="shared" si="1"/>
        <v>10847</v>
      </c>
    </row>
    <row r="122" ht="15.75" spans="1:6">
      <c r="A122" s="94">
        <v>45511</v>
      </c>
      <c r="B122" s="93" t="s">
        <v>2958</v>
      </c>
      <c r="C122" s="164" t="s">
        <v>2957</v>
      </c>
      <c r="D122" s="93">
        <v>5040</v>
      </c>
      <c r="E122" s="89">
        <v>5040</v>
      </c>
      <c r="F122" s="17">
        <f t="shared" si="1"/>
        <v>0</v>
      </c>
    </row>
    <row r="123" ht="15.75" spans="1:6">
      <c r="A123" s="94">
        <v>45542</v>
      </c>
      <c r="B123" s="93" t="s">
        <v>2959</v>
      </c>
      <c r="C123" s="164" t="s">
        <v>2960</v>
      </c>
      <c r="D123" s="93">
        <v>2300</v>
      </c>
      <c r="E123" s="89">
        <v>2300</v>
      </c>
      <c r="F123" s="17">
        <f t="shared" si="1"/>
        <v>0</v>
      </c>
    </row>
    <row r="124" ht="15.75" spans="1:6">
      <c r="A124" s="94">
        <v>45542</v>
      </c>
      <c r="B124" s="93" t="s">
        <v>2961</v>
      </c>
      <c r="C124" s="167" t="s">
        <v>2957</v>
      </c>
      <c r="D124" s="93">
        <v>500</v>
      </c>
      <c r="E124" s="89">
        <v>500</v>
      </c>
      <c r="F124" s="17">
        <f t="shared" si="1"/>
        <v>0</v>
      </c>
    </row>
    <row r="125" ht="15.75" spans="1:6">
      <c r="A125" s="94" t="s">
        <v>803</v>
      </c>
      <c r="B125" s="93" t="s">
        <v>2962</v>
      </c>
      <c r="C125" s="164" t="s">
        <v>2963</v>
      </c>
      <c r="D125" s="93">
        <v>25000</v>
      </c>
      <c r="E125" s="89"/>
      <c r="F125" s="17">
        <f t="shared" si="1"/>
        <v>25000</v>
      </c>
    </row>
    <row r="126" ht="15.75" spans="1:6">
      <c r="A126" s="94" t="s">
        <v>1234</v>
      </c>
      <c r="B126" s="93" t="s">
        <v>1806</v>
      </c>
      <c r="C126" s="164" t="s">
        <v>1807</v>
      </c>
      <c r="D126" s="93">
        <v>10094</v>
      </c>
      <c r="E126" s="89">
        <v>5000</v>
      </c>
      <c r="F126" s="17">
        <f t="shared" si="1"/>
        <v>5094</v>
      </c>
    </row>
    <row r="127" ht="15.75" spans="1:6">
      <c r="A127" s="94" t="s">
        <v>1078</v>
      </c>
      <c r="B127" s="93" t="s">
        <v>2964</v>
      </c>
      <c r="C127" s="164" t="s">
        <v>2965</v>
      </c>
      <c r="D127" s="93">
        <v>5000</v>
      </c>
      <c r="E127" s="89">
        <v>5000</v>
      </c>
      <c r="F127" s="17">
        <f t="shared" si="1"/>
        <v>0</v>
      </c>
    </row>
    <row r="128" ht="15.75" spans="1:6">
      <c r="A128" s="94" t="s">
        <v>756</v>
      </c>
      <c r="B128" s="93" t="s">
        <v>2966</v>
      </c>
      <c r="C128" s="164" t="s">
        <v>76</v>
      </c>
      <c r="D128" s="93">
        <v>4300</v>
      </c>
      <c r="E128" s="89">
        <v>4300</v>
      </c>
      <c r="F128" s="17">
        <f t="shared" si="1"/>
        <v>0</v>
      </c>
    </row>
    <row r="129" ht="15.75" spans="1:6">
      <c r="A129" s="94" t="s">
        <v>756</v>
      </c>
      <c r="B129" s="93" t="s">
        <v>2967</v>
      </c>
      <c r="C129" s="164" t="s">
        <v>2968</v>
      </c>
      <c r="D129" s="93">
        <v>4200</v>
      </c>
      <c r="E129" s="89">
        <v>3500</v>
      </c>
      <c r="F129" s="17">
        <f t="shared" si="1"/>
        <v>700</v>
      </c>
    </row>
    <row r="130" ht="15.75" spans="1:6">
      <c r="A130" s="94" t="s">
        <v>2969</v>
      </c>
      <c r="B130" s="93" t="s">
        <v>2970</v>
      </c>
      <c r="C130" s="164" t="s">
        <v>2971</v>
      </c>
      <c r="D130" s="93">
        <v>4000</v>
      </c>
      <c r="E130" s="89">
        <v>4000</v>
      </c>
      <c r="F130" s="17">
        <f t="shared" si="1"/>
        <v>0</v>
      </c>
    </row>
    <row r="131" ht="15.75" spans="1:6">
      <c r="A131" s="94" t="s">
        <v>2972</v>
      </c>
      <c r="B131" s="93" t="s">
        <v>2973</v>
      </c>
      <c r="C131" s="164" t="s">
        <v>2974</v>
      </c>
      <c r="D131" s="93">
        <v>8500</v>
      </c>
      <c r="E131" s="89">
        <v>8500</v>
      </c>
      <c r="F131" s="17">
        <f t="shared" si="1"/>
        <v>0</v>
      </c>
    </row>
    <row r="132" ht="15.75" spans="1:6">
      <c r="A132" s="94" t="s">
        <v>781</v>
      </c>
      <c r="B132" s="93" t="s">
        <v>2975</v>
      </c>
      <c r="C132" s="164" t="s">
        <v>2976</v>
      </c>
      <c r="D132" s="93">
        <v>2080</v>
      </c>
      <c r="E132" s="89"/>
      <c r="F132" s="17">
        <f t="shared" si="1"/>
        <v>2080</v>
      </c>
    </row>
    <row r="133" ht="15.75" spans="1:6">
      <c r="A133" s="168" t="s">
        <v>781</v>
      </c>
      <c r="B133" s="169" t="s">
        <v>1808</v>
      </c>
      <c r="C133" s="164" t="s">
        <v>1809</v>
      </c>
      <c r="D133" s="93">
        <v>1500</v>
      </c>
      <c r="E133" s="89"/>
      <c r="F133" s="17">
        <f t="shared" si="1"/>
        <v>1500</v>
      </c>
    </row>
    <row r="134" ht="15.75" spans="1:6">
      <c r="A134" s="94" t="s">
        <v>781</v>
      </c>
      <c r="B134" s="93" t="s">
        <v>2977</v>
      </c>
      <c r="C134" s="164" t="s">
        <v>2978</v>
      </c>
      <c r="D134" s="93">
        <v>15500</v>
      </c>
      <c r="E134" s="89"/>
      <c r="F134" s="17">
        <f t="shared" si="1"/>
        <v>15500</v>
      </c>
    </row>
    <row r="135" ht="15.75" spans="1:6">
      <c r="A135" s="94" t="s">
        <v>781</v>
      </c>
      <c r="B135" s="93" t="s">
        <v>2979</v>
      </c>
      <c r="C135" s="164" t="s">
        <v>2980</v>
      </c>
      <c r="D135" s="93">
        <v>500</v>
      </c>
      <c r="E135" s="89">
        <v>500</v>
      </c>
      <c r="F135" s="17">
        <f t="shared" si="1"/>
        <v>0</v>
      </c>
    </row>
    <row r="136" ht="15.75" spans="1:6">
      <c r="A136" s="94">
        <v>45573</v>
      </c>
      <c r="B136" s="93" t="s">
        <v>2981</v>
      </c>
      <c r="C136" s="164" t="s">
        <v>2982</v>
      </c>
      <c r="D136" s="93">
        <v>1500</v>
      </c>
      <c r="E136" s="89">
        <v>1500</v>
      </c>
      <c r="F136" s="17">
        <f t="shared" si="1"/>
        <v>0</v>
      </c>
    </row>
    <row r="137" ht="15.75" spans="1:6">
      <c r="A137" s="94">
        <v>45573</v>
      </c>
      <c r="B137" s="93" t="s">
        <v>2983</v>
      </c>
      <c r="C137" s="164" t="s">
        <v>2984</v>
      </c>
      <c r="D137" s="93">
        <v>1350</v>
      </c>
      <c r="E137" s="89"/>
      <c r="F137" s="17">
        <f t="shared" si="1"/>
        <v>1350</v>
      </c>
    </row>
    <row r="138" ht="15.75" spans="1:6">
      <c r="A138" s="94">
        <v>45634</v>
      </c>
      <c r="B138" s="93" t="s">
        <v>2985</v>
      </c>
      <c r="C138" s="164" t="s">
        <v>2859</v>
      </c>
      <c r="D138" s="93">
        <v>1500</v>
      </c>
      <c r="E138" s="89">
        <v>1500</v>
      </c>
      <c r="F138" s="17">
        <f t="shared" si="1"/>
        <v>0</v>
      </c>
    </row>
    <row r="139" ht="15.75" spans="1:6">
      <c r="A139" s="94" t="s">
        <v>1412</v>
      </c>
      <c r="B139" s="93" t="s">
        <v>2986</v>
      </c>
      <c r="C139" s="164" t="s">
        <v>2987</v>
      </c>
      <c r="D139" s="93">
        <v>3650</v>
      </c>
      <c r="E139" s="89"/>
      <c r="F139" s="17">
        <f t="shared" si="1"/>
        <v>3650</v>
      </c>
    </row>
    <row r="140" ht="15.75" spans="1:6">
      <c r="A140" s="94" t="s">
        <v>942</v>
      </c>
      <c r="B140" s="93" t="s">
        <v>1810</v>
      </c>
      <c r="C140" s="164" t="s">
        <v>1811</v>
      </c>
      <c r="D140" s="93">
        <v>7000</v>
      </c>
      <c r="E140" s="89"/>
      <c r="F140" s="17">
        <f t="shared" si="1"/>
        <v>7000</v>
      </c>
    </row>
    <row r="141" ht="15.75" spans="1:6">
      <c r="A141" s="94" t="s">
        <v>1812</v>
      </c>
      <c r="B141" s="93" t="s">
        <v>2988</v>
      </c>
      <c r="C141" s="164" t="s">
        <v>2989</v>
      </c>
      <c r="D141" s="93">
        <v>7600</v>
      </c>
      <c r="E141" s="89"/>
      <c r="F141" s="17">
        <f t="shared" si="1"/>
        <v>7600</v>
      </c>
    </row>
    <row r="142" ht="15.75" spans="1:6">
      <c r="A142" s="94" t="s">
        <v>1812</v>
      </c>
      <c r="B142" s="93" t="s">
        <v>1813</v>
      </c>
      <c r="C142" s="164" t="s">
        <v>2990</v>
      </c>
      <c r="D142" s="93">
        <v>2200</v>
      </c>
      <c r="E142" s="89"/>
      <c r="F142" s="17">
        <f t="shared" si="1"/>
        <v>2200</v>
      </c>
    </row>
    <row r="143" ht="15.75" spans="1:6">
      <c r="A143" s="94" t="s">
        <v>1489</v>
      </c>
      <c r="B143" s="93" t="s">
        <v>156</v>
      </c>
      <c r="C143" s="164" t="s">
        <v>2991</v>
      </c>
      <c r="D143" s="93"/>
      <c r="E143" s="89">
        <v>2500</v>
      </c>
      <c r="F143" s="17">
        <f t="shared" si="1"/>
        <v>-2500</v>
      </c>
    </row>
    <row r="144" ht="15.75" spans="1:6">
      <c r="A144" s="94">
        <v>45512</v>
      </c>
      <c r="B144" s="93" t="s">
        <v>156</v>
      </c>
      <c r="C144" s="164" t="s">
        <v>2991</v>
      </c>
      <c r="D144" s="93"/>
      <c r="E144" s="89">
        <v>5000</v>
      </c>
      <c r="F144" s="17">
        <f t="shared" si="1"/>
        <v>-5000</v>
      </c>
    </row>
    <row r="145" ht="15.75" spans="1:6">
      <c r="A145" s="94">
        <v>45391</v>
      </c>
      <c r="B145" s="93" t="s">
        <v>2992</v>
      </c>
      <c r="C145" s="164" t="s">
        <v>2960</v>
      </c>
      <c r="D145" s="93">
        <v>1000</v>
      </c>
      <c r="E145" s="89"/>
      <c r="F145" s="17">
        <f t="shared" si="1"/>
        <v>1000</v>
      </c>
    </row>
    <row r="146" ht="15.75" spans="1:6">
      <c r="A146" s="94" t="s">
        <v>2993</v>
      </c>
      <c r="B146" s="93" t="s">
        <v>2994</v>
      </c>
      <c r="C146" s="164" t="s">
        <v>2793</v>
      </c>
      <c r="D146" s="93">
        <v>4050</v>
      </c>
      <c r="E146" s="89">
        <v>4050</v>
      </c>
      <c r="F146" s="17">
        <f t="shared" si="1"/>
        <v>0</v>
      </c>
    </row>
    <row r="147" ht="15.75" spans="1:6">
      <c r="A147" s="94" t="s">
        <v>1494</v>
      </c>
      <c r="B147" s="93" t="s">
        <v>2995</v>
      </c>
      <c r="C147" s="164" t="s">
        <v>1974</v>
      </c>
      <c r="D147" s="93">
        <v>2829</v>
      </c>
      <c r="E147" s="89">
        <v>2827</v>
      </c>
      <c r="F147" s="17">
        <f t="shared" si="1"/>
        <v>2</v>
      </c>
    </row>
    <row r="148" ht="15.75" spans="1:6">
      <c r="A148" s="94" t="s">
        <v>2384</v>
      </c>
      <c r="B148" s="93" t="s">
        <v>2996</v>
      </c>
      <c r="C148" s="164" t="s">
        <v>2997</v>
      </c>
      <c r="D148" s="93">
        <v>15000</v>
      </c>
      <c r="E148" s="89"/>
      <c r="F148" s="17">
        <f t="shared" si="1"/>
        <v>15000</v>
      </c>
    </row>
    <row r="149" ht="15.75" spans="1:6">
      <c r="A149" s="94" t="s">
        <v>1412</v>
      </c>
      <c r="B149" s="93" t="s">
        <v>2998</v>
      </c>
      <c r="C149" s="164" t="s">
        <v>2999</v>
      </c>
      <c r="D149" s="93">
        <v>5600</v>
      </c>
      <c r="E149" s="89"/>
      <c r="F149" s="17">
        <f t="shared" si="1"/>
        <v>5600</v>
      </c>
    </row>
    <row r="150" ht="15.75" spans="1:6">
      <c r="A150" s="94" t="s">
        <v>1101</v>
      </c>
      <c r="B150" s="93" t="s">
        <v>1102</v>
      </c>
      <c r="C150" s="164" t="s">
        <v>1815</v>
      </c>
      <c r="D150" s="93">
        <v>5500</v>
      </c>
      <c r="E150" s="89"/>
      <c r="F150" s="17">
        <f t="shared" si="1"/>
        <v>5500</v>
      </c>
    </row>
    <row r="151" ht="15.75" spans="1:6">
      <c r="A151" s="94" t="s">
        <v>1101</v>
      </c>
      <c r="B151" s="93" t="s">
        <v>1816</v>
      </c>
      <c r="C151" s="164" t="s">
        <v>1814</v>
      </c>
      <c r="D151" s="93">
        <v>2050</v>
      </c>
      <c r="E151" s="89">
        <v>600</v>
      </c>
      <c r="F151" s="17">
        <f t="shared" si="1"/>
        <v>1450</v>
      </c>
    </row>
    <row r="152" ht="15.75" spans="1:6">
      <c r="A152" s="94" t="s">
        <v>1817</v>
      </c>
      <c r="B152" s="93" t="s">
        <v>1818</v>
      </c>
      <c r="C152" s="164" t="s">
        <v>1819</v>
      </c>
      <c r="D152" s="93">
        <v>4820</v>
      </c>
      <c r="E152" s="89"/>
      <c r="F152" s="17">
        <f t="shared" si="1"/>
        <v>4820</v>
      </c>
    </row>
    <row r="153" ht="15.75" spans="1:6">
      <c r="A153" s="94" t="s">
        <v>2383</v>
      </c>
      <c r="B153" s="93" t="s">
        <v>3000</v>
      </c>
      <c r="C153" s="164" t="s">
        <v>3001</v>
      </c>
      <c r="D153" s="93">
        <v>7500</v>
      </c>
      <c r="E153" s="89">
        <v>7500</v>
      </c>
      <c r="F153" s="17">
        <f t="shared" si="1"/>
        <v>0</v>
      </c>
    </row>
    <row r="154" ht="15.75" spans="1:6">
      <c r="A154" s="94" t="s">
        <v>2384</v>
      </c>
      <c r="B154" s="93" t="s">
        <v>3002</v>
      </c>
      <c r="C154" s="164" t="s">
        <v>3003</v>
      </c>
      <c r="D154" s="93">
        <v>2500</v>
      </c>
      <c r="E154" s="89"/>
      <c r="F154" s="17">
        <f t="shared" si="1"/>
        <v>2500</v>
      </c>
    </row>
    <row r="155" ht="15.75" spans="1:6">
      <c r="A155" s="94" t="s">
        <v>2993</v>
      </c>
      <c r="B155" s="170" t="s">
        <v>3004</v>
      </c>
      <c r="C155" s="164" t="s">
        <v>1974</v>
      </c>
      <c r="D155" s="93">
        <v>3180</v>
      </c>
      <c r="E155" s="89">
        <v>3180</v>
      </c>
      <c r="F155" s="17">
        <f t="shared" si="1"/>
        <v>0</v>
      </c>
    </row>
    <row r="156" ht="15.75" spans="1:6">
      <c r="A156" s="94">
        <v>45361</v>
      </c>
      <c r="B156" s="93" t="s">
        <v>3005</v>
      </c>
      <c r="C156" s="164" t="s">
        <v>3006</v>
      </c>
      <c r="D156" s="93">
        <v>200</v>
      </c>
      <c r="E156" s="89"/>
      <c r="F156" s="17">
        <f t="shared" si="1"/>
        <v>200</v>
      </c>
    </row>
    <row r="157" ht="15.75" spans="1:6">
      <c r="A157" s="94" t="s">
        <v>1820</v>
      </c>
      <c r="B157" s="93" t="s">
        <v>1821</v>
      </c>
      <c r="C157" s="164" t="s">
        <v>1822</v>
      </c>
      <c r="D157" s="93">
        <v>9700</v>
      </c>
      <c r="E157" s="89"/>
      <c r="F157" s="17">
        <f t="shared" si="1"/>
        <v>9700</v>
      </c>
    </row>
    <row r="158" ht="15.75" spans="1:6">
      <c r="A158" s="94">
        <v>45300</v>
      </c>
      <c r="B158" s="93" t="s">
        <v>1823</v>
      </c>
      <c r="C158" s="164" t="s">
        <v>1824</v>
      </c>
      <c r="D158" s="93">
        <v>79890</v>
      </c>
      <c r="E158" s="89"/>
      <c r="F158" s="17">
        <f t="shared" si="1"/>
        <v>79890</v>
      </c>
    </row>
    <row r="159" ht="15.75" spans="1:6">
      <c r="A159" s="94" t="s">
        <v>1103</v>
      </c>
      <c r="B159" s="93" t="s">
        <v>1104</v>
      </c>
      <c r="C159" s="164" t="s">
        <v>3007</v>
      </c>
      <c r="D159" s="93">
        <v>4500</v>
      </c>
      <c r="E159" s="89"/>
      <c r="F159" s="17">
        <f t="shared" ref="F159:F181" si="2">D159-E159</f>
        <v>4500</v>
      </c>
    </row>
    <row r="160" ht="15.75" spans="1:6">
      <c r="A160" s="94" t="s">
        <v>158</v>
      </c>
      <c r="B160" s="93" t="s">
        <v>3008</v>
      </c>
      <c r="C160" s="164" t="s">
        <v>76</v>
      </c>
      <c r="D160" s="93">
        <v>3175</v>
      </c>
      <c r="E160" s="89">
        <v>3175</v>
      </c>
      <c r="F160" s="17">
        <f t="shared" si="2"/>
        <v>0</v>
      </c>
    </row>
    <row r="161" ht="15.75" spans="1:6">
      <c r="A161" s="94" t="s">
        <v>1153</v>
      </c>
      <c r="B161" s="93" t="s">
        <v>3009</v>
      </c>
      <c r="C161" s="164" t="s">
        <v>2798</v>
      </c>
      <c r="D161" s="93">
        <v>1250</v>
      </c>
      <c r="E161" s="89"/>
      <c r="F161" s="17">
        <f t="shared" si="2"/>
        <v>1250</v>
      </c>
    </row>
    <row r="162" ht="15.75" spans="1:6">
      <c r="A162" s="94" t="s">
        <v>2394</v>
      </c>
      <c r="B162" s="93" t="s">
        <v>3010</v>
      </c>
      <c r="C162" s="164" t="s">
        <v>3011</v>
      </c>
      <c r="D162" s="93">
        <v>23940</v>
      </c>
      <c r="E162" s="89">
        <v>23940</v>
      </c>
      <c r="F162" s="17">
        <f t="shared" si="2"/>
        <v>0</v>
      </c>
    </row>
    <row r="163" ht="15.75" spans="1:6">
      <c r="A163" s="94" t="s">
        <v>2394</v>
      </c>
      <c r="B163" s="93" t="s">
        <v>3012</v>
      </c>
      <c r="C163" s="164" t="s">
        <v>1825</v>
      </c>
      <c r="D163" s="93">
        <v>4950</v>
      </c>
      <c r="E163" s="89">
        <v>4950</v>
      </c>
      <c r="F163" s="17">
        <f t="shared" si="2"/>
        <v>0</v>
      </c>
    </row>
    <row r="164" ht="15.75" spans="1:6">
      <c r="A164" s="94" t="s">
        <v>2394</v>
      </c>
      <c r="B164" s="93"/>
      <c r="C164" s="164" t="s">
        <v>1825</v>
      </c>
      <c r="D164" s="93">
        <v>13210</v>
      </c>
      <c r="E164" s="89">
        <v>13210</v>
      </c>
      <c r="F164" s="17">
        <f t="shared" si="2"/>
        <v>0</v>
      </c>
    </row>
    <row r="165" ht="15.75" spans="1:6">
      <c r="A165" s="94" t="s">
        <v>3013</v>
      </c>
      <c r="B165" s="93" t="s">
        <v>3014</v>
      </c>
      <c r="C165" s="164" t="s">
        <v>1825</v>
      </c>
      <c r="D165" s="93">
        <v>12450</v>
      </c>
      <c r="E165" s="89">
        <v>12450</v>
      </c>
      <c r="F165" s="17">
        <f t="shared" si="2"/>
        <v>0</v>
      </c>
    </row>
    <row r="166" ht="15.75" spans="1:6">
      <c r="A166" s="94" t="s">
        <v>1171</v>
      </c>
      <c r="B166" s="93" t="s">
        <v>1172</v>
      </c>
      <c r="C166" s="164" t="s">
        <v>1825</v>
      </c>
      <c r="D166" s="93">
        <v>15415</v>
      </c>
      <c r="E166" s="89">
        <v>6500</v>
      </c>
      <c r="F166" s="17">
        <f t="shared" si="2"/>
        <v>8915</v>
      </c>
    </row>
    <row r="167" ht="15.75" spans="1:6">
      <c r="A167" s="94" t="s">
        <v>981</v>
      </c>
      <c r="B167" s="93" t="s">
        <v>3015</v>
      </c>
      <c r="C167" s="164" t="s">
        <v>2942</v>
      </c>
      <c r="D167" s="93">
        <v>2465</v>
      </c>
      <c r="E167" s="89">
        <v>2465</v>
      </c>
      <c r="F167" s="17">
        <f t="shared" si="2"/>
        <v>0</v>
      </c>
    </row>
    <row r="168" ht="15.75" spans="1:6">
      <c r="A168" s="94" t="s">
        <v>981</v>
      </c>
      <c r="B168" s="93" t="s">
        <v>1826</v>
      </c>
      <c r="C168" s="164" t="s">
        <v>1827</v>
      </c>
      <c r="D168" s="93">
        <v>1500</v>
      </c>
      <c r="E168" s="89"/>
      <c r="F168" s="17">
        <f t="shared" si="2"/>
        <v>1500</v>
      </c>
    </row>
    <row r="169" ht="15.75" spans="1:6">
      <c r="A169" s="94" t="s">
        <v>146</v>
      </c>
      <c r="B169" s="93" t="s">
        <v>1828</v>
      </c>
      <c r="C169" s="164" t="s">
        <v>1829</v>
      </c>
      <c r="D169" s="93">
        <v>14000</v>
      </c>
      <c r="E169" s="89"/>
      <c r="F169" s="17">
        <f t="shared" si="2"/>
        <v>14000</v>
      </c>
    </row>
    <row r="170" ht="15.75" spans="1:6">
      <c r="A170" s="94" t="s">
        <v>146</v>
      </c>
      <c r="B170" s="93" t="s">
        <v>3016</v>
      </c>
      <c r="C170" s="164" t="s">
        <v>3017</v>
      </c>
      <c r="D170" s="93">
        <v>4500</v>
      </c>
      <c r="E170" s="89">
        <v>2500</v>
      </c>
      <c r="F170" s="17">
        <f t="shared" si="2"/>
        <v>2000</v>
      </c>
    </row>
    <row r="171" ht="15.75" spans="1:6">
      <c r="A171" s="94">
        <v>45333</v>
      </c>
      <c r="B171" s="93" t="s">
        <v>3018</v>
      </c>
      <c r="C171" s="164" t="s">
        <v>76</v>
      </c>
      <c r="D171" s="93">
        <v>1800</v>
      </c>
      <c r="E171" s="89">
        <v>1800</v>
      </c>
      <c r="F171" s="17">
        <f t="shared" si="2"/>
        <v>0</v>
      </c>
    </row>
    <row r="172" ht="15.75" spans="1:6">
      <c r="A172" s="94">
        <v>45362</v>
      </c>
      <c r="B172" s="93" t="s">
        <v>3019</v>
      </c>
      <c r="C172" s="164" t="s">
        <v>3020</v>
      </c>
      <c r="D172" s="93">
        <v>6200</v>
      </c>
      <c r="E172" s="89"/>
      <c r="F172" s="17">
        <f t="shared" si="2"/>
        <v>6200</v>
      </c>
    </row>
    <row r="173" ht="15.75" spans="1:6">
      <c r="A173" s="94">
        <v>45393</v>
      </c>
      <c r="B173" s="93" t="s">
        <v>3021</v>
      </c>
      <c r="C173" s="164" t="s">
        <v>2942</v>
      </c>
      <c r="D173" s="93">
        <v>720</v>
      </c>
      <c r="E173" s="89">
        <v>720</v>
      </c>
      <c r="F173" s="17">
        <f t="shared" si="2"/>
        <v>0</v>
      </c>
    </row>
    <row r="174" ht="15.75" spans="1:6">
      <c r="A174" s="94">
        <v>45484</v>
      </c>
      <c r="B174" s="93" t="s">
        <v>3022</v>
      </c>
      <c r="C174" s="164" t="s">
        <v>2942</v>
      </c>
      <c r="D174" s="93">
        <v>4000</v>
      </c>
      <c r="E174" s="89">
        <v>4000</v>
      </c>
      <c r="F174" s="17">
        <f t="shared" si="2"/>
        <v>0</v>
      </c>
    </row>
    <row r="175" ht="15.75" spans="1:6">
      <c r="A175" s="94">
        <v>45546</v>
      </c>
      <c r="B175" s="93" t="s">
        <v>3023</v>
      </c>
      <c r="C175" s="164" t="s">
        <v>2859</v>
      </c>
      <c r="D175" s="93">
        <v>3000</v>
      </c>
      <c r="E175" s="89"/>
      <c r="F175" s="17">
        <f t="shared" si="2"/>
        <v>3000</v>
      </c>
    </row>
    <row r="176" ht="15.75" spans="1:6">
      <c r="A176" s="94">
        <v>45576</v>
      </c>
      <c r="B176" s="93" t="s">
        <v>3024</v>
      </c>
      <c r="C176" s="164" t="s">
        <v>76</v>
      </c>
      <c r="D176" s="93">
        <v>4550</v>
      </c>
      <c r="E176" s="89"/>
      <c r="F176" s="17">
        <f t="shared" si="2"/>
        <v>4550</v>
      </c>
    </row>
    <row r="177" ht="15.75" spans="1:6">
      <c r="A177" s="94">
        <v>45607</v>
      </c>
      <c r="B177" s="93" t="s">
        <v>3025</v>
      </c>
      <c r="C177" s="164" t="s">
        <v>76</v>
      </c>
      <c r="D177" s="93">
        <v>1800</v>
      </c>
      <c r="E177" s="89"/>
      <c r="F177" s="17">
        <f t="shared" si="2"/>
        <v>1800</v>
      </c>
    </row>
    <row r="178" ht="15.75" spans="1:6">
      <c r="A178" s="94"/>
      <c r="B178" s="93"/>
      <c r="C178" s="164"/>
      <c r="D178" s="93"/>
      <c r="E178" s="89"/>
      <c r="F178" s="17">
        <f t="shared" si="2"/>
        <v>0</v>
      </c>
    </row>
    <row r="179" ht="15.75" spans="1:6">
      <c r="A179" s="94"/>
      <c r="B179" s="93"/>
      <c r="C179" s="164"/>
      <c r="D179" s="93"/>
      <c r="E179" s="89"/>
      <c r="F179" s="17">
        <f t="shared" si="2"/>
        <v>0</v>
      </c>
    </row>
    <row r="180" ht="15.75" spans="1:6">
      <c r="A180" s="94"/>
      <c r="B180" s="93"/>
      <c r="C180" s="164"/>
      <c r="D180" s="93"/>
      <c r="E180" s="89"/>
      <c r="F180" s="17">
        <f t="shared" si="2"/>
        <v>0</v>
      </c>
    </row>
    <row r="181" ht="15.75" spans="1:6">
      <c r="A181" s="94"/>
      <c r="B181" s="93"/>
      <c r="C181" s="164"/>
      <c r="D181" s="93"/>
      <c r="E181" s="89"/>
      <c r="F181" s="17">
        <f t="shared" si="2"/>
        <v>0</v>
      </c>
    </row>
    <row r="182" ht="18.75" spans="1:6">
      <c r="A182" s="7" t="s">
        <v>303</v>
      </c>
      <c r="B182" s="8"/>
      <c r="C182" s="9"/>
      <c r="D182" s="171">
        <f>SUM(D5:D85)</f>
        <v>814880</v>
      </c>
      <c r="E182" s="172">
        <f>SUM(E5:E70)</f>
        <v>166950</v>
      </c>
      <c r="F182" s="93">
        <f>SUM(F5:F181)</f>
        <v>1283755</v>
      </c>
    </row>
  </sheetData>
  <mergeCells count="4">
    <mergeCell ref="A12:B12"/>
    <mergeCell ref="A182:C182"/>
    <mergeCell ref="D37:D38"/>
    <mergeCell ref="A1:F3"/>
  </mergeCells>
  <pageMargins left="0.7" right="0.7" top="0.75" bottom="0.75" header="0.3" footer="0.3"/>
  <pageSetup paperSize="1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/>
  <dimension ref="A1:BC372"/>
  <sheetViews>
    <sheetView zoomScale="110" zoomScaleNormal="110" topLeftCell="A343" workbookViewId="0">
      <selection activeCell="D358" sqref="D358"/>
    </sheetView>
  </sheetViews>
  <sheetFormatPr defaultColWidth="9" defaultRowHeight="15"/>
  <cols>
    <col min="1" max="1" width="12" customWidth="1"/>
    <col min="2" max="2" width="12.2857142857143" style="85" customWidth="1"/>
    <col min="3" max="3" width="34.2761904761905" style="86" customWidth="1"/>
    <col min="4" max="4" width="10.5714285714286" customWidth="1"/>
    <col min="6" max="6" width="10.7142857142857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3026</v>
      </c>
      <c r="E3" s="11"/>
      <c r="F3" s="12"/>
    </row>
    <row r="4" ht="18.75" spans="1:55">
      <c r="A4" s="13" t="s">
        <v>84</v>
      </c>
      <c r="B4" s="13"/>
      <c r="C4" s="14" t="s">
        <v>3027</v>
      </c>
      <c r="D4" s="15"/>
      <c r="E4" s="15"/>
      <c r="F4" s="16"/>
      <c r="BC4">
        <v>550</v>
      </c>
    </row>
    <row r="5" ht="18.75" spans="1:6">
      <c r="A5" s="13" t="s">
        <v>86</v>
      </c>
      <c r="B5" s="87" t="s">
        <v>87</v>
      </c>
      <c r="C5" s="88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89" t="s">
        <v>3028</v>
      </c>
      <c r="B6" s="90" t="s">
        <v>3029</v>
      </c>
      <c r="C6" s="91" t="s">
        <v>697</v>
      </c>
      <c r="D6" s="92"/>
      <c r="E6" s="89">
        <v>600</v>
      </c>
      <c r="F6" s="17">
        <f>E6</f>
        <v>600</v>
      </c>
    </row>
    <row r="7" ht="15.75" spans="1:6">
      <c r="A7" s="89" t="s">
        <v>3030</v>
      </c>
      <c r="B7" s="90" t="s">
        <v>3031</v>
      </c>
      <c r="C7" s="91" t="s">
        <v>697</v>
      </c>
      <c r="D7" s="92"/>
      <c r="E7" s="89">
        <v>1150</v>
      </c>
      <c r="F7" s="17">
        <f>E7+F6</f>
        <v>1750</v>
      </c>
    </row>
    <row r="8" ht="15.75" spans="1:6">
      <c r="A8" s="89" t="s">
        <v>3030</v>
      </c>
      <c r="B8" s="90" t="s">
        <v>2903</v>
      </c>
      <c r="C8" s="91" t="s">
        <v>3032</v>
      </c>
      <c r="D8" s="92"/>
      <c r="E8" s="89">
        <v>6075</v>
      </c>
      <c r="F8" s="17">
        <f t="shared" ref="F8:F10" si="0">E8+F7</f>
        <v>7825</v>
      </c>
    </row>
    <row r="9" ht="15.75" spans="1:6">
      <c r="A9" s="89" t="s">
        <v>3033</v>
      </c>
      <c r="B9" s="90" t="s">
        <v>3034</v>
      </c>
      <c r="C9" s="91" t="s">
        <v>717</v>
      </c>
      <c r="D9" s="92"/>
      <c r="E9" s="89">
        <v>550</v>
      </c>
      <c r="F9" s="17">
        <f t="shared" si="0"/>
        <v>8375</v>
      </c>
    </row>
    <row r="10" ht="15.75" spans="1:6">
      <c r="A10" s="89" t="s">
        <v>3035</v>
      </c>
      <c r="B10" s="90" t="s">
        <v>3036</v>
      </c>
      <c r="C10" s="91" t="s">
        <v>717</v>
      </c>
      <c r="D10" s="92"/>
      <c r="E10" s="89">
        <v>2380</v>
      </c>
      <c r="F10" s="17">
        <f t="shared" si="0"/>
        <v>10755</v>
      </c>
    </row>
    <row r="11" ht="15.75" spans="1:6">
      <c r="A11" s="89" t="s">
        <v>3035</v>
      </c>
      <c r="B11" s="90"/>
      <c r="C11" s="91" t="s">
        <v>101</v>
      </c>
      <c r="D11" s="93">
        <v>6600</v>
      </c>
      <c r="E11" s="89"/>
      <c r="F11" s="17">
        <f>E11+F10-D11</f>
        <v>4155</v>
      </c>
    </row>
    <row r="12" ht="15.75" spans="1:6">
      <c r="A12" s="94">
        <v>45297</v>
      </c>
      <c r="B12" s="90" t="s">
        <v>3037</v>
      </c>
      <c r="C12" s="91" t="s">
        <v>3038</v>
      </c>
      <c r="D12" s="92"/>
      <c r="E12" s="89">
        <v>16440</v>
      </c>
      <c r="F12" s="17">
        <f t="shared" ref="F12:F75" si="1">E12+F11-D12</f>
        <v>20595</v>
      </c>
    </row>
    <row r="13" ht="15.75" spans="1:6">
      <c r="A13" s="94">
        <v>45297</v>
      </c>
      <c r="B13" s="90"/>
      <c r="C13" s="91" t="s">
        <v>313</v>
      </c>
      <c r="D13" s="93">
        <v>6500</v>
      </c>
      <c r="E13" s="89"/>
      <c r="F13" s="17">
        <f t="shared" si="1"/>
        <v>14095</v>
      </c>
    </row>
    <row r="14" ht="15.75" spans="1:6">
      <c r="A14" s="94">
        <v>45357</v>
      </c>
      <c r="B14" s="90"/>
      <c r="C14" s="91" t="s">
        <v>313</v>
      </c>
      <c r="D14" s="93">
        <v>5050</v>
      </c>
      <c r="E14" s="89"/>
      <c r="F14" s="17">
        <f t="shared" si="1"/>
        <v>9045</v>
      </c>
    </row>
    <row r="15" ht="15.75" spans="1:6">
      <c r="A15" s="94">
        <v>45388</v>
      </c>
      <c r="B15" s="90" t="s">
        <v>3039</v>
      </c>
      <c r="C15" s="91" t="s">
        <v>3038</v>
      </c>
      <c r="D15" s="92"/>
      <c r="E15" s="89">
        <v>1100</v>
      </c>
      <c r="F15" s="17">
        <f t="shared" si="1"/>
        <v>10145</v>
      </c>
    </row>
    <row r="16" ht="15.75" spans="1:6">
      <c r="A16" s="94">
        <v>45388</v>
      </c>
      <c r="B16" s="90" t="s">
        <v>3040</v>
      </c>
      <c r="C16" s="91" t="s">
        <v>230</v>
      </c>
      <c r="D16" s="92"/>
      <c r="E16" s="89">
        <v>500</v>
      </c>
      <c r="F16" s="17">
        <f t="shared" si="1"/>
        <v>10645</v>
      </c>
    </row>
    <row r="17" ht="15.75" spans="1:6">
      <c r="A17" s="94">
        <v>45418</v>
      </c>
      <c r="B17" s="90" t="s">
        <v>253</v>
      </c>
      <c r="C17" s="91" t="s">
        <v>313</v>
      </c>
      <c r="D17" s="93">
        <v>5500</v>
      </c>
      <c r="E17" s="89"/>
      <c r="F17" s="17">
        <f t="shared" si="1"/>
        <v>5145</v>
      </c>
    </row>
    <row r="18" ht="15.75" spans="1:6">
      <c r="A18" s="94">
        <v>45510</v>
      </c>
      <c r="B18" s="90" t="s">
        <v>3041</v>
      </c>
      <c r="C18" s="91" t="s">
        <v>114</v>
      </c>
      <c r="D18" s="92"/>
      <c r="E18" s="89">
        <v>700</v>
      </c>
      <c r="F18" s="17">
        <f t="shared" si="1"/>
        <v>5845</v>
      </c>
    </row>
    <row r="19" ht="15.75" spans="1:6">
      <c r="A19" s="94">
        <v>45571</v>
      </c>
      <c r="B19" s="90" t="s">
        <v>253</v>
      </c>
      <c r="C19" s="91" t="s">
        <v>313</v>
      </c>
      <c r="D19" s="93">
        <v>5000</v>
      </c>
      <c r="E19" s="89"/>
      <c r="F19" s="17">
        <f t="shared" si="1"/>
        <v>845</v>
      </c>
    </row>
    <row r="20" ht="15.75" spans="1:6">
      <c r="A20" s="94">
        <v>45602</v>
      </c>
      <c r="B20" s="90" t="s">
        <v>3042</v>
      </c>
      <c r="C20" s="91" t="s">
        <v>3038</v>
      </c>
      <c r="D20" s="92"/>
      <c r="E20" s="89">
        <v>29420</v>
      </c>
      <c r="F20" s="17">
        <f t="shared" si="1"/>
        <v>30265</v>
      </c>
    </row>
    <row r="21" ht="18.75" spans="1:6">
      <c r="A21" s="94">
        <v>45632</v>
      </c>
      <c r="B21" s="90" t="s">
        <v>253</v>
      </c>
      <c r="C21" s="91" t="s">
        <v>694</v>
      </c>
      <c r="D21" s="93">
        <v>5000</v>
      </c>
      <c r="E21" s="95"/>
      <c r="F21" s="17">
        <f t="shared" si="1"/>
        <v>25265</v>
      </c>
    </row>
    <row r="22" ht="18.75" spans="1:6">
      <c r="A22" s="94" t="s">
        <v>2354</v>
      </c>
      <c r="B22" s="90" t="s">
        <v>253</v>
      </c>
      <c r="C22" s="91" t="s">
        <v>313</v>
      </c>
      <c r="D22" s="93">
        <v>5000</v>
      </c>
      <c r="E22" s="95"/>
      <c r="F22" s="93">
        <f t="shared" si="1"/>
        <v>20265</v>
      </c>
    </row>
    <row r="23" ht="15.75" spans="1:6">
      <c r="A23" s="75" t="s">
        <v>115</v>
      </c>
      <c r="B23" s="96" t="s">
        <v>2941</v>
      </c>
      <c r="C23" s="91" t="s">
        <v>2942</v>
      </c>
      <c r="D23" s="17"/>
      <c r="E23" s="73">
        <v>6112</v>
      </c>
      <c r="F23" s="17">
        <f t="shared" si="1"/>
        <v>26377</v>
      </c>
    </row>
    <row r="24" ht="15.75" spans="1:6">
      <c r="A24" s="97" t="s">
        <v>3043</v>
      </c>
      <c r="B24" s="96" t="s">
        <v>253</v>
      </c>
      <c r="C24" s="91" t="s">
        <v>157</v>
      </c>
      <c r="D24" s="98">
        <v>1700</v>
      </c>
      <c r="E24" s="73"/>
      <c r="F24" s="17">
        <f t="shared" si="1"/>
        <v>24677</v>
      </c>
    </row>
    <row r="25" ht="15.75" spans="1:6">
      <c r="A25" s="99" t="s">
        <v>118</v>
      </c>
      <c r="B25" s="90" t="s">
        <v>2943</v>
      </c>
      <c r="C25" s="91" t="s">
        <v>2942</v>
      </c>
      <c r="D25" s="93"/>
      <c r="E25" s="89">
        <v>44337</v>
      </c>
      <c r="F25" s="17">
        <f t="shared" si="1"/>
        <v>69014</v>
      </c>
    </row>
    <row r="26" ht="15.75" spans="1:6">
      <c r="A26" s="99" t="s">
        <v>121</v>
      </c>
      <c r="B26" s="90"/>
      <c r="C26" s="91" t="s">
        <v>157</v>
      </c>
      <c r="D26" s="100">
        <v>20000</v>
      </c>
      <c r="E26" s="89"/>
      <c r="F26" s="17">
        <f t="shared" si="1"/>
        <v>49014</v>
      </c>
    </row>
    <row r="27" ht="15.75" spans="1:6">
      <c r="A27" s="99" t="s">
        <v>121</v>
      </c>
      <c r="B27" s="90" t="s">
        <v>253</v>
      </c>
      <c r="C27" s="91" t="s">
        <v>157</v>
      </c>
      <c r="D27" s="100">
        <v>8240</v>
      </c>
      <c r="E27" s="89"/>
      <c r="F27" s="17">
        <f t="shared" si="1"/>
        <v>40774</v>
      </c>
    </row>
    <row r="28" ht="15.75" spans="1:6">
      <c r="A28" s="94" t="s">
        <v>1800</v>
      </c>
      <c r="B28" s="90" t="s">
        <v>2944</v>
      </c>
      <c r="C28" s="91" t="s">
        <v>2942</v>
      </c>
      <c r="D28" s="93"/>
      <c r="E28" s="89">
        <v>1000</v>
      </c>
      <c r="F28" s="17">
        <f t="shared" si="1"/>
        <v>41774</v>
      </c>
    </row>
    <row r="29" ht="15.75" spans="1:6">
      <c r="A29" s="94" t="s">
        <v>1800</v>
      </c>
      <c r="B29" s="90" t="s">
        <v>2945</v>
      </c>
      <c r="C29" s="91" t="s">
        <v>2942</v>
      </c>
      <c r="D29" s="93"/>
      <c r="E29" s="89">
        <v>5300</v>
      </c>
      <c r="F29" s="17">
        <f t="shared" si="1"/>
        <v>47074</v>
      </c>
    </row>
    <row r="30" ht="15.75" spans="1:6">
      <c r="A30" s="94"/>
      <c r="B30" s="90"/>
      <c r="C30" s="91" t="s">
        <v>157</v>
      </c>
      <c r="D30" s="93">
        <v>5000</v>
      </c>
      <c r="E30" s="89"/>
      <c r="F30" s="17">
        <f t="shared" si="1"/>
        <v>42074</v>
      </c>
    </row>
    <row r="31" ht="15.75" spans="1:6">
      <c r="A31" s="94" t="s">
        <v>3044</v>
      </c>
      <c r="B31" s="90" t="s">
        <v>253</v>
      </c>
      <c r="C31" s="91" t="s">
        <v>157</v>
      </c>
      <c r="D31" s="93">
        <v>14000</v>
      </c>
      <c r="E31" s="89"/>
      <c r="F31" s="17">
        <f t="shared" si="1"/>
        <v>28074</v>
      </c>
    </row>
    <row r="32" ht="15.75" spans="1:6">
      <c r="A32" s="94" t="s">
        <v>122</v>
      </c>
      <c r="B32" s="90" t="s">
        <v>2948</v>
      </c>
      <c r="C32" s="91" t="s">
        <v>2942</v>
      </c>
      <c r="D32" s="93"/>
      <c r="E32" s="89">
        <v>2160</v>
      </c>
      <c r="F32" s="17">
        <f t="shared" si="1"/>
        <v>30234</v>
      </c>
    </row>
    <row r="33" ht="15.75" spans="1:6">
      <c r="A33" s="94" t="s">
        <v>2955</v>
      </c>
      <c r="B33" s="90" t="s">
        <v>2956</v>
      </c>
      <c r="C33" s="101" t="s">
        <v>2957</v>
      </c>
      <c r="D33" s="93"/>
      <c r="E33" s="89">
        <v>10847</v>
      </c>
      <c r="F33" s="17">
        <f t="shared" si="1"/>
        <v>41081</v>
      </c>
    </row>
    <row r="34" ht="15.75" spans="1:6">
      <c r="A34" s="94">
        <v>45480</v>
      </c>
      <c r="B34" s="90"/>
      <c r="C34" s="101" t="s">
        <v>157</v>
      </c>
      <c r="D34" s="93">
        <v>6300</v>
      </c>
      <c r="E34" s="89"/>
      <c r="F34" s="17">
        <f t="shared" si="1"/>
        <v>34781</v>
      </c>
    </row>
    <row r="35" ht="15.75" spans="1:6">
      <c r="A35" s="94">
        <v>45511</v>
      </c>
      <c r="B35" s="90"/>
      <c r="C35" s="101"/>
      <c r="D35" s="93"/>
      <c r="E35" s="89">
        <v>5040</v>
      </c>
      <c r="F35" s="17">
        <f t="shared" si="1"/>
        <v>39821</v>
      </c>
    </row>
    <row r="36" ht="15.75" spans="1:6">
      <c r="A36" s="94">
        <v>45542</v>
      </c>
      <c r="B36" s="90"/>
      <c r="C36" s="101"/>
      <c r="D36" s="93"/>
      <c r="E36" s="89">
        <v>500</v>
      </c>
      <c r="F36" s="17">
        <f t="shared" si="1"/>
        <v>40321</v>
      </c>
    </row>
    <row r="37" ht="15.75" spans="1:6">
      <c r="A37" s="94">
        <v>45603</v>
      </c>
      <c r="B37" s="90"/>
      <c r="C37" s="101" t="s">
        <v>101</v>
      </c>
      <c r="D37" s="93">
        <v>500</v>
      </c>
      <c r="E37" s="89"/>
      <c r="F37" s="17">
        <f t="shared" si="1"/>
        <v>39821</v>
      </c>
    </row>
    <row r="38" ht="15.75" spans="1:6">
      <c r="A38" s="94">
        <v>45299</v>
      </c>
      <c r="B38" s="90"/>
      <c r="C38" s="101" t="s">
        <v>101</v>
      </c>
      <c r="D38" s="93">
        <v>3000</v>
      </c>
      <c r="E38" s="89"/>
      <c r="F38" s="17">
        <f t="shared" si="1"/>
        <v>36821</v>
      </c>
    </row>
    <row r="39" ht="15.75" spans="1:6">
      <c r="A39" s="94">
        <v>45299</v>
      </c>
      <c r="B39" s="90"/>
      <c r="C39" s="101" t="s">
        <v>101</v>
      </c>
      <c r="D39" s="93">
        <v>720</v>
      </c>
      <c r="E39" s="89"/>
      <c r="F39" s="17">
        <f t="shared" si="1"/>
        <v>36101</v>
      </c>
    </row>
    <row r="40" ht="15.75" spans="1:6">
      <c r="A40" s="102">
        <v>45637</v>
      </c>
      <c r="B40" s="96" t="s">
        <v>253</v>
      </c>
      <c r="C40" s="103" t="s">
        <v>157</v>
      </c>
      <c r="D40" s="17">
        <v>5000</v>
      </c>
      <c r="E40" s="17"/>
      <c r="F40" s="17">
        <f t="shared" si="1"/>
        <v>31101</v>
      </c>
    </row>
    <row r="41" ht="15.75" spans="1:6">
      <c r="A41" s="17" t="s">
        <v>995</v>
      </c>
      <c r="B41" s="96" t="s">
        <v>253</v>
      </c>
      <c r="C41" s="103" t="s">
        <v>157</v>
      </c>
      <c r="D41" s="17">
        <v>3000</v>
      </c>
      <c r="E41" s="17"/>
      <c r="F41" s="17">
        <f t="shared" si="1"/>
        <v>28101</v>
      </c>
    </row>
    <row r="42" ht="15.75" spans="1:6">
      <c r="A42" s="17" t="s">
        <v>1218</v>
      </c>
      <c r="B42" s="90" t="s">
        <v>3045</v>
      </c>
      <c r="C42" s="103" t="s">
        <v>176</v>
      </c>
      <c r="D42" s="17"/>
      <c r="E42" s="17">
        <v>4969</v>
      </c>
      <c r="F42" s="17">
        <f t="shared" si="1"/>
        <v>33070</v>
      </c>
    </row>
    <row r="43" ht="15.75" spans="1:6">
      <c r="A43" s="17" t="s">
        <v>166</v>
      </c>
      <c r="B43" s="96" t="s">
        <v>253</v>
      </c>
      <c r="C43" s="103" t="s">
        <v>157</v>
      </c>
      <c r="D43" s="17">
        <v>1969</v>
      </c>
      <c r="E43" s="17"/>
      <c r="F43" s="17">
        <f t="shared" si="1"/>
        <v>31101</v>
      </c>
    </row>
    <row r="44" ht="15.75" spans="1:6">
      <c r="A44" s="17" t="s">
        <v>171</v>
      </c>
      <c r="B44" s="96" t="s">
        <v>3046</v>
      </c>
      <c r="C44" s="103" t="s">
        <v>3047</v>
      </c>
      <c r="D44" s="17"/>
      <c r="E44" s="17">
        <v>8250</v>
      </c>
      <c r="F44" s="17">
        <f t="shared" si="1"/>
        <v>39351</v>
      </c>
    </row>
    <row r="45" ht="15.75" spans="1:6">
      <c r="A45" s="17" t="s">
        <v>1279</v>
      </c>
      <c r="B45" s="96" t="s">
        <v>3048</v>
      </c>
      <c r="C45" s="103" t="s">
        <v>1584</v>
      </c>
      <c r="D45" s="17"/>
      <c r="E45" s="17">
        <v>6162</v>
      </c>
      <c r="F45" s="17">
        <f t="shared" si="1"/>
        <v>45513</v>
      </c>
    </row>
    <row r="46" ht="15.75" spans="1:6">
      <c r="A46" s="17" t="s">
        <v>1279</v>
      </c>
      <c r="B46" s="96" t="s">
        <v>253</v>
      </c>
      <c r="C46" s="103" t="s">
        <v>157</v>
      </c>
      <c r="D46" s="17">
        <v>3000</v>
      </c>
      <c r="E46" s="17"/>
      <c r="F46" s="17">
        <f t="shared" si="1"/>
        <v>42513</v>
      </c>
    </row>
    <row r="47" ht="15.75" spans="1:6">
      <c r="A47" s="17" t="s">
        <v>173</v>
      </c>
      <c r="B47" s="96" t="s">
        <v>3049</v>
      </c>
      <c r="C47" s="103" t="s">
        <v>3050</v>
      </c>
      <c r="D47" s="17"/>
      <c r="E47" s="17">
        <v>1952</v>
      </c>
      <c r="F47" s="17">
        <f t="shared" si="1"/>
        <v>44465</v>
      </c>
    </row>
    <row r="48" ht="15.75" spans="1:6">
      <c r="A48" s="17" t="s">
        <v>177</v>
      </c>
      <c r="B48" s="96" t="s">
        <v>3051</v>
      </c>
      <c r="C48" s="103" t="s">
        <v>140</v>
      </c>
      <c r="D48" s="17"/>
      <c r="E48" s="17">
        <v>2542</v>
      </c>
      <c r="F48" s="17">
        <f t="shared" si="1"/>
        <v>47007</v>
      </c>
    </row>
    <row r="49" ht="15.75" spans="1:6">
      <c r="A49" s="17" t="s">
        <v>177</v>
      </c>
      <c r="B49" s="96" t="s">
        <v>253</v>
      </c>
      <c r="C49" s="103" t="s">
        <v>157</v>
      </c>
      <c r="D49" s="17">
        <v>1950</v>
      </c>
      <c r="E49" s="17"/>
      <c r="F49" s="17">
        <f t="shared" si="1"/>
        <v>45057</v>
      </c>
    </row>
    <row r="50" ht="15.75" spans="1:6">
      <c r="A50" s="17" t="s">
        <v>177</v>
      </c>
      <c r="B50" s="96" t="s">
        <v>253</v>
      </c>
      <c r="C50" s="103" t="s">
        <v>157</v>
      </c>
      <c r="D50" s="17">
        <v>6160</v>
      </c>
      <c r="E50" s="17"/>
      <c r="F50" s="17">
        <f t="shared" si="1"/>
        <v>38897</v>
      </c>
    </row>
    <row r="51" ht="15.75" spans="1:6">
      <c r="A51" s="18">
        <v>45334</v>
      </c>
      <c r="B51" s="96" t="s">
        <v>253</v>
      </c>
      <c r="C51" s="103" t="s">
        <v>157</v>
      </c>
      <c r="D51" s="17">
        <v>7783</v>
      </c>
      <c r="E51" s="17"/>
      <c r="F51" s="17">
        <f t="shared" si="1"/>
        <v>31114</v>
      </c>
    </row>
    <row r="52" ht="15.75" spans="1:6">
      <c r="A52" s="18">
        <v>45394</v>
      </c>
      <c r="B52" s="96" t="s">
        <v>3052</v>
      </c>
      <c r="C52" s="104" t="s">
        <v>140</v>
      </c>
      <c r="D52" s="17"/>
      <c r="E52" s="17">
        <v>4839</v>
      </c>
      <c r="F52" s="17">
        <f t="shared" si="1"/>
        <v>35953</v>
      </c>
    </row>
    <row r="53" ht="15.75" spans="1:6">
      <c r="A53" s="18">
        <v>45424</v>
      </c>
      <c r="B53" s="96" t="s">
        <v>253</v>
      </c>
      <c r="C53" s="103" t="s">
        <v>157</v>
      </c>
      <c r="D53" s="17">
        <v>4840</v>
      </c>
      <c r="E53" s="17"/>
      <c r="F53" s="17">
        <f t="shared" si="1"/>
        <v>31113</v>
      </c>
    </row>
    <row r="54" ht="15.75" spans="1:6">
      <c r="A54" s="18">
        <v>45485</v>
      </c>
      <c r="B54" s="96" t="s">
        <v>3053</v>
      </c>
      <c r="C54" s="103" t="s">
        <v>176</v>
      </c>
      <c r="D54" s="17"/>
      <c r="E54" s="17">
        <v>7055</v>
      </c>
      <c r="F54" s="17">
        <f t="shared" si="1"/>
        <v>38168</v>
      </c>
    </row>
    <row r="55" ht="31.5" spans="1:6">
      <c r="A55" s="18">
        <v>45547</v>
      </c>
      <c r="B55" s="96" t="s">
        <v>3054</v>
      </c>
      <c r="C55" s="104" t="s">
        <v>3055</v>
      </c>
      <c r="D55" s="17"/>
      <c r="E55" s="17">
        <v>4181</v>
      </c>
      <c r="F55" s="17">
        <f t="shared" si="1"/>
        <v>42349</v>
      </c>
    </row>
    <row r="56" ht="15.75" spans="1:6">
      <c r="A56" s="18">
        <v>45547</v>
      </c>
      <c r="B56" s="96" t="s">
        <v>253</v>
      </c>
      <c r="C56" s="103" t="s">
        <v>157</v>
      </c>
      <c r="D56" s="17">
        <v>7055</v>
      </c>
      <c r="E56" s="17"/>
      <c r="F56" s="17">
        <f t="shared" si="1"/>
        <v>35294</v>
      </c>
    </row>
    <row r="57" ht="15.75" spans="1:6">
      <c r="A57" s="18">
        <v>45577</v>
      </c>
      <c r="B57" s="96" t="s">
        <v>253</v>
      </c>
      <c r="C57" s="103" t="s">
        <v>157</v>
      </c>
      <c r="D57" s="17">
        <v>4180</v>
      </c>
      <c r="E57" s="17"/>
      <c r="F57" s="17">
        <f t="shared" si="1"/>
        <v>31114</v>
      </c>
    </row>
    <row r="58" ht="15.75" spans="1:6">
      <c r="A58" s="102">
        <v>45608</v>
      </c>
      <c r="B58" s="96" t="s">
        <v>3056</v>
      </c>
      <c r="C58" s="103" t="s">
        <v>3057</v>
      </c>
      <c r="D58" s="17"/>
      <c r="E58" s="17">
        <v>3660</v>
      </c>
      <c r="F58" s="17">
        <f t="shared" si="1"/>
        <v>34774</v>
      </c>
    </row>
    <row r="59" ht="15.75" spans="1:6">
      <c r="A59" s="18">
        <v>45638</v>
      </c>
      <c r="B59" s="96" t="s">
        <v>253</v>
      </c>
      <c r="C59" s="103" t="s">
        <v>157</v>
      </c>
      <c r="D59" s="17">
        <v>3300</v>
      </c>
      <c r="E59" s="19"/>
      <c r="F59" s="17">
        <f t="shared" si="1"/>
        <v>31474</v>
      </c>
    </row>
    <row r="60" ht="15.75" spans="1:6">
      <c r="A60" s="17" t="s">
        <v>202</v>
      </c>
      <c r="B60" s="96" t="s">
        <v>3058</v>
      </c>
      <c r="C60" s="103" t="s">
        <v>3059</v>
      </c>
      <c r="D60" s="17"/>
      <c r="E60" s="19">
        <v>3920</v>
      </c>
      <c r="F60" s="17">
        <f t="shared" si="1"/>
        <v>35394</v>
      </c>
    </row>
    <row r="61" ht="15.75" spans="1:6">
      <c r="A61" s="17" t="s">
        <v>202</v>
      </c>
      <c r="B61" s="96" t="s">
        <v>3060</v>
      </c>
      <c r="C61" s="103" t="s">
        <v>3061</v>
      </c>
      <c r="D61" s="17"/>
      <c r="E61" s="19">
        <v>1512</v>
      </c>
      <c r="F61" s="17">
        <f t="shared" si="1"/>
        <v>36906</v>
      </c>
    </row>
    <row r="62" ht="15.75" spans="1:6">
      <c r="A62" s="17" t="s">
        <v>206</v>
      </c>
      <c r="B62" s="96" t="s">
        <v>3062</v>
      </c>
      <c r="C62" s="104" t="s">
        <v>3063</v>
      </c>
      <c r="D62" s="17"/>
      <c r="E62" s="19">
        <v>4796</v>
      </c>
      <c r="F62" s="17">
        <f t="shared" si="1"/>
        <v>41702</v>
      </c>
    </row>
    <row r="63" ht="15.75" spans="1:6">
      <c r="A63" s="17" t="s">
        <v>206</v>
      </c>
      <c r="B63" s="96" t="s">
        <v>253</v>
      </c>
      <c r="C63" s="103" t="s">
        <v>157</v>
      </c>
      <c r="D63" s="17">
        <v>5430</v>
      </c>
      <c r="E63" s="19"/>
      <c r="F63" s="17">
        <f t="shared" si="1"/>
        <v>36272</v>
      </c>
    </row>
    <row r="64" ht="15.75" spans="1:6">
      <c r="A64" s="73" t="s">
        <v>209</v>
      </c>
      <c r="B64" s="96" t="s">
        <v>253</v>
      </c>
      <c r="C64" s="105" t="s">
        <v>157</v>
      </c>
      <c r="D64" s="17">
        <v>4800</v>
      </c>
      <c r="E64" s="19"/>
      <c r="F64" s="17">
        <f t="shared" si="1"/>
        <v>31472</v>
      </c>
    </row>
    <row r="65" ht="15.75" spans="1:6">
      <c r="A65" s="75">
        <v>45483</v>
      </c>
      <c r="B65" s="96"/>
      <c r="C65" s="105" t="s">
        <v>101</v>
      </c>
      <c r="D65" s="17">
        <v>5000</v>
      </c>
      <c r="E65" s="19"/>
      <c r="F65" s="17">
        <f t="shared" si="1"/>
        <v>26472</v>
      </c>
    </row>
    <row r="66" ht="15.75" spans="1:6">
      <c r="A66" s="75" t="s">
        <v>212</v>
      </c>
      <c r="B66" s="96" t="s">
        <v>3064</v>
      </c>
      <c r="C66" s="105" t="s">
        <v>3065</v>
      </c>
      <c r="D66" s="17"/>
      <c r="E66" s="19">
        <v>5412</v>
      </c>
      <c r="F66" s="17">
        <f t="shared" si="1"/>
        <v>31884</v>
      </c>
    </row>
    <row r="67" ht="15.75" spans="1:6">
      <c r="A67" s="75" t="s">
        <v>217</v>
      </c>
      <c r="B67" s="96" t="s">
        <v>3066</v>
      </c>
      <c r="C67" s="105" t="s">
        <v>140</v>
      </c>
      <c r="D67" s="17"/>
      <c r="E67" s="19">
        <v>315</v>
      </c>
      <c r="F67" s="17">
        <f t="shared" si="1"/>
        <v>32199</v>
      </c>
    </row>
    <row r="68" ht="15.75" spans="1:6">
      <c r="A68" s="75" t="s">
        <v>2406</v>
      </c>
      <c r="B68" s="96" t="s">
        <v>253</v>
      </c>
      <c r="C68" s="105" t="s">
        <v>157</v>
      </c>
      <c r="D68" s="17">
        <v>5720</v>
      </c>
      <c r="E68" s="19"/>
      <c r="F68" s="17">
        <f t="shared" si="1"/>
        <v>26479</v>
      </c>
    </row>
    <row r="69" ht="15.75" spans="1:6">
      <c r="A69" s="75" t="s">
        <v>2406</v>
      </c>
      <c r="B69" s="90" t="s">
        <v>3067</v>
      </c>
      <c r="C69" s="106" t="s">
        <v>3068</v>
      </c>
      <c r="D69" s="17"/>
      <c r="E69" s="19">
        <v>4179</v>
      </c>
      <c r="F69" s="17">
        <f t="shared" si="1"/>
        <v>30658</v>
      </c>
    </row>
    <row r="70" ht="15.75" spans="1:6">
      <c r="A70" s="75" t="s">
        <v>225</v>
      </c>
      <c r="B70" s="96" t="s">
        <v>3069</v>
      </c>
      <c r="C70" s="105" t="s">
        <v>3070</v>
      </c>
      <c r="D70" s="17"/>
      <c r="E70" s="19">
        <v>2807</v>
      </c>
      <c r="F70" s="17">
        <f t="shared" si="1"/>
        <v>33465</v>
      </c>
    </row>
    <row r="71" ht="15.75" spans="1:6">
      <c r="A71" s="75" t="s">
        <v>225</v>
      </c>
      <c r="B71" s="96" t="s">
        <v>253</v>
      </c>
      <c r="C71" s="106" t="s">
        <v>3071</v>
      </c>
      <c r="D71" s="17">
        <v>6339</v>
      </c>
      <c r="E71" s="19"/>
      <c r="F71" s="17">
        <f t="shared" si="1"/>
        <v>27126</v>
      </c>
    </row>
    <row r="72" ht="15.75" spans="1:6">
      <c r="A72" s="75" t="s">
        <v>235</v>
      </c>
      <c r="B72" s="96" t="s">
        <v>3072</v>
      </c>
      <c r="C72" s="105" t="s">
        <v>140</v>
      </c>
      <c r="D72" s="17"/>
      <c r="E72" s="19">
        <v>4550</v>
      </c>
      <c r="F72" s="17">
        <f t="shared" si="1"/>
        <v>31676</v>
      </c>
    </row>
    <row r="73" ht="15.75" spans="1:6">
      <c r="A73" s="75" t="s">
        <v>237</v>
      </c>
      <c r="B73" s="96" t="s">
        <v>3073</v>
      </c>
      <c r="C73" s="105" t="s">
        <v>2942</v>
      </c>
      <c r="D73" s="17"/>
      <c r="E73" s="19">
        <v>1000</v>
      </c>
      <c r="F73" s="17">
        <f t="shared" si="1"/>
        <v>32676</v>
      </c>
    </row>
    <row r="74" ht="15.75" spans="1:6">
      <c r="A74" s="73" t="s">
        <v>237</v>
      </c>
      <c r="B74" s="96" t="s">
        <v>253</v>
      </c>
      <c r="C74" s="105" t="s">
        <v>313</v>
      </c>
      <c r="D74" s="17">
        <v>1000</v>
      </c>
      <c r="E74" s="19"/>
      <c r="F74" s="17">
        <f t="shared" si="1"/>
        <v>31676</v>
      </c>
    </row>
    <row r="75" ht="15.75" spans="1:6">
      <c r="A75" s="75">
        <v>45658</v>
      </c>
      <c r="B75" s="96" t="s">
        <v>3074</v>
      </c>
      <c r="C75" s="105" t="s">
        <v>140</v>
      </c>
      <c r="D75" s="17"/>
      <c r="E75" s="19">
        <v>1247</v>
      </c>
      <c r="F75" s="17">
        <f t="shared" si="1"/>
        <v>32923</v>
      </c>
    </row>
    <row r="76" ht="15.75" spans="1:6">
      <c r="A76" s="75">
        <v>45689</v>
      </c>
      <c r="B76" s="96" t="s">
        <v>253</v>
      </c>
      <c r="C76" s="105" t="s">
        <v>313</v>
      </c>
      <c r="D76" s="17">
        <v>1247</v>
      </c>
      <c r="E76" s="19"/>
      <c r="F76" s="17">
        <f t="shared" ref="F76:F139" si="2">E76+F75-D76</f>
        <v>31676</v>
      </c>
    </row>
    <row r="77" ht="15.75" spans="1:6">
      <c r="A77" s="89" t="s">
        <v>3075</v>
      </c>
      <c r="B77" s="90" t="s">
        <v>3076</v>
      </c>
      <c r="C77" s="107" t="s">
        <v>3077</v>
      </c>
      <c r="D77" s="93"/>
      <c r="E77" s="108">
        <v>7662</v>
      </c>
      <c r="F77" s="17">
        <f t="shared" si="2"/>
        <v>39338</v>
      </c>
    </row>
    <row r="78" ht="15.75" spans="1:6">
      <c r="A78" s="75">
        <v>45778</v>
      </c>
      <c r="B78" s="96" t="s">
        <v>3078</v>
      </c>
      <c r="C78" s="106" t="s">
        <v>3079</v>
      </c>
      <c r="D78" s="17"/>
      <c r="E78" s="19">
        <v>4179</v>
      </c>
      <c r="F78" s="17">
        <f t="shared" si="2"/>
        <v>43517</v>
      </c>
    </row>
    <row r="79" ht="15.75" spans="1:6">
      <c r="A79" s="75">
        <v>45809</v>
      </c>
      <c r="B79" s="96" t="s">
        <v>253</v>
      </c>
      <c r="C79" s="105" t="s">
        <v>313</v>
      </c>
      <c r="D79" s="17">
        <v>4179</v>
      </c>
      <c r="E79" s="19"/>
      <c r="F79" s="17">
        <f t="shared" si="2"/>
        <v>39338</v>
      </c>
    </row>
    <row r="80" ht="15.75" spans="1:6">
      <c r="A80" s="75">
        <v>45809</v>
      </c>
      <c r="B80" s="96" t="s">
        <v>3080</v>
      </c>
      <c r="C80" s="106" t="s">
        <v>3081</v>
      </c>
      <c r="D80" s="17"/>
      <c r="E80" s="19">
        <v>3019</v>
      </c>
      <c r="F80" s="17">
        <f t="shared" si="2"/>
        <v>42357</v>
      </c>
    </row>
    <row r="81" ht="15.75" spans="1:6">
      <c r="A81" s="75">
        <v>45839</v>
      </c>
      <c r="B81" s="96" t="s">
        <v>3082</v>
      </c>
      <c r="C81" s="105" t="s">
        <v>3083</v>
      </c>
      <c r="D81" s="17"/>
      <c r="E81" s="19">
        <v>3802</v>
      </c>
      <c r="F81" s="17">
        <f t="shared" si="2"/>
        <v>46159</v>
      </c>
    </row>
    <row r="82" ht="15.75" spans="1:6">
      <c r="A82" s="75">
        <v>45992</v>
      </c>
      <c r="B82" s="96" t="s">
        <v>3084</v>
      </c>
      <c r="C82" s="105" t="s">
        <v>3085</v>
      </c>
      <c r="D82" s="17"/>
      <c r="E82" s="19">
        <v>1952</v>
      </c>
      <c r="F82" s="17">
        <f t="shared" si="2"/>
        <v>48111</v>
      </c>
    </row>
    <row r="83" ht="15.75" spans="1:6">
      <c r="A83" s="75">
        <v>45992</v>
      </c>
      <c r="B83" s="96" t="s">
        <v>253</v>
      </c>
      <c r="C83" s="105" t="s">
        <v>101</v>
      </c>
      <c r="D83" s="17">
        <v>5750</v>
      </c>
      <c r="E83" s="19"/>
      <c r="F83" s="17">
        <f t="shared" si="2"/>
        <v>42361</v>
      </c>
    </row>
    <row r="84" ht="15.75" spans="1:6">
      <c r="A84" s="73" t="s">
        <v>1240</v>
      </c>
      <c r="B84" s="96" t="s">
        <v>3086</v>
      </c>
      <c r="C84" s="105" t="s">
        <v>176</v>
      </c>
      <c r="D84" s="17"/>
      <c r="E84" s="19">
        <v>3252</v>
      </c>
      <c r="F84" s="17">
        <f t="shared" si="2"/>
        <v>45613</v>
      </c>
    </row>
    <row r="85" ht="15.75" spans="1:6">
      <c r="A85" s="73" t="s">
        <v>829</v>
      </c>
      <c r="B85" s="96" t="s">
        <v>3087</v>
      </c>
      <c r="C85" s="105" t="s">
        <v>140</v>
      </c>
      <c r="D85" s="17"/>
      <c r="E85" s="19">
        <v>2839</v>
      </c>
      <c r="F85" s="17">
        <f t="shared" si="2"/>
        <v>48452</v>
      </c>
    </row>
    <row r="86" ht="15.75" spans="1:6">
      <c r="A86" s="73" t="s">
        <v>829</v>
      </c>
      <c r="B86" s="96" t="s">
        <v>253</v>
      </c>
      <c r="C86" s="105" t="s">
        <v>313</v>
      </c>
      <c r="D86" s="17">
        <v>3252</v>
      </c>
      <c r="E86" s="19"/>
      <c r="F86" s="17">
        <f t="shared" si="2"/>
        <v>45200</v>
      </c>
    </row>
    <row r="87" ht="15.75" spans="1:6">
      <c r="A87" s="73" t="s">
        <v>3088</v>
      </c>
      <c r="B87" s="96" t="s">
        <v>253</v>
      </c>
      <c r="C87" s="105" t="s">
        <v>157</v>
      </c>
      <c r="D87" s="17">
        <v>2830</v>
      </c>
      <c r="E87" s="19"/>
      <c r="F87" s="17">
        <f t="shared" si="2"/>
        <v>42370</v>
      </c>
    </row>
    <row r="88" ht="15.75" spans="1:6">
      <c r="A88" s="73" t="s">
        <v>948</v>
      </c>
      <c r="B88" s="96" t="s">
        <v>3089</v>
      </c>
      <c r="C88" s="105" t="s">
        <v>163</v>
      </c>
      <c r="D88" s="17"/>
      <c r="E88" s="19">
        <v>4040</v>
      </c>
      <c r="F88" s="17">
        <f t="shared" si="2"/>
        <v>46410</v>
      </c>
    </row>
    <row r="89" ht="15.75" spans="1:6">
      <c r="A89" s="73" t="s">
        <v>1668</v>
      </c>
      <c r="B89" s="96" t="s">
        <v>253</v>
      </c>
      <c r="C89" s="105" t="s">
        <v>157</v>
      </c>
      <c r="D89" s="17">
        <v>4040</v>
      </c>
      <c r="E89" s="19"/>
      <c r="F89" s="17">
        <f t="shared" si="2"/>
        <v>42370</v>
      </c>
    </row>
    <row r="90" ht="15.75" spans="1:6">
      <c r="A90" s="73" t="s">
        <v>110</v>
      </c>
      <c r="B90" s="96" t="s">
        <v>3090</v>
      </c>
      <c r="C90" s="105" t="s">
        <v>157</v>
      </c>
      <c r="D90" s="17">
        <v>10563</v>
      </c>
      <c r="E90" s="19"/>
      <c r="F90" s="17">
        <f t="shared" si="2"/>
        <v>31807</v>
      </c>
    </row>
    <row r="91" ht="15.75" spans="1:6">
      <c r="A91" s="73" t="s">
        <v>281</v>
      </c>
      <c r="B91" s="96" t="s">
        <v>253</v>
      </c>
      <c r="C91" s="105" t="s">
        <v>694</v>
      </c>
      <c r="D91" s="17">
        <v>5826</v>
      </c>
      <c r="E91" s="19"/>
      <c r="F91" s="17">
        <f t="shared" si="2"/>
        <v>25981</v>
      </c>
    </row>
    <row r="92" ht="15.75" spans="1:6">
      <c r="A92" s="73" t="s">
        <v>950</v>
      </c>
      <c r="B92" s="96" t="s">
        <v>3091</v>
      </c>
      <c r="C92" s="105" t="s">
        <v>3092</v>
      </c>
      <c r="D92" s="17"/>
      <c r="E92" s="19">
        <v>4827</v>
      </c>
      <c r="F92" s="17">
        <f t="shared" si="2"/>
        <v>30808</v>
      </c>
    </row>
    <row r="93" ht="15.75" spans="1:6">
      <c r="A93" s="73" t="s">
        <v>281</v>
      </c>
      <c r="B93" s="96" t="s">
        <v>3093</v>
      </c>
      <c r="C93" s="105" t="s">
        <v>163</v>
      </c>
      <c r="D93" s="17"/>
      <c r="E93" s="19">
        <v>5272</v>
      </c>
      <c r="F93" s="17">
        <f t="shared" si="2"/>
        <v>36080</v>
      </c>
    </row>
    <row r="94" ht="15.75" spans="1:6">
      <c r="A94" s="73" t="s">
        <v>284</v>
      </c>
      <c r="B94" s="96" t="s">
        <v>253</v>
      </c>
      <c r="C94" s="105" t="s">
        <v>313</v>
      </c>
      <c r="D94" s="17">
        <v>10100</v>
      </c>
      <c r="E94" s="19"/>
      <c r="F94" s="93">
        <f t="shared" si="2"/>
        <v>25980</v>
      </c>
    </row>
    <row r="95" ht="31.5" spans="1:6">
      <c r="A95" s="73" t="s">
        <v>1903</v>
      </c>
      <c r="B95" s="96" t="s">
        <v>3094</v>
      </c>
      <c r="C95" s="106" t="s">
        <v>3095</v>
      </c>
      <c r="D95" s="17"/>
      <c r="E95" s="19">
        <v>7427</v>
      </c>
      <c r="F95" s="17">
        <f t="shared" si="2"/>
        <v>33407</v>
      </c>
    </row>
    <row r="96" ht="15.75" spans="1:6">
      <c r="A96" s="75">
        <v>45659</v>
      </c>
      <c r="B96" s="96" t="s">
        <v>253</v>
      </c>
      <c r="C96" s="106" t="s">
        <v>3096</v>
      </c>
      <c r="D96" s="17">
        <v>4050</v>
      </c>
      <c r="E96" s="19"/>
      <c r="F96" s="17">
        <f t="shared" si="2"/>
        <v>29357</v>
      </c>
    </row>
    <row r="97" ht="31.5" spans="1:6">
      <c r="A97" s="75">
        <v>45659</v>
      </c>
      <c r="B97" s="96" t="s">
        <v>3097</v>
      </c>
      <c r="C97" s="106" t="s">
        <v>3098</v>
      </c>
      <c r="D97" s="17"/>
      <c r="E97" s="19">
        <v>8559</v>
      </c>
      <c r="F97" s="17">
        <f t="shared" si="2"/>
        <v>37916</v>
      </c>
    </row>
    <row r="98" ht="15.75" spans="1:6">
      <c r="A98" s="75">
        <v>45718</v>
      </c>
      <c r="B98" s="96" t="s">
        <v>3099</v>
      </c>
      <c r="C98" s="106" t="s">
        <v>3100</v>
      </c>
      <c r="D98" s="17"/>
      <c r="E98" s="19">
        <v>6542</v>
      </c>
      <c r="F98" s="17">
        <f t="shared" si="2"/>
        <v>44458</v>
      </c>
    </row>
    <row r="99" ht="15.75" spans="1:6">
      <c r="A99" s="75">
        <v>45718</v>
      </c>
      <c r="B99" s="96"/>
      <c r="C99" s="105" t="s">
        <v>313</v>
      </c>
      <c r="D99" s="17">
        <v>8559</v>
      </c>
      <c r="E99" s="19"/>
      <c r="F99" s="17">
        <f t="shared" si="2"/>
        <v>35899</v>
      </c>
    </row>
    <row r="100" ht="15.75" spans="1:6">
      <c r="A100" s="75">
        <v>45718</v>
      </c>
      <c r="B100" s="96"/>
      <c r="C100" s="103" t="s">
        <v>313</v>
      </c>
      <c r="D100" s="17">
        <v>6542</v>
      </c>
      <c r="E100" s="19"/>
      <c r="F100" s="17">
        <f t="shared" si="2"/>
        <v>29357</v>
      </c>
    </row>
    <row r="101" ht="15.75" spans="1:6">
      <c r="A101" s="75">
        <v>45659</v>
      </c>
      <c r="B101" s="96" t="s">
        <v>253</v>
      </c>
      <c r="C101" s="103" t="s">
        <v>313</v>
      </c>
      <c r="D101" s="17">
        <v>7427</v>
      </c>
      <c r="E101" s="19"/>
      <c r="F101" s="17">
        <f t="shared" si="2"/>
        <v>21930</v>
      </c>
    </row>
    <row r="102" ht="15.75" spans="1:6">
      <c r="A102" s="75">
        <v>45749</v>
      </c>
      <c r="B102" s="96" t="s">
        <v>3101</v>
      </c>
      <c r="C102" s="105" t="s">
        <v>3102</v>
      </c>
      <c r="D102" s="17"/>
      <c r="E102" s="19">
        <v>5895</v>
      </c>
      <c r="F102" s="17">
        <f t="shared" si="2"/>
        <v>27825</v>
      </c>
    </row>
    <row r="103" ht="15.75" spans="1:6">
      <c r="A103" s="75">
        <v>45871</v>
      </c>
      <c r="B103" s="96" t="s">
        <v>3103</v>
      </c>
      <c r="C103" s="105" t="s">
        <v>394</v>
      </c>
      <c r="D103" s="17"/>
      <c r="E103" s="19">
        <v>3697</v>
      </c>
      <c r="F103" s="17">
        <f t="shared" si="2"/>
        <v>31522</v>
      </c>
    </row>
    <row r="104" ht="15.75" spans="1:6">
      <c r="A104" s="75">
        <v>45932</v>
      </c>
      <c r="B104" s="96" t="s">
        <v>253</v>
      </c>
      <c r="C104" s="105" t="s">
        <v>313</v>
      </c>
      <c r="D104" s="17">
        <v>5900</v>
      </c>
      <c r="E104" s="19"/>
      <c r="F104" s="17">
        <f t="shared" si="2"/>
        <v>25622</v>
      </c>
    </row>
    <row r="105" ht="15.75" spans="1:6">
      <c r="A105" s="75">
        <v>45963</v>
      </c>
      <c r="B105" s="96" t="s">
        <v>253</v>
      </c>
      <c r="C105" s="105" t="s">
        <v>313</v>
      </c>
      <c r="D105" s="17">
        <v>3700</v>
      </c>
      <c r="E105" s="19"/>
      <c r="F105" s="17">
        <f t="shared" si="2"/>
        <v>21922</v>
      </c>
    </row>
    <row r="106" ht="31.5" spans="1:6">
      <c r="A106" s="75">
        <v>45963</v>
      </c>
      <c r="B106" s="96" t="s">
        <v>3104</v>
      </c>
      <c r="C106" s="106" t="s">
        <v>3105</v>
      </c>
      <c r="D106" s="17"/>
      <c r="E106" s="19">
        <v>11987</v>
      </c>
      <c r="F106" s="17">
        <f t="shared" si="2"/>
        <v>33909</v>
      </c>
    </row>
    <row r="107" ht="15.75" spans="1:6">
      <c r="A107" s="75">
        <v>45993</v>
      </c>
      <c r="B107" s="96" t="s">
        <v>3106</v>
      </c>
      <c r="C107" s="105" t="s">
        <v>410</v>
      </c>
      <c r="D107" s="17"/>
      <c r="E107" s="19">
        <v>2807</v>
      </c>
      <c r="F107" s="17">
        <f t="shared" si="2"/>
        <v>36716</v>
      </c>
    </row>
    <row r="108" ht="15.75" spans="1:6">
      <c r="A108" s="75">
        <v>45993</v>
      </c>
      <c r="B108" s="96" t="s">
        <v>3107</v>
      </c>
      <c r="C108" s="105" t="s">
        <v>402</v>
      </c>
      <c r="D108" s="17"/>
      <c r="E108" s="19">
        <v>7875</v>
      </c>
      <c r="F108" s="17">
        <f t="shared" si="2"/>
        <v>44591</v>
      </c>
    </row>
    <row r="109" ht="15.75" spans="1:6">
      <c r="A109" s="75">
        <v>45993</v>
      </c>
      <c r="B109" s="96" t="s">
        <v>253</v>
      </c>
      <c r="C109" s="105" t="s">
        <v>313</v>
      </c>
      <c r="D109" s="17">
        <v>2800</v>
      </c>
      <c r="E109" s="19"/>
      <c r="F109" s="17">
        <f t="shared" si="2"/>
        <v>41791</v>
      </c>
    </row>
    <row r="110" ht="15.75" spans="1:6">
      <c r="A110" s="75">
        <v>45993</v>
      </c>
      <c r="B110" s="96" t="s">
        <v>253</v>
      </c>
      <c r="C110" s="105" t="s">
        <v>313</v>
      </c>
      <c r="D110" s="17">
        <v>56</v>
      </c>
      <c r="E110" s="19"/>
      <c r="F110" s="17">
        <f t="shared" si="2"/>
        <v>41735</v>
      </c>
    </row>
    <row r="111" ht="15.75" spans="1:6">
      <c r="A111" s="73" t="s">
        <v>322</v>
      </c>
      <c r="B111" s="96" t="s">
        <v>253</v>
      </c>
      <c r="C111" s="105" t="s">
        <v>313</v>
      </c>
      <c r="D111" s="17">
        <v>3990</v>
      </c>
      <c r="E111" s="19"/>
      <c r="F111" s="17">
        <f t="shared" si="2"/>
        <v>37745</v>
      </c>
    </row>
    <row r="112" ht="15.75" spans="1:6">
      <c r="A112" s="73" t="s">
        <v>292</v>
      </c>
      <c r="B112" s="96" t="s">
        <v>3108</v>
      </c>
      <c r="C112" s="105" t="s">
        <v>3109</v>
      </c>
      <c r="D112" s="17"/>
      <c r="E112" s="19">
        <v>6065</v>
      </c>
      <c r="F112" s="17">
        <f t="shared" si="2"/>
        <v>43810</v>
      </c>
    </row>
    <row r="113" ht="18" customHeight="1" spans="1:6">
      <c r="A113" s="73" t="s">
        <v>1924</v>
      </c>
      <c r="B113" s="96" t="s">
        <v>253</v>
      </c>
      <c r="C113" s="105" t="s">
        <v>313</v>
      </c>
      <c r="D113" s="17">
        <v>7875</v>
      </c>
      <c r="E113" s="19"/>
      <c r="F113" s="17">
        <f t="shared" si="2"/>
        <v>35935</v>
      </c>
    </row>
    <row r="114" ht="15.75" spans="1:6">
      <c r="A114" s="73" t="s">
        <v>327</v>
      </c>
      <c r="B114" s="96" t="s">
        <v>3110</v>
      </c>
      <c r="C114" s="105" t="s">
        <v>3111</v>
      </c>
      <c r="D114" s="17"/>
      <c r="E114" s="19">
        <v>4625</v>
      </c>
      <c r="F114" s="17">
        <f t="shared" si="2"/>
        <v>40560</v>
      </c>
    </row>
    <row r="115" ht="15.75" spans="1:6">
      <c r="A115" s="73" t="s">
        <v>331</v>
      </c>
      <c r="B115" s="96" t="s">
        <v>3112</v>
      </c>
      <c r="C115" s="105" t="s">
        <v>140</v>
      </c>
      <c r="D115" s="17"/>
      <c r="E115" s="19">
        <v>2997</v>
      </c>
      <c r="F115" s="17">
        <f t="shared" si="2"/>
        <v>43557</v>
      </c>
    </row>
    <row r="116" ht="15.75" spans="1:6">
      <c r="A116" s="73" t="s">
        <v>328</v>
      </c>
      <c r="B116" s="96" t="s">
        <v>253</v>
      </c>
      <c r="C116" s="105" t="s">
        <v>313</v>
      </c>
      <c r="D116" s="17">
        <v>9060</v>
      </c>
      <c r="E116" s="19"/>
      <c r="F116" s="17">
        <f t="shared" si="2"/>
        <v>34497</v>
      </c>
    </row>
    <row r="117" ht="15.75" spans="1:6">
      <c r="A117" s="73" t="s">
        <v>328</v>
      </c>
      <c r="B117" s="96" t="s">
        <v>3113</v>
      </c>
      <c r="C117" s="106" t="s">
        <v>3114</v>
      </c>
      <c r="D117" s="17"/>
      <c r="E117" s="19">
        <v>8287</v>
      </c>
      <c r="F117" s="17">
        <f t="shared" si="2"/>
        <v>42784</v>
      </c>
    </row>
    <row r="118" ht="15.75" spans="1:6">
      <c r="A118" s="73" t="s">
        <v>1374</v>
      </c>
      <c r="B118" s="96" t="s">
        <v>3115</v>
      </c>
      <c r="C118" s="105" t="s">
        <v>140</v>
      </c>
      <c r="D118" s="17"/>
      <c r="E118" s="19">
        <v>5002</v>
      </c>
      <c r="F118" s="17">
        <f t="shared" si="2"/>
        <v>47786</v>
      </c>
    </row>
    <row r="119" ht="15.75" spans="1:6">
      <c r="A119" s="73" t="s">
        <v>1374</v>
      </c>
      <c r="B119" s="96" t="s">
        <v>253</v>
      </c>
      <c r="C119" s="105" t="s">
        <v>313</v>
      </c>
      <c r="D119" s="17">
        <v>4600</v>
      </c>
      <c r="E119" s="19"/>
      <c r="F119" s="17">
        <f t="shared" si="2"/>
        <v>43186</v>
      </c>
    </row>
    <row r="120" ht="15.75" spans="1:6">
      <c r="A120" s="73" t="s">
        <v>1937</v>
      </c>
      <c r="B120" s="96" t="s">
        <v>253</v>
      </c>
      <c r="C120" s="105" t="s">
        <v>313</v>
      </c>
      <c r="D120" s="17">
        <v>5000</v>
      </c>
      <c r="E120" s="19"/>
      <c r="F120" s="17">
        <f t="shared" si="2"/>
        <v>38186</v>
      </c>
    </row>
    <row r="121" ht="15.75" spans="1:6">
      <c r="A121" s="73" t="s">
        <v>1937</v>
      </c>
      <c r="B121" s="96" t="s">
        <v>3116</v>
      </c>
      <c r="C121" s="106" t="s">
        <v>3117</v>
      </c>
      <c r="D121" s="17"/>
      <c r="E121" s="19">
        <v>5412</v>
      </c>
      <c r="F121" s="17">
        <f t="shared" si="2"/>
        <v>43598</v>
      </c>
    </row>
    <row r="122" ht="15.75" spans="1:6">
      <c r="A122" s="73" t="s">
        <v>336</v>
      </c>
      <c r="B122" s="96" t="s">
        <v>253</v>
      </c>
      <c r="C122" s="105" t="s">
        <v>313</v>
      </c>
      <c r="D122" s="17">
        <v>5410</v>
      </c>
      <c r="E122" s="19"/>
      <c r="F122" s="17">
        <f t="shared" si="2"/>
        <v>38188</v>
      </c>
    </row>
    <row r="123" ht="15.75" spans="1:6">
      <c r="A123" s="73" t="s">
        <v>336</v>
      </c>
      <c r="B123" s="96" t="s">
        <v>3118</v>
      </c>
      <c r="C123" s="106" t="s">
        <v>140</v>
      </c>
      <c r="D123" s="17"/>
      <c r="E123" s="19">
        <v>2472</v>
      </c>
      <c r="F123" s="17">
        <f t="shared" si="2"/>
        <v>40660</v>
      </c>
    </row>
    <row r="124" ht="15.75" spans="1:6">
      <c r="A124" s="73" t="s">
        <v>267</v>
      </c>
      <c r="B124" s="96" t="s">
        <v>3119</v>
      </c>
      <c r="C124" s="106" t="s">
        <v>3114</v>
      </c>
      <c r="D124" s="17"/>
      <c r="E124" s="19">
        <v>5480</v>
      </c>
      <c r="F124" s="17">
        <f t="shared" si="2"/>
        <v>46140</v>
      </c>
    </row>
    <row r="125" ht="15.75" spans="1:6">
      <c r="A125" s="73" t="s">
        <v>267</v>
      </c>
      <c r="B125" s="96" t="s">
        <v>253</v>
      </c>
      <c r="C125" s="105" t="s">
        <v>313</v>
      </c>
      <c r="D125" s="17">
        <v>2470</v>
      </c>
      <c r="E125" s="19"/>
      <c r="F125" s="17">
        <f t="shared" si="2"/>
        <v>43670</v>
      </c>
    </row>
    <row r="126" ht="15.75" spans="1:6">
      <c r="A126" s="75">
        <v>45660</v>
      </c>
      <c r="B126" s="96" t="s">
        <v>253</v>
      </c>
      <c r="C126" s="105" t="s">
        <v>3120</v>
      </c>
      <c r="D126" s="17">
        <v>8280</v>
      </c>
      <c r="E126" s="19"/>
      <c r="F126" s="17">
        <f t="shared" si="2"/>
        <v>35390</v>
      </c>
    </row>
    <row r="127" ht="15.75" spans="1:6">
      <c r="A127" s="75">
        <v>45750</v>
      </c>
      <c r="B127" s="96" t="s">
        <v>3121</v>
      </c>
      <c r="C127" s="105" t="s">
        <v>140</v>
      </c>
      <c r="D127" s="17"/>
      <c r="E127" s="19">
        <v>3880</v>
      </c>
      <c r="F127" s="17">
        <f t="shared" si="2"/>
        <v>39270</v>
      </c>
    </row>
    <row r="128" ht="31.5" spans="1:6">
      <c r="A128" s="75">
        <v>45872</v>
      </c>
      <c r="B128" s="96" t="s">
        <v>253</v>
      </c>
      <c r="C128" s="106" t="s">
        <v>3122</v>
      </c>
      <c r="D128" s="17">
        <v>9360</v>
      </c>
      <c r="E128" s="19"/>
      <c r="F128" s="17">
        <f t="shared" si="2"/>
        <v>29910</v>
      </c>
    </row>
    <row r="129" ht="31.5" spans="1:6">
      <c r="A129" s="75">
        <v>45872</v>
      </c>
      <c r="B129" s="96" t="s">
        <v>3123</v>
      </c>
      <c r="C129" s="106" t="s">
        <v>3124</v>
      </c>
      <c r="D129" s="17"/>
      <c r="E129" s="19">
        <v>16167</v>
      </c>
      <c r="F129" s="17">
        <f t="shared" si="2"/>
        <v>46077</v>
      </c>
    </row>
    <row r="130" ht="15.75" spans="1:6">
      <c r="A130" s="75">
        <v>45994</v>
      </c>
      <c r="B130" s="96" t="s">
        <v>253</v>
      </c>
      <c r="C130" s="105" t="s">
        <v>313</v>
      </c>
      <c r="D130" s="17">
        <v>5000</v>
      </c>
      <c r="E130" s="19"/>
      <c r="F130" s="17">
        <f t="shared" si="2"/>
        <v>41077</v>
      </c>
    </row>
    <row r="131" ht="15.75" spans="1:6">
      <c r="A131" s="73" t="s">
        <v>832</v>
      </c>
      <c r="B131" s="96" t="s">
        <v>3125</v>
      </c>
      <c r="C131" s="105" t="s">
        <v>3126</v>
      </c>
      <c r="D131" s="17"/>
      <c r="E131" s="19">
        <v>3015</v>
      </c>
      <c r="F131" s="17">
        <f t="shared" si="2"/>
        <v>44092</v>
      </c>
    </row>
    <row r="132" ht="31.5" spans="1:6">
      <c r="A132" s="73" t="s">
        <v>3127</v>
      </c>
      <c r="B132" s="96" t="s">
        <v>3128</v>
      </c>
      <c r="C132" s="106" t="s">
        <v>3129</v>
      </c>
      <c r="D132" s="17"/>
      <c r="E132" s="19">
        <v>5540</v>
      </c>
      <c r="F132" s="17">
        <f t="shared" si="2"/>
        <v>49632</v>
      </c>
    </row>
    <row r="133" ht="15.75" spans="1:6">
      <c r="A133" s="73" t="s">
        <v>3127</v>
      </c>
      <c r="B133" s="96" t="s">
        <v>253</v>
      </c>
      <c r="C133" s="105" t="s">
        <v>157</v>
      </c>
      <c r="D133" s="17">
        <v>17420</v>
      </c>
      <c r="E133" s="19"/>
      <c r="F133" s="17">
        <f t="shared" si="2"/>
        <v>32212</v>
      </c>
    </row>
    <row r="134" ht="15.75" spans="1:6">
      <c r="A134" s="89" t="s">
        <v>348</v>
      </c>
      <c r="B134" s="96" t="s">
        <v>3130</v>
      </c>
      <c r="C134" s="105" t="s">
        <v>3131</v>
      </c>
      <c r="D134" s="17"/>
      <c r="E134" s="19">
        <v>4040</v>
      </c>
      <c r="F134" s="17">
        <f t="shared" si="2"/>
        <v>36252</v>
      </c>
    </row>
    <row r="135" ht="15.75" spans="1:6">
      <c r="A135" s="73" t="s">
        <v>3132</v>
      </c>
      <c r="B135" s="96" t="s">
        <v>3133</v>
      </c>
      <c r="C135" s="105" t="s">
        <v>342</v>
      </c>
      <c r="D135" s="17"/>
      <c r="E135" s="19">
        <v>5615</v>
      </c>
      <c r="F135" s="17">
        <f t="shared" si="2"/>
        <v>41867</v>
      </c>
    </row>
    <row r="136" ht="15.75" spans="1:6">
      <c r="A136" s="75">
        <v>45903</v>
      </c>
      <c r="B136" s="96" t="s">
        <v>253</v>
      </c>
      <c r="C136" s="105" t="s">
        <v>313</v>
      </c>
      <c r="D136" s="17">
        <v>6000</v>
      </c>
      <c r="E136" s="19"/>
      <c r="F136" s="17">
        <f t="shared" si="2"/>
        <v>35867</v>
      </c>
    </row>
    <row r="137" ht="15.75" spans="1:6">
      <c r="A137" s="73" t="s">
        <v>354</v>
      </c>
      <c r="B137" s="96" t="s">
        <v>3134</v>
      </c>
      <c r="C137" s="105" t="s">
        <v>410</v>
      </c>
      <c r="D137" s="17"/>
      <c r="E137" s="19">
        <v>4827</v>
      </c>
      <c r="F137" s="17">
        <f t="shared" si="2"/>
        <v>40694</v>
      </c>
    </row>
    <row r="138" ht="15.75" spans="1:6">
      <c r="A138" s="73" t="s">
        <v>356</v>
      </c>
      <c r="B138" s="96" t="s">
        <v>253</v>
      </c>
      <c r="C138" s="105" t="s">
        <v>313</v>
      </c>
      <c r="D138" s="17">
        <v>10442</v>
      </c>
      <c r="E138" s="19"/>
      <c r="F138" s="17">
        <f t="shared" si="2"/>
        <v>30252</v>
      </c>
    </row>
    <row r="139" ht="15.75" spans="1:6">
      <c r="A139" s="73" t="s">
        <v>358</v>
      </c>
      <c r="B139" s="96" t="s">
        <v>253</v>
      </c>
      <c r="C139" s="105" t="s">
        <v>313</v>
      </c>
      <c r="D139" s="17">
        <v>7830</v>
      </c>
      <c r="E139" s="19"/>
      <c r="F139" s="17">
        <f t="shared" si="2"/>
        <v>22422</v>
      </c>
    </row>
    <row r="140" ht="15.75" spans="1:6">
      <c r="A140" s="89" t="s">
        <v>356</v>
      </c>
      <c r="B140" s="96" t="s">
        <v>3135</v>
      </c>
      <c r="C140" s="105" t="s">
        <v>410</v>
      </c>
      <c r="D140" s="17"/>
      <c r="E140" s="19">
        <v>6847</v>
      </c>
      <c r="F140" s="17">
        <f t="shared" ref="F140:F217" si="3">E140+F139-D140</f>
        <v>29269</v>
      </c>
    </row>
    <row r="141" ht="31.5" spans="1:6">
      <c r="A141" s="73" t="s">
        <v>358</v>
      </c>
      <c r="B141" s="96" t="s">
        <v>3136</v>
      </c>
      <c r="C141" s="106" t="s">
        <v>3137</v>
      </c>
      <c r="D141" s="17"/>
      <c r="E141" s="19">
        <v>11847</v>
      </c>
      <c r="F141" s="17">
        <f t="shared" si="3"/>
        <v>41116</v>
      </c>
    </row>
    <row r="142" ht="15.75" spans="1:6">
      <c r="A142" s="73" t="s">
        <v>295</v>
      </c>
      <c r="B142" s="96" t="s">
        <v>3138</v>
      </c>
      <c r="C142" s="105" t="s">
        <v>324</v>
      </c>
      <c r="D142" s="17"/>
      <c r="E142" s="19">
        <v>5615</v>
      </c>
      <c r="F142" s="17">
        <f t="shared" si="3"/>
        <v>46731</v>
      </c>
    </row>
    <row r="143" ht="15.75" spans="1:6">
      <c r="A143" s="73" t="s">
        <v>295</v>
      </c>
      <c r="B143" s="96" t="s">
        <v>253</v>
      </c>
      <c r="C143" s="106" t="s">
        <v>3139</v>
      </c>
      <c r="D143" s="17">
        <v>9655</v>
      </c>
      <c r="E143" s="19"/>
      <c r="F143" s="17">
        <f t="shared" si="3"/>
        <v>37076</v>
      </c>
    </row>
    <row r="144" ht="15.75" spans="1:6">
      <c r="A144" s="73" t="s">
        <v>364</v>
      </c>
      <c r="B144" s="96" t="s">
        <v>3140</v>
      </c>
      <c r="C144" s="105" t="s">
        <v>410</v>
      </c>
      <c r="D144" s="17"/>
      <c r="E144" s="19">
        <v>4869</v>
      </c>
      <c r="F144" s="17">
        <f t="shared" si="3"/>
        <v>41945</v>
      </c>
    </row>
    <row r="145" ht="15.75" spans="1:6">
      <c r="A145" s="73" t="s">
        <v>302</v>
      </c>
      <c r="B145" s="96" t="s">
        <v>3141</v>
      </c>
      <c r="C145" s="105" t="s">
        <v>410</v>
      </c>
      <c r="D145" s="17"/>
      <c r="E145" s="19">
        <v>1827</v>
      </c>
      <c r="F145" s="17">
        <f t="shared" si="3"/>
        <v>43772</v>
      </c>
    </row>
    <row r="146" ht="15.75" spans="1:6">
      <c r="A146" s="73" t="s">
        <v>372</v>
      </c>
      <c r="B146" s="96" t="s">
        <v>3142</v>
      </c>
      <c r="C146" s="106" t="s">
        <v>3143</v>
      </c>
      <c r="D146" s="17"/>
      <c r="E146" s="19">
        <v>12460</v>
      </c>
      <c r="F146" s="17">
        <f t="shared" si="3"/>
        <v>56232</v>
      </c>
    </row>
    <row r="147" ht="31.5" spans="1:6">
      <c r="A147" s="73" t="s">
        <v>372</v>
      </c>
      <c r="B147" s="96" t="s">
        <v>253</v>
      </c>
      <c r="C147" s="106" t="s">
        <v>3144</v>
      </c>
      <c r="D147" s="17">
        <v>18543</v>
      </c>
      <c r="E147" s="19"/>
      <c r="F147" s="17">
        <f t="shared" si="3"/>
        <v>37689</v>
      </c>
    </row>
    <row r="148" ht="15.75" spans="1:6">
      <c r="A148" s="75">
        <v>45720</v>
      </c>
      <c r="B148" s="96" t="s">
        <v>253</v>
      </c>
      <c r="C148" s="105" t="s">
        <v>3145</v>
      </c>
      <c r="D148" s="17">
        <v>5000</v>
      </c>
      <c r="E148" s="19"/>
      <c r="F148" s="17">
        <f t="shared" si="3"/>
        <v>32689</v>
      </c>
    </row>
    <row r="149" ht="15.75" spans="1:6">
      <c r="A149" s="75">
        <v>45813</v>
      </c>
      <c r="B149" s="96" t="s">
        <v>3146</v>
      </c>
      <c r="C149" s="105" t="s">
        <v>3147</v>
      </c>
      <c r="D149" s="17"/>
      <c r="E149" s="19">
        <v>5695</v>
      </c>
      <c r="F149" s="17">
        <f t="shared" si="3"/>
        <v>38384</v>
      </c>
    </row>
    <row r="150" ht="15.75" spans="1:6">
      <c r="A150" s="75">
        <v>45842</v>
      </c>
      <c r="B150" s="96" t="s">
        <v>253</v>
      </c>
      <c r="C150" s="105" t="s">
        <v>313</v>
      </c>
      <c r="D150" s="17">
        <v>7460</v>
      </c>
      <c r="E150" s="19"/>
      <c r="F150" s="17">
        <f t="shared" si="3"/>
        <v>30924</v>
      </c>
    </row>
    <row r="151" ht="15.75" spans="1:6">
      <c r="A151" s="75">
        <v>45873</v>
      </c>
      <c r="B151" s="96" t="s">
        <v>3148</v>
      </c>
      <c r="C151" s="105" t="s">
        <v>2411</v>
      </c>
      <c r="D151" s="17"/>
      <c r="E151" s="19">
        <v>662</v>
      </c>
      <c r="F151" s="17">
        <f t="shared" si="3"/>
        <v>31586</v>
      </c>
    </row>
    <row r="152" ht="15.75" spans="1:6">
      <c r="A152" s="75">
        <v>45995</v>
      </c>
      <c r="B152" s="96" t="s">
        <v>253</v>
      </c>
      <c r="C152" s="105" t="s">
        <v>157</v>
      </c>
      <c r="D152" s="17">
        <v>12730</v>
      </c>
      <c r="E152" s="19"/>
      <c r="F152" s="17">
        <f t="shared" si="3"/>
        <v>18856</v>
      </c>
    </row>
    <row r="153" ht="15.75" spans="1:6">
      <c r="A153" s="73" t="s">
        <v>405</v>
      </c>
      <c r="B153" s="96" t="s">
        <v>3149</v>
      </c>
      <c r="C153" s="105" t="s">
        <v>140</v>
      </c>
      <c r="D153" s="17"/>
      <c r="E153" s="19">
        <v>9250</v>
      </c>
      <c r="F153" s="17">
        <f t="shared" si="3"/>
        <v>28106</v>
      </c>
    </row>
    <row r="154" ht="15.75" spans="1:6">
      <c r="A154" s="73" t="s">
        <v>425</v>
      </c>
      <c r="B154" s="96" t="s">
        <v>3150</v>
      </c>
      <c r="C154" s="106" t="s">
        <v>3151</v>
      </c>
      <c r="D154" s="17"/>
      <c r="E154" s="19">
        <v>9765</v>
      </c>
      <c r="F154" s="17">
        <f t="shared" si="3"/>
        <v>37871</v>
      </c>
    </row>
    <row r="155" ht="15.75" spans="1:6">
      <c r="A155" s="73" t="s">
        <v>448</v>
      </c>
      <c r="B155" s="96" t="s">
        <v>253</v>
      </c>
      <c r="C155" s="106" t="s">
        <v>3152</v>
      </c>
      <c r="D155" s="17">
        <v>9000</v>
      </c>
      <c r="E155" s="19"/>
      <c r="F155" s="17">
        <f t="shared" si="3"/>
        <v>28871</v>
      </c>
    </row>
    <row r="156" ht="15.75" spans="1:6">
      <c r="A156" s="73" t="s">
        <v>448</v>
      </c>
      <c r="B156" s="96" t="s">
        <v>253</v>
      </c>
      <c r="C156" s="106" t="s">
        <v>3153</v>
      </c>
      <c r="D156" s="17">
        <v>9765</v>
      </c>
      <c r="E156" s="19"/>
      <c r="F156" s="17">
        <f t="shared" si="3"/>
        <v>19106</v>
      </c>
    </row>
    <row r="157" ht="15.75" spans="1:6">
      <c r="A157" s="75">
        <v>45721</v>
      </c>
      <c r="B157" s="96" t="s">
        <v>3154</v>
      </c>
      <c r="C157" s="105" t="s">
        <v>402</v>
      </c>
      <c r="D157" s="17"/>
      <c r="E157" s="19">
        <v>8155</v>
      </c>
      <c r="F157" s="17">
        <f t="shared" si="3"/>
        <v>27261</v>
      </c>
    </row>
    <row r="158" ht="15.75" spans="1:6">
      <c r="A158" s="75">
        <v>45721</v>
      </c>
      <c r="B158" s="96" t="s">
        <v>3155</v>
      </c>
      <c r="C158" s="105" t="s">
        <v>1584</v>
      </c>
      <c r="D158" s="17"/>
      <c r="E158" s="19">
        <v>2065</v>
      </c>
      <c r="F158" s="17">
        <f t="shared" si="3"/>
        <v>29326</v>
      </c>
    </row>
    <row r="159" ht="15.75" spans="1:6">
      <c r="A159" s="75">
        <v>45721</v>
      </c>
      <c r="B159" s="96" t="s">
        <v>3156</v>
      </c>
      <c r="C159" s="105" t="s">
        <v>3157</v>
      </c>
      <c r="D159" s="17"/>
      <c r="E159" s="19">
        <v>1160</v>
      </c>
      <c r="F159" s="17">
        <f t="shared" si="3"/>
        <v>30486</v>
      </c>
    </row>
    <row r="160" ht="15.75" spans="1:6">
      <c r="A160" s="75">
        <v>45782</v>
      </c>
      <c r="B160" s="96" t="s">
        <v>3158</v>
      </c>
      <c r="C160" s="105" t="s">
        <v>3159</v>
      </c>
      <c r="D160" s="17"/>
      <c r="E160" s="19">
        <v>628</v>
      </c>
      <c r="F160" s="17">
        <f t="shared" si="3"/>
        <v>31114</v>
      </c>
    </row>
    <row r="161" ht="15.75" spans="1:6">
      <c r="A161" s="75">
        <v>45782</v>
      </c>
      <c r="B161" s="96" t="s">
        <v>253</v>
      </c>
      <c r="C161" s="105" t="s">
        <v>313</v>
      </c>
      <c r="D161" s="17">
        <v>8155</v>
      </c>
      <c r="E161" s="19"/>
      <c r="F161" s="17">
        <f t="shared" si="3"/>
        <v>22959</v>
      </c>
    </row>
    <row r="162" ht="15.75" spans="1:6">
      <c r="A162" s="75">
        <v>45782</v>
      </c>
      <c r="B162" s="96" t="s">
        <v>253</v>
      </c>
      <c r="C162" s="105" t="s">
        <v>313</v>
      </c>
      <c r="D162" s="17">
        <v>2065</v>
      </c>
      <c r="E162" s="19"/>
      <c r="F162" s="17">
        <f t="shared" si="3"/>
        <v>20894</v>
      </c>
    </row>
    <row r="163" ht="15.75" spans="1:6">
      <c r="A163" s="75">
        <v>45782</v>
      </c>
      <c r="B163" s="96" t="s">
        <v>253</v>
      </c>
      <c r="C163" s="105" t="s">
        <v>313</v>
      </c>
      <c r="D163" s="17">
        <v>1160</v>
      </c>
      <c r="E163" s="19"/>
      <c r="F163" s="17">
        <f t="shared" si="3"/>
        <v>19734</v>
      </c>
    </row>
    <row r="164" ht="15.75" spans="1:6">
      <c r="A164" s="75">
        <v>45782</v>
      </c>
      <c r="B164" s="96" t="s">
        <v>253</v>
      </c>
      <c r="C164" s="105" t="s">
        <v>313</v>
      </c>
      <c r="D164" s="17">
        <v>2180</v>
      </c>
      <c r="E164" s="19"/>
      <c r="F164" s="17">
        <f t="shared" si="3"/>
        <v>17554</v>
      </c>
    </row>
    <row r="165" ht="15.75" spans="1:6">
      <c r="A165" s="73" t="s">
        <v>505</v>
      </c>
      <c r="B165" s="96" t="s">
        <v>253</v>
      </c>
      <c r="C165" s="105" t="s">
        <v>313</v>
      </c>
      <c r="D165" s="17">
        <v>620</v>
      </c>
      <c r="E165" s="19"/>
      <c r="F165" s="17">
        <f t="shared" si="3"/>
        <v>16934</v>
      </c>
    </row>
    <row r="166" ht="15.75" spans="1:6">
      <c r="A166" s="73" t="s">
        <v>515</v>
      </c>
      <c r="B166" s="96" t="s">
        <v>3160</v>
      </c>
      <c r="C166" s="105" t="s">
        <v>232</v>
      </c>
      <c r="D166" s="17"/>
      <c r="E166" s="19">
        <v>7560</v>
      </c>
      <c r="F166" s="17">
        <f t="shared" si="3"/>
        <v>24494</v>
      </c>
    </row>
    <row r="167" ht="15.75" spans="1:6">
      <c r="A167" s="73" t="s">
        <v>516</v>
      </c>
      <c r="B167" s="96" t="s">
        <v>253</v>
      </c>
      <c r="C167" s="105" t="s">
        <v>313</v>
      </c>
      <c r="D167" s="17">
        <v>7200</v>
      </c>
      <c r="E167" s="19"/>
      <c r="F167" s="17">
        <f t="shared" si="3"/>
        <v>17294</v>
      </c>
    </row>
    <row r="168" ht="15.75" spans="1:6">
      <c r="A168" s="73" t="s">
        <v>1580</v>
      </c>
      <c r="B168" s="96" t="s">
        <v>3161</v>
      </c>
      <c r="C168" s="105" t="s">
        <v>140</v>
      </c>
      <c r="D168" s="17"/>
      <c r="E168" s="19">
        <v>14380</v>
      </c>
      <c r="F168" s="17">
        <f t="shared" si="3"/>
        <v>31674</v>
      </c>
    </row>
    <row r="169" ht="15.75" spans="1:6">
      <c r="A169" s="73" t="s">
        <v>533</v>
      </c>
      <c r="B169" s="96" t="s">
        <v>253</v>
      </c>
      <c r="C169" s="105" t="s">
        <v>313</v>
      </c>
      <c r="D169" s="17">
        <v>14380</v>
      </c>
      <c r="E169" s="19"/>
      <c r="F169" s="17">
        <f t="shared" si="3"/>
        <v>17294</v>
      </c>
    </row>
    <row r="170" ht="15.75" spans="1:6">
      <c r="A170" s="75">
        <v>45722</v>
      </c>
      <c r="B170" s="96" t="s">
        <v>3162</v>
      </c>
      <c r="C170" s="105" t="s">
        <v>140</v>
      </c>
      <c r="D170" s="17"/>
      <c r="E170" s="19">
        <v>8040</v>
      </c>
      <c r="F170" s="17">
        <f t="shared" si="3"/>
        <v>25334</v>
      </c>
    </row>
    <row r="171" ht="15.75" spans="1:6">
      <c r="A171" s="75">
        <v>45753</v>
      </c>
      <c r="B171" s="96" t="s">
        <v>3163</v>
      </c>
      <c r="C171" s="105" t="s">
        <v>507</v>
      </c>
      <c r="D171" s="17"/>
      <c r="E171" s="19">
        <v>9786</v>
      </c>
      <c r="F171" s="17">
        <f t="shared" si="3"/>
        <v>35120</v>
      </c>
    </row>
    <row r="172" ht="15.75" spans="1:6">
      <c r="A172" s="75">
        <v>45783</v>
      </c>
      <c r="B172" s="96" t="s">
        <v>253</v>
      </c>
      <c r="C172" s="105" t="s">
        <v>313</v>
      </c>
      <c r="D172" s="17">
        <v>17826</v>
      </c>
      <c r="E172" s="19"/>
      <c r="F172" s="17">
        <f t="shared" si="3"/>
        <v>17294</v>
      </c>
    </row>
    <row r="173" ht="15.75" spans="1:6">
      <c r="A173" s="75" t="s">
        <v>544</v>
      </c>
      <c r="B173" s="96" t="s">
        <v>3164</v>
      </c>
      <c r="C173" s="105" t="s">
        <v>3165</v>
      </c>
      <c r="D173" s="17"/>
      <c r="E173" s="19">
        <v>3901</v>
      </c>
      <c r="F173" s="17">
        <f t="shared" si="3"/>
        <v>21195</v>
      </c>
    </row>
    <row r="174" ht="15.75" spans="1:6">
      <c r="A174" s="75" t="s">
        <v>3166</v>
      </c>
      <c r="B174" s="96" t="s">
        <v>253</v>
      </c>
      <c r="C174" s="105" t="s">
        <v>3167</v>
      </c>
      <c r="D174" s="17">
        <v>3900</v>
      </c>
      <c r="E174" s="19"/>
      <c r="F174" s="17">
        <f t="shared" si="3"/>
        <v>17295</v>
      </c>
    </row>
    <row r="175" ht="15.75" spans="1:6">
      <c r="A175" s="75" t="s">
        <v>1186</v>
      </c>
      <c r="B175" s="96" t="s">
        <v>3168</v>
      </c>
      <c r="C175" s="105" t="s">
        <v>140</v>
      </c>
      <c r="D175" s="17"/>
      <c r="E175" s="19">
        <v>6422</v>
      </c>
      <c r="F175" s="17">
        <f t="shared" si="3"/>
        <v>23717</v>
      </c>
    </row>
    <row r="176" ht="15.75" spans="1:6">
      <c r="A176" s="75" t="s">
        <v>1597</v>
      </c>
      <c r="B176" s="96" t="s">
        <v>253</v>
      </c>
      <c r="C176" s="105" t="s">
        <v>313</v>
      </c>
      <c r="D176" s="17">
        <v>6420</v>
      </c>
      <c r="E176" s="19"/>
      <c r="F176" s="17">
        <f t="shared" si="3"/>
        <v>17297</v>
      </c>
    </row>
    <row r="177" ht="15.75" spans="1:6">
      <c r="A177" s="75">
        <v>45664</v>
      </c>
      <c r="B177" s="96"/>
      <c r="C177" s="105" t="s">
        <v>3169</v>
      </c>
      <c r="D177" s="17">
        <v>7000</v>
      </c>
      <c r="E177" s="19"/>
      <c r="F177" s="17">
        <f t="shared" si="3"/>
        <v>10297</v>
      </c>
    </row>
    <row r="178" ht="15.75" spans="1:6">
      <c r="A178" s="75">
        <v>45664</v>
      </c>
      <c r="B178" s="96" t="s">
        <v>3170</v>
      </c>
      <c r="C178" s="105" t="s">
        <v>3171</v>
      </c>
      <c r="D178" s="17">
        <v>3000</v>
      </c>
      <c r="E178" s="19"/>
      <c r="F178" s="17">
        <f t="shared" si="3"/>
        <v>7297</v>
      </c>
    </row>
    <row r="179" ht="15.75" spans="1:6">
      <c r="A179" s="75">
        <v>45784</v>
      </c>
      <c r="B179" s="96" t="s">
        <v>3172</v>
      </c>
      <c r="C179" s="105" t="s">
        <v>3173</v>
      </c>
      <c r="D179" s="17"/>
      <c r="E179" s="19">
        <v>19507</v>
      </c>
      <c r="F179" s="17">
        <f t="shared" si="3"/>
        <v>26804</v>
      </c>
    </row>
    <row r="180" ht="15.75" spans="1:6">
      <c r="A180" s="75">
        <v>45845</v>
      </c>
      <c r="B180" s="96"/>
      <c r="C180" s="105" t="s">
        <v>101</v>
      </c>
      <c r="D180" s="17">
        <v>10000</v>
      </c>
      <c r="E180" s="19"/>
      <c r="F180" s="17">
        <f t="shared" si="3"/>
        <v>16804</v>
      </c>
    </row>
    <row r="181" ht="15.75" spans="1:6">
      <c r="A181" s="75">
        <v>45845</v>
      </c>
      <c r="B181" s="96" t="s">
        <v>253</v>
      </c>
      <c r="C181" s="105" t="s">
        <v>101</v>
      </c>
      <c r="D181" s="17">
        <v>9500</v>
      </c>
      <c r="E181" s="19"/>
      <c r="F181" s="17">
        <f t="shared" si="3"/>
        <v>7304</v>
      </c>
    </row>
    <row r="182" ht="15.75" spans="1:6">
      <c r="A182" s="75">
        <v>45876</v>
      </c>
      <c r="B182" s="96" t="s">
        <v>3174</v>
      </c>
      <c r="C182" s="105" t="s">
        <v>3175</v>
      </c>
      <c r="D182" s="17"/>
      <c r="E182" s="19">
        <v>5355</v>
      </c>
      <c r="F182" s="17">
        <f t="shared" si="3"/>
        <v>12659</v>
      </c>
    </row>
    <row r="183" ht="15.75" spans="1:6">
      <c r="A183" s="75">
        <v>45937</v>
      </c>
      <c r="B183" s="96" t="s">
        <v>253</v>
      </c>
      <c r="C183" s="105" t="s">
        <v>313</v>
      </c>
      <c r="D183" s="17">
        <v>5355</v>
      </c>
      <c r="E183" s="19"/>
      <c r="F183" s="17">
        <f t="shared" si="3"/>
        <v>7304</v>
      </c>
    </row>
    <row r="184" ht="15.75" spans="1:6">
      <c r="A184" s="75" t="s">
        <v>2457</v>
      </c>
      <c r="B184" s="96" t="s">
        <v>3176</v>
      </c>
      <c r="C184" s="105" t="s">
        <v>3177</v>
      </c>
      <c r="D184" s="17"/>
      <c r="E184" s="19">
        <v>10579</v>
      </c>
      <c r="F184" s="17">
        <f t="shared" si="3"/>
        <v>17883</v>
      </c>
    </row>
    <row r="185" ht="15.75" spans="1:6">
      <c r="A185" s="75" t="s">
        <v>1199</v>
      </c>
      <c r="B185" s="96" t="s">
        <v>253</v>
      </c>
      <c r="C185" s="105" t="s">
        <v>313</v>
      </c>
      <c r="D185" s="17">
        <v>10550</v>
      </c>
      <c r="E185" s="19"/>
      <c r="F185" s="17">
        <f t="shared" si="3"/>
        <v>7333</v>
      </c>
    </row>
    <row r="186" ht="15.75" spans="1:6">
      <c r="A186" s="75" t="s">
        <v>1199</v>
      </c>
      <c r="B186" s="96" t="s">
        <v>3178</v>
      </c>
      <c r="C186" s="105" t="s">
        <v>2461</v>
      </c>
      <c r="D186" s="17"/>
      <c r="E186" s="19">
        <v>7380</v>
      </c>
      <c r="F186" s="17">
        <f t="shared" ref="F186:F206" si="4">E186+F185-D186</f>
        <v>14713</v>
      </c>
    </row>
    <row r="187" ht="15.75" spans="1:6">
      <c r="A187" s="75" t="s">
        <v>3179</v>
      </c>
      <c r="B187" s="96" t="s">
        <v>253</v>
      </c>
      <c r="C187" s="105" t="s">
        <v>3180</v>
      </c>
      <c r="D187" s="17">
        <v>4000</v>
      </c>
      <c r="E187" s="19"/>
      <c r="F187" s="17">
        <f t="shared" si="4"/>
        <v>10713</v>
      </c>
    </row>
    <row r="188" ht="15.75" spans="1:6">
      <c r="A188" s="75" t="s">
        <v>3181</v>
      </c>
      <c r="B188" s="96" t="s">
        <v>253</v>
      </c>
      <c r="C188" s="105" t="s">
        <v>3182</v>
      </c>
      <c r="D188" s="17">
        <v>3380</v>
      </c>
      <c r="E188" s="19"/>
      <c r="F188" s="17">
        <f t="shared" si="4"/>
        <v>7333</v>
      </c>
    </row>
    <row r="189" ht="15.75" spans="1:6">
      <c r="A189" s="75" t="s">
        <v>702</v>
      </c>
      <c r="B189" s="96" t="s">
        <v>3183</v>
      </c>
      <c r="C189" s="105" t="s">
        <v>140</v>
      </c>
      <c r="D189" s="17"/>
      <c r="E189" s="19">
        <v>2978</v>
      </c>
      <c r="F189" s="17">
        <f t="shared" si="4"/>
        <v>10311</v>
      </c>
    </row>
    <row r="190" ht="15.75" spans="1:6">
      <c r="A190" s="75" t="s">
        <v>2130</v>
      </c>
      <c r="B190" s="96" t="s">
        <v>253</v>
      </c>
      <c r="C190" s="105" t="s">
        <v>313</v>
      </c>
      <c r="D190" s="17">
        <v>2998</v>
      </c>
      <c r="E190" s="19"/>
      <c r="F190" s="17">
        <f t="shared" si="4"/>
        <v>7313</v>
      </c>
    </row>
    <row r="191" ht="15.75" spans="1:6">
      <c r="A191" s="75">
        <v>45755</v>
      </c>
      <c r="B191" s="96" t="s">
        <v>3184</v>
      </c>
      <c r="C191" s="105" t="s">
        <v>3185</v>
      </c>
      <c r="D191" s="17"/>
      <c r="E191" s="19">
        <v>6833</v>
      </c>
      <c r="F191" s="17">
        <f t="shared" si="4"/>
        <v>14146</v>
      </c>
    </row>
    <row r="192" ht="15.75" spans="1:6">
      <c r="A192" s="75">
        <v>45755</v>
      </c>
      <c r="B192" s="96" t="s">
        <v>3186</v>
      </c>
      <c r="C192" s="105"/>
      <c r="D192" s="17">
        <v>500</v>
      </c>
      <c r="E192" s="19"/>
      <c r="F192" s="17">
        <f t="shared" si="4"/>
        <v>13646</v>
      </c>
    </row>
    <row r="193" ht="15.75" spans="1:6">
      <c r="A193" s="75">
        <v>45785</v>
      </c>
      <c r="B193" s="96" t="s">
        <v>253</v>
      </c>
      <c r="C193" s="105" t="s">
        <v>101</v>
      </c>
      <c r="D193" s="17">
        <v>7300</v>
      </c>
      <c r="E193" s="19"/>
      <c r="F193" s="17">
        <f t="shared" si="4"/>
        <v>6346</v>
      </c>
    </row>
    <row r="194" ht="15.75" spans="1:6">
      <c r="A194" s="75">
        <v>45785</v>
      </c>
      <c r="B194" s="96" t="s">
        <v>3187</v>
      </c>
      <c r="C194" s="105" t="s">
        <v>155</v>
      </c>
      <c r="D194" s="17"/>
      <c r="E194" s="19">
        <v>1631</v>
      </c>
      <c r="F194" s="17">
        <f t="shared" si="4"/>
        <v>7977</v>
      </c>
    </row>
    <row r="195" ht="15.75" spans="1:6">
      <c r="A195" s="75">
        <v>45846</v>
      </c>
      <c r="B195" s="96" t="s">
        <v>253</v>
      </c>
      <c r="C195" s="105" t="s">
        <v>3188</v>
      </c>
      <c r="D195" s="17">
        <v>1631</v>
      </c>
      <c r="E195" s="19"/>
      <c r="F195" s="17">
        <f t="shared" si="4"/>
        <v>6346</v>
      </c>
    </row>
    <row r="196" ht="15.75" spans="1:6">
      <c r="A196" s="75">
        <v>45908</v>
      </c>
      <c r="B196" s="96" t="s">
        <v>253</v>
      </c>
      <c r="C196" s="105" t="s">
        <v>157</v>
      </c>
      <c r="D196" s="17">
        <v>2200</v>
      </c>
      <c r="E196" s="19"/>
      <c r="F196" s="17">
        <f t="shared" si="4"/>
        <v>4146</v>
      </c>
    </row>
    <row r="197" ht="15.75" spans="1:6">
      <c r="A197" s="75">
        <v>45908</v>
      </c>
      <c r="B197" s="96" t="s">
        <v>3189</v>
      </c>
      <c r="C197" s="105" t="s">
        <v>2287</v>
      </c>
      <c r="D197" s="17"/>
      <c r="E197" s="19">
        <v>4428</v>
      </c>
      <c r="F197" s="17">
        <f t="shared" si="4"/>
        <v>8574</v>
      </c>
    </row>
    <row r="198" ht="15.75" spans="1:6">
      <c r="A198" s="75">
        <v>45969</v>
      </c>
      <c r="B198" s="96" t="s">
        <v>253</v>
      </c>
      <c r="C198" s="105" t="s">
        <v>555</v>
      </c>
      <c r="D198" s="17">
        <v>2200</v>
      </c>
      <c r="E198" s="19"/>
      <c r="F198" s="17">
        <f t="shared" si="4"/>
        <v>6374</v>
      </c>
    </row>
    <row r="199" ht="15.75" spans="1:6">
      <c r="A199" s="75">
        <v>45969</v>
      </c>
      <c r="B199" s="96" t="s">
        <v>253</v>
      </c>
      <c r="C199" s="105" t="s">
        <v>157</v>
      </c>
      <c r="D199" s="17">
        <v>2400</v>
      </c>
      <c r="E199" s="19"/>
      <c r="F199" s="17">
        <f t="shared" si="4"/>
        <v>3974</v>
      </c>
    </row>
    <row r="200" ht="15.75" spans="1:6">
      <c r="A200" s="75">
        <v>45969</v>
      </c>
      <c r="B200" s="96" t="s">
        <v>3190</v>
      </c>
      <c r="C200" s="105" t="s">
        <v>1616</v>
      </c>
      <c r="D200" s="17"/>
      <c r="E200" s="19">
        <v>10508</v>
      </c>
      <c r="F200" s="17">
        <f t="shared" si="4"/>
        <v>14482</v>
      </c>
    </row>
    <row r="201" ht="15.75" spans="1:6">
      <c r="A201" s="75">
        <v>45999</v>
      </c>
      <c r="B201" s="96" t="s">
        <v>253</v>
      </c>
      <c r="C201" s="105" t="s">
        <v>157</v>
      </c>
      <c r="D201" s="17">
        <v>8108</v>
      </c>
      <c r="E201" s="19"/>
      <c r="F201" s="17">
        <f t="shared" si="4"/>
        <v>6374</v>
      </c>
    </row>
    <row r="202" ht="15.75" spans="1:6">
      <c r="A202" s="75" t="s">
        <v>547</v>
      </c>
      <c r="B202" s="96" t="s">
        <v>3191</v>
      </c>
      <c r="C202" s="105" t="s">
        <v>2474</v>
      </c>
      <c r="D202" s="17"/>
      <c r="E202" s="19">
        <v>15958</v>
      </c>
      <c r="F202" s="17">
        <f t="shared" si="4"/>
        <v>22332</v>
      </c>
    </row>
    <row r="203" ht="15.75" spans="1:6">
      <c r="A203" s="75" t="s">
        <v>1609</v>
      </c>
      <c r="B203" s="96" t="s">
        <v>3192</v>
      </c>
      <c r="C203" s="105" t="s">
        <v>3193</v>
      </c>
      <c r="D203" s="17"/>
      <c r="E203" s="19">
        <v>3901</v>
      </c>
      <c r="F203" s="17">
        <f t="shared" si="4"/>
        <v>26233</v>
      </c>
    </row>
    <row r="204" ht="15.75" spans="1:6">
      <c r="A204" s="75" t="s">
        <v>1609</v>
      </c>
      <c r="B204" s="96" t="s">
        <v>253</v>
      </c>
      <c r="C204" s="105" t="s">
        <v>694</v>
      </c>
      <c r="D204" s="17">
        <v>14000</v>
      </c>
      <c r="E204" s="19"/>
      <c r="F204" s="17">
        <f t="shared" si="4"/>
        <v>12233</v>
      </c>
    </row>
    <row r="205" ht="15.75" spans="1:6">
      <c r="A205" s="75" t="s">
        <v>1609</v>
      </c>
      <c r="B205" s="96" t="s">
        <v>3194</v>
      </c>
      <c r="C205" s="105" t="s">
        <v>3195</v>
      </c>
      <c r="D205" s="17"/>
      <c r="E205" s="19">
        <v>11726</v>
      </c>
      <c r="F205" s="17">
        <f t="shared" si="4"/>
        <v>23959</v>
      </c>
    </row>
    <row r="206" ht="15.75" spans="1:6">
      <c r="A206" s="75" t="s">
        <v>1612</v>
      </c>
      <c r="B206" s="96" t="s">
        <v>3196</v>
      </c>
      <c r="C206" s="105" t="s">
        <v>1616</v>
      </c>
      <c r="D206" s="17"/>
      <c r="E206" s="19">
        <v>12490</v>
      </c>
      <c r="F206" s="17">
        <f t="shared" si="4"/>
        <v>36449</v>
      </c>
    </row>
    <row r="207" ht="15.75" spans="1:6">
      <c r="A207" s="75" t="s">
        <v>1612</v>
      </c>
      <c r="B207" s="96" t="s">
        <v>253</v>
      </c>
      <c r="C207" s="105" t="s">
        <v>157</v>
      </c>
      <c r="D207" s="17">
        <v>11700</v>
      </c>
      <c r="E207" s="19"/>
      <c r="F207" s="17">
        <f t="shared" si="3"/>
        <v>24749</v>
      </c>
    </row>
    <row r="208" ht="15.75" spans="1:6">
      <c r="A208" s="75"/>
      <c r="B208" s="96" t="s">
        <v>253</v>
      </c>
      <c r="C208" s="105" t="s">
        <v>157</v>
      </c>
      <c r="D208" s="17">
        <v>3300</v>
      </c>
      <c r="E208" s="19"/>
      <c r="F208" s="17">
        <f t="shared" si="3"/>
        <v>21449</v>
      </c>
    </row>
    <row r="209" ht="15.75" spans="1:6">
      <c r="A209" s="75" t="s">
        <v>1510</v>
      </c>
      <c r="B209" s="96" t="s">
        <v>3197</v>
      </c>
      <c r="C209" s="105" t="s">
        <v>3198</v>
      </c>
      <c r="D209" s="17"/>
      <c r="E209" s="19">
        <v>1000</v>
      </c>
      <c r="F209" s="17">
        <f t="shared" si="3"/>
        <v>22449</v>
      </c>
    </row>
    <row r="210" ht="15.75" spans="1:6">
      <c r="A210" s="75" t="s">
        <v>1510</v>
      </c>
      <c r="B210" s="96" t="s">
        <v>3199</v>
      </c>
      <c r="C210" s="105" t="s">
        <v>1616</v>
      </c>
      <c r="D210" s="17"/>
      <c r="E210" s="19">
        <v>10579</v>
      </c>
      <c r="F210" s="17">
        <f t="shared" si="3"/>
        <v>33028</v>
      </c>
    </row>
    <row r="211" ht="15.75" spans="1:6">
      <c r="A211" s="73" t="s">
        <v>1510</v>
      </c>
      <c r="B211" s="109" t="s">
        <v>253</v>
      </c>
      <c r="C211" s="103" t="s">
        <v>157</v>
      </c>
      <c r="D211" s="17">
        <v>10490</v>
      </c>
      <c r="E211" s="19"/>
      <c r="F211" s="17">
        <f t="shared" si="3"/>
        <v>22538</v>
      </c>
    </row>
    <row r="212" ht="15.75" spans="1:6">
      <c r="A212" s="73"/>
      <c r="B212" s="110"/>
      <c r="C212" s="103" t="s">
        <v>101</v>
      </c>
      <c r="D212" s="17">
        <v>2000</v>
      </c>
      <c r="E212" s="19"/>
      <c r="F212" s="17">
        <f t="shared" si="3"/>
        <v>20538</v>
      </c>
    </row>
    <row r="213" ht="15.75" spans="1:6">
      <c r="A213" s="111" t="s">
        <v>1513</v>
      </c>
      <c r="B213" s="112" t="s">
        <v>253</v>
      </c>
      <c r="C213" s="111" t="s">
        <v>157</v>
      </c>
      <c r="D213" s="113">
        <v>1000</v>
      </c>
      <c r="E213" s="19"/>
      <c r="F213" s="17">
        <f t="shared" si="3"/>
        <v>19538</v>
      </c>
    </row>
    <row r="214" ht="15.75" spans="1:6">
      <c r="A214" s="114"/>
      <c r="B214" s="115" t="s">
        <v>253</v>
      </c>
      <c r="C214" s="116" t="s">
        <v>157</v>
      </c>
      <c r="D214" s="32">
        <v>600</v>
      </c>
      <c r="E214" s="117"/>
      <c r="F214" s="17">
        <f t="shared" si="3"/>
        <v>18938</v>
      </c>
    </row>
    <row r="215" ht="15.75" spans="1:6">
      <c r="A215" s="36"/>
      <c r="B215" s="46" t="s">
        <v>253</v>
      </c>
      <c r="C215" s="118" t="s">
        <v>157</v>
      </c>
      <c r="D215" s="93">
        <v>5000</v>
      </c>
      <c r="E215" s="17"/>
      <c r="F215" s="17">
        <f t="shared" si="3"/>
        <v>13938</v>
      </c>
    </row>
    <row r="216" ht="15.75" spans="1:6">
      <c r="A216" s="36" t="s">
        <v>2168</v>
      </c>
      <c r="B216" s="46" t="s">
        <v>3200</v>
      </c>
      <c r="C216" s="118" t="s">
        <v>3201</v>
      </c>
      <c r="D216" s="93"/>
      <c r="E216" s="17">
        <v>10372</v>
      </c>
      <c r="F216" s="17">
        <f t="shared" si="3"/>
        <v>24310</v>
      </c>
    </row>
    <row r="217" ht="15.75" spans="1:6">
      <c r="A217" s="36" t="s">
        <v>2481</v>
      </c>
      <c r="B217" s="46" t="s">
        <v>253</v>
      </c>
      <c r="C217" s="118" t="s">
        <v>157</v>
      </c>
      <c r="D217" s="93">
        <v>5579</v>
      </c>
      <c r="E217" s="17"/>
      <c r="F217" s="17">
        <f t="shared" si="3"/>
        <v>18731</v>
      </c>
    </row>
    <row r="218" ht="15.75" spans="1:6">
      <c r="A218" s="36" t="s">
        <v>2481</v>
      </c>
      <c r="B218" s="46" t="s">
        <v>3202</v>
      </c>
      <c r="C218" s="118" t="s">
        <v>3203</v>
      </c>
      <c r="D218" s="93"/>
      <c r="E218" s="17">
        <v>6595</v>
      </c>
      <c r="F218" s="17">
        <f t="shared" ref="F218:F219" si="5">E218+F217-D218</f>
        <v>25326</v>
      </c>
    </row>
    <row r="219" ht="15.75" spans="1:6">
      <c r="A219" s="36"/>
      <c r="B219" s="46"/>
      <c r="C219" s="118"/>
      <c r="D219" s="93"/>
      <c r="E219" s="17"/>
      <c r="F219" s="17">
        <f t="shared" si="5"/>
        <v>25326</v>
      </c>
    </row>
    <row r="220" ht="15.75" spans="1:6">
      <c r="A220" s="36" t="s">
        <v>2042</v>
      </c>
      <c r="B220" s="46" t="s">
        <v>253</v>
      </c>
      <c r="C220" s="118" t="s">
        <v>157</v>
      </c>
      <c r="D220" s="93">
        <v>6595</v>
      </c>
      <c r="E220" s="17"/>
      <c r="F220" s="17">
        <f t="shared" ref="F220:F294" si="6">E220+F219-D220</f>
        <v>18731</v>
      </c>
    </row>
    <row r="221" ht="15.75" spans="1:6">
      <c r="A221" s="36" t="s">
        <v>2042</v>
      </c>
      <c r="B221" s="46" t="s">
        <v>3204</v>
      </c>
      <c r="C221" s="118" t="s">
        <v>3205</v>
      </c>
      <c r="D221" s="93"/>
      <c r="E221" s="17">
        <v>3492</v>
      </c>
      <c r="F221" s="17">
        <f t="shared" si="6"/>
        <v>22223</v>
      </c>
    </row>
    <row r="222" ht="15.75" spans="1:6">
      <c r="A222" s="36" t="s">
        <v>2052</v>
      </c>
      <c r="B222" s="46" t="s">
        <v>3206</v>
      </c>
      <c r="C222" s="118" t="s">
        <v>1616</v>
      </c>
      <c r="D222" s="36"/>
      <c r="E222" s="17">
        <v>9347</v>
      </c>
      <c r="F222" s="17">
        <f t="shared" si="6"/>
        <v>31570</v>
      </c>
    </row>
    <row r="223" ht="15.75" spans="1:6">
      <c r="A223" s="36" t="s">
        <v>2052</v>
      </c>
      <c r="B223" s="46"/>
      <c r="C223" s="118" t="s">
        <v>140</v>
      </c>
      <c r="D223" s="29"/>
      <c r="E223" s="17"/>
      <c r="F223" s="17">
        <f t="shared" si="6"/>
        <v>31570</v>
      </c>
    </row>
    <row r="224" ht="15.75" spans="1:6">
      <c r="A224" s="36" t="s">
        <v>2052</v>
      </c>
      <c r="B224" s="46" t="s">
        <v>253</v>
      </c>
      <c r="C224" s="118" t="s">
        <v>157</v>
      </c>
      <c r="D224" s="29">
        <v>3492</v>
      </c>
      <c r="E224" s="17"/>
      <c r="F224" s="17">
        <f t="shared" si="6"/>
        <v>28078</v>
      </c>
    </row>
    <row r="225" ht="15.75" spans="1:6">
      <c r="A225" s="36" t="s">
        <v>2052</v>
      </c>
      <c r="B225" s="46" t="s">
        <v>253</v>
      </c>
      <c r="C225" s="118" t="s">
        <v>157</v>
      </c>
      <c r="D225" s="29">
        <v>7000</v>
      </c>
      <c r="E225" s="17"/>
      <c r="F225" s="17">
        <f t="shared" si="6"/>
        <v>21078</v>
      </c>
    </row>
    <row r="226" ht="15.75" spans="1:6">
      <c r="A226" s="36" t="s">
        <v>2046</v>
      </c>
      <c r="B226" s="46" t="s">
        <v>3207</v>
      </c>
      <c r="C226" s="118" t="s">
        <v>3208</v>
      </c>
      <c r="D226" s="36"/>
      <c r="E226" s="36">
        <v>13047</v>
      </c>
      <c r="F226" s="17">
        <f t="shared" si="6"/>
        <v>34125</v>
      </c>
    </row>
    <row r="227" ht="15.75" spans="1:6">
      <c r="A227" s="36" t="s">
        <v>2046</v>
      </c>
      <c r="B227" s="46" t="s">
        <v>253</v>
      </c>
      <c r="C227" s="118" t="s">
        <v>157</v>
      </c>
      <c r="D227" s="93">
        <v>3372</v>
      </c>
      <c r="E227" s="36"/>
      <c r="F227" s="17">
        <f t="shared" si="6"/>
        <v>30753</v>
      </c>
    </row>
    <row r="228" ht="15.75" spans="1:6">
      <c r="A228" s="36" t="s">
        <v>2046</v>
      </c>
      <c r="B228" s="46" t="s">
        <v>253</v>
      </c>
      <c r="C228" s="118" t="s">
        <v>555</v>
      </c>
      <c r="D228" s="93">
        <v>9347</v>
      </c>
      <c r="E228" s="36"/>
      <c r="F228" s="17">
        <f t="shared" si="6"/>
        <v>21406</v>
      </c>
    </row>
    <row r="229" ht="15.75" spans="1:6">
      <c r="A229" s="36" t="s">
        <v>2180</v>
      </c>
      <c r="B229" s="46" t="s">
        <v>3209</v>
      </c>
      <c r="C229" s="118" t="s">
        <v>3210</v>
      </c>
      <c r="D229" s="36"/>
      <c r="E229" s="36">
        <v>7803</v>
      </c>
      <c r="F229" s="17">
        <f t="shared" si="6"/>
        <v>29209</v>
      </c>
    </row>
    <row r="230" ht="15.75" spans="1:6">
      <c r="A230" s="36" t="s">
        <v>2180</v>
      </c>
      <c r="B230" s="46" t="s">
        <v>253</v>
      </c>
      <c r="C230" s="118" t="s">
        <v>157</v>
      </c>
      <c r="D230" s="93">
        <v>11000</v>
      </c>
      <c r="E230" s="36"/>
      <c r="F230" s="17">
        <f t="shared" si="6"/>
        <v>18209</v>
      </c>
    </row>
    <row r="231" ht="15.75" spans="1:6">
      <c r="A231" s="36" t="s">
        <v>3211</v>
      </c>
      <c r="B231" s="46" t="s">
        <v>253</v>
      </c>
      <c r="C231" s="118" t="s">
        <v>157</v>
      </c>
      <c r="D231" s="93">
        <v>2047</v>
      </c>
      <c r="E231" s="36"/>
      <c r="F231" s="17">
        <f t="shared" si="6"/>
        <v>16162</v>
      </c>
    </row>
    <row r="232" ht="15.75" spans="1:6">
      <c r="A232" s="36" t="s">
        <v>2178</v>
      </c>
      <c r="B232" s="46" t="s">
        <v>3212</v>
      </c>
      <c r="C232" s="118" t="s">
        <v>179</v>
      </c>
      <c r="D232" s="36"/>
      <c r="E232" s="36">
        <v>2601</v>
      </c>
      <c r="F232" s="17">
        <f t="shared" si="6"/>
        <v>18763</v>
      </c>
    </row>
    <row r="233" ht="15.75" spans="1:6">
      <c r="A233" s="36" t="s">
        <v>554</v>
      </c>
      <c r="B233" s="46" t="s">
        <v>253</v>
      </c>
      <c r="C233" s="118" t="s">
        <v>157</v>
      </c>
      <c r="D233" s="36">
        <v>2600</v>
      </c>
      <c r="E233" s="36"/>
      <c r="F233" s="17">
        <f t="shared" si="6"/>
        <v>16163</v>
      </c>
    </row>
    <row r="234" ht="15.75" spans="1:6">
      <c r="A234" s="119">
        <v>45666</v>
      </c>
      <c r="B234" s="46" t="s">
        <v>253</v>
      </c>
      <c r="C234" s="118" t="s">
        <v>157</v>
      </c>
      <c r="D234" s="36">
        <v>7800</v>
      </c>
      <c r="E234" s="36"/>
      <c r="F234" s="17">
        <f t="shared" si="6"/>
        <v>8363</v>
      </c>
    </row>
    <row r="235" ht="15.75" spans="1:6">
      <c r="A235" s="119">
        <v>45725</v>
      </c>
      <c r="B235" s="46" t="s">
        <v>3213</v>
      </c>
      <c r="C235" s="118" t="s">
        <v>1616</v>
      </c>
      <c r="D235" s="36"/>
      <c r="E235" s="36">
        <v>13178</v>
      </c>
      <c r="F235" s="17">
        <f t="shared" si="6"/>
        <v>21541</v>
      </c>
    </row>
    <row r="236" ht="15.75" spans="1:6">
      <c r="A236" s="119">
        <v>45725</v>
      </c>
      <c r="B236" s="46" t="s">
        <v>3214</v>
      </c>
      <c r="C236" s="118" t="s">
        <v>3215</v>
      </c>
      <c r="D236" s="36"/>
      <c r="E236" s="36">
        <v>4232</v>
      </c>
      <c r="F236" s="17">
        <f t="shared" si="6"/>
        <v>25773</v>
      </c>
    </row>
    <row r="237" ht="15.75" spans="1:6">
      <c r="A237" s="119">
        <v>45756</v>
      </c>
      <c r="B237" s="46" t="s">
        <v>253</v>
      </c>
      <c r="C237" s="118" t="s">
        <v>157</v>
      </c>
      <c r="D237" s="36">
        <v>4232</v>
      </c>
      <c r="E237" s="36"/>
      <c r="F237" s="17">
        <f t="shared" si="6"/>
        <v>21541</v>
      </c>
    </row>
    <row r="238" ht="15.75" spans="1:6">
      <c r="A238" s="119"/>
      <c r="B238" s="46" t="s">
        <v>253</v>
      </c>
      <c r="C238" s="118" t="s">
        <v>157</v>
      </c>
      <c r="D238" s="36">
        <v>5000</v>
      </c>
      <c r="E238" s="36"/>
      <c r="F238" s="17">
        <f t="shared" si="6"/>
        <v>16541</v>
      </c>
    </row>
    <row r="239" ht="15.75" spans="1:6">
      <c r="A239" s="119">
        <v>45756</v>
      </c>
      <c r="B239" s="46" t="s">
        <v>3216</v>
      </c>
      <c r="C239" s="118" t="s">
        <v>1616</v>
      </c>
      <c r="D239" s="36"/>
      <c r="E239" s="36">
        <v>7338</v>
      </c>
      <c r="F239" s="17">
        <f t="shared" si="6"/>
        <v>23879</v>
      </c>
    </row>
    <row r="240" ht="15.75" spans="1:6">
      <c r="A240" s="119">
        <v>45817</v>
      </c>
      <c r="B240" s="46" t="s">
        <v>3217</v>
      </c>
      <c r="C240" s="118" t="s">
        <v>1616</v>
      </c>
      <c r="D240" s="36"/>
      <c r="E240" s="36">
        <v>12133</v>
      </c>
      <c r="F240" s="17">
        <f t="shared" si="6"/>
        <v>36012</v>
      </c>
    </row>
    <row r="241" ht="15.75" spans="1:6">
      <c r="A241" s="119">
        <v>45817</v>
      </c>
      <c r="B241" s="46" t="s">
        <v>253</v>
      </c>
      <c r="C241" s="118" t="s">
        <v>157</v>
      </c>
      <c r="D241" s="36">
        <v>8178</v>
      </c>
      <c r="E241" s="36"/>
      <c r="F241" s="17">
        <f t="shared" si="6"/>
        <v>27834</v>
      </c>
    </row>
    <row r="242" ht="15.75" spans="1:6">
      <c r="A242" s="119"/>
      <c r="B242" s="46" t="s">
        <v>253</v>
      </c>
      <c r="C242" s="118" t="s">
        <v>101</v>
      </c>
      <c r="D242" s="36">
        <v>7838</v>
      </c>
      <c r="E242" s="36"/>
      <c r="F242" s="17">
        <f t="shared" si="6"/>
        <v>19996</v>
      </c>
    </row>
    <row r="243" ht="15.75" spans="1:6">
      <c r="A243" s="119">
        <v>45909</v>
      </c>
      <c r="B243" s="46" t="s">
        <v>253</v>
      </c>
      <c r="C243" s="118" t="s">
        <v>157</v>
      </c>
      <c r="D243" s="36">
        <v>12133</v>
      </c>
      <c r="E243" s="36"/>
      <c r="F243" s="17">
        <f t="shared" si="6"/>
        <v>7863</v>
      </c>
    </row>
    <row r="244" ht="15.75" spans="1:6">
      <c r="A244" s="119">
        <v>45939</v>
      </c>
      <c r="B244" s="46" t="s">
        <v>3218</v>
      </c>
      <c r="C244" s="118" t="s">
        <v>3219</v>
      </c>
      <c r="D244" s="36"/>
      <c r="E244" s="36">
        <v>750</v>
      </c>
      <c r="F244" s="17">
        <f t="shared" si="6"/>
        <v>8613</v>
      </c>
    </row>
    <row r="245" ht="15.75" spans="1:6">
      <c r="A245" s="119">
        <v>45939</v>
      </c>
      <c r="B245" s="46" t="s">
        <v>3220</v>
      </c>
      <c r="C245" s="118" t="s">
        <v>3221</v>
      </c>
      <c r="D245" s="36"/>
      <c r="E245" s="36">
        <v>6678</v>
      </c>
      <c r="F245" s="17">
        <f t="shared" si="6"/>
        <v>15291</v>
      </c>
    </row>
    <row r="246" ht="15.75" spans="1:6">
      <c r="A246" s="119">
        <v>45970</v>
      </c>
      <c r="B246" s="46" t="s">
        <v>3222</v>
      </c>
      <c r="C246" s="118" t="s">
        <v>2705</v>
      </c>
      <c r="D246" s="36"/>
      <c r="E246" s="36">
        <v>12317</v>
      </c>
      <c r="F246" s="17">
        <f t="shared" si="6"/>
        <v>27608</v>
      </c>
    </row>
    <row r="247" ht="15.75" spans="1:6">
      <c r="A247" s="119">
        <v>45970</v>
      </c>
      <c r="B247" s="46" t="s">
        <v>253</v>
      </c>
      <c r="C247" s="118" t="s">
        <v>157</v>
      </c>
      <c r="D247" s="36">
        <v>6678</v>
      </c>
      <c r="E247" s="36"/>
      <c r="F247" s="17">
        <f t="shared" si="6"/>
        <v>20930</v>
      </c>
    </row>
    <row r="248" ht="15.75" spans="1:6">
      <c r="A248" s="119"/>
      <c r="B248" s="46" t="s">
        <v>253</v>
      </c>
      <c r="C248" s="118" t="s">
        <v>157</v>
      </c>
      <c r="D248" s="36">
        <v>750</v>
      </c>
      <c r="E248" s="36"/>
      <c r="F248" s="17">
        <f t="shared" si="6"/>
        <v>20180</v>
      </c>
    </row>
    <row r="249" ht="15.75" spans="1:6">
      <c r="A249" s="119" t="s">
        <v>2061</v>
      </c>
      <c r="B249" s="46" t="s">
        <v>3223</v>
      </c>
      <c r="C249" s="118" t="s">
        <v>2705</v>
      </c>
      <c r="D249" s="36"/>
      <c r="E249" s="36">
        <v>12541</v>
      </c>
      <c r="F249" s="17">
        <f t="shared" si="6"/>
        <v>32721</v>
      </c>
    </row>
    <row r="250" ht="15.75" spans="1:6">
      <c r="A250" s="119" t="s">
        <v>2061</v>
      </c>
      <c r="B250" s="46" t="s">
        <v>253</v>
      </c>
      <c r="C250" s="118" t="s">
        <v>157</v>
      </c>
      <c r="D250" s="36">
        <v>9000</v>
      </c>
      <c r="E250" s="36"/>
      <c r="F250" s="17">
        <f t="shared" si="6"/>
        <v>23721</v>
      </c>
    </row>
    <row r="251" ht="15.75" spans="1:6">
      <c r="A251" s="119" t="s">
        <v>1682</v>
      </c>
      <c r="B251" s="46" t="s">
        <v>253</v>
      </c>
      <c r="C251" s="118" t="s">
        <v>157</v>
      </c>
      <c r="D251" s="36">
        <v>3317</v>
      </c>
      <c r="E251" s="36"/>
      <c r="F251" s="17">
        <f t="shared" si="6"/>
        <v>20404</v>
      </c>
    </row>
    <row r="252" ht="15.75" spans="1:6">
      <c r="A252" s="119"/>
      <c r="B252" s="46" t="s">
        <v>253</v>
      </c>
      <c r="C252" s="118" t="s">
        <v>157</v>
      </c>
      <c r="D252" s="36">
        <v>5683</v>
      </c>
      <c r="E252" s="36"/>
      <c r="F252" s="17">
        <f t="shared" si="6"/>
        <v>14721</v>
      </c>
    </row>
    <row r="253" ht="15.75" spans="1:6">
      <c r="A253" s="119" t="s">
        <v>2217</v>
      </c>
      <c r="B253" s="46" t="s">
        <v>3224</v>
      </c>
      <c r="C253" s="118" t="s">
        <v>2530</v>
      </c>
      <c r="D253" s="36"/>
      <c r="E253" s="36">
        <v>5708</v>
      </c>
      <c r="F253" s="17">
        <f t="shared" si="6"/>
        <v>20429</v>
      </c>
    </row>
    <row r="254" ht="15.75" spans="1:6">
      <c r="A254" s="119" t="s">
        <v>2220</v>
      </c>
      <c r="B254" s="46" t="s">
        <v>3225</v>
      </c>
      <c r="C254" s="118" t="s">
        <v>3226</v>
      </c>
      <c r="D254" s="36"/>
      <c r="E254" s="36">
        <v>8133</v>
      </c>
      <c r="F254" s="17">
        <f t="shared" si="6"/>
        <v>28562</v>
      </c>
    </row>
    <row r="255" ht="15.75" spans="1:6">
      <c r="A255" s="119"/>
      <c r="B255" s="46" t="s">
        <v>3227</v>
      </c>
      <c r="C255" s="118" t="s">
        <v>3226</v>
      </c>
      <c r="D255" s="36"/>
      <c r="E255" s="36">
        <v>15493</v>
      </c>
      <c r="F255" s="17">
        <f t="shared" si="6"/>
        <v>44055</v>
      </c>
    </row>
    <row r="256" ht="15.75" spans="1:6">
      <c r="A256" s="119"/>
      <c r="B256" s="46" t="s">
        <v>3228</v>
      </c>
      <c r="C256" s="118" t="s">
        <v>2509</v>
      </c>
      <c r="D256" s="36"/>
      <c r="E256" s="36">
        <v>3690</v>
      </c>
      <c r="F256" s="17">
        <f t="shared" si="6"/>
        <v>47745</v>
      </c>
    </row>
    <row r="257" ht="15.75" spans="1:6">
      <c r="A257" s="119" t="s">
        <v>2220</v>
      </c>
      <c r="B257" s="46" t="s">
        <v>253</v>
      </c>
      <c r="C257" s="118" t="s">
        <v>157</v>
      </c>
      <c r="D257" s="36">
        <v>6858</v>
      </c>
      <c r="E257" s="36"/>
      <c r="F257" s="17">
        <f t="shared" si="6"/>
        <v>40887</v>
      </c>
    </row>
    <row r="258" ht="15.75" spans="1:6">
      <c r="A258" s="119"/>
      <c r="B258" s="46" t="s">
        <v>253</v>
      </c>
      <c r="C258" s="118" t="s">
        <v>157</v>
      </c>
      <c r="D258" s="36">
        <v>8133</v>
      </c>
      <c r="E258" s="36"/>
      <c r="F258" s="17">
        <f t="shared" si="6"/>
        <v>32754</v>
      </c>
    </row>
    <row r="259" ht="15.75" spans="1:6">
      <c r="A259" s="119" t="s">
        <v>2074</v>
      </c>
      <c r="B259" s="46" t="s">
        <v>3229</v>
      </c>
      <c r="C259" s="118" t="s">
        <v>2364</v>
      </c>
      <c r="D259" s="36"/>
      <c r="E259" s="36">
        <v>4800</v>
      </c>
      <c r="F259" s="17">
        <f t="shared" si="6"/>
        <v>37554</v>
      </c>
    </row>
    <row r="260" ht="15.75" spans="1:6">
      <c r="A260" s="119" t="s">
        <v>2074</v>
      </c>
      <c r="B260" s="46" t="s">
        <v>253</v>
      </c>
      <c r="C260" s="118" t="s">
        <v>157</v>
      </c>
      <c r="D260" s="36">
        <v>3690</v>
      </c>
      <c r="E260" s="36"/>
      <c r="F260" s="17">
        <f t="shared" si="6"/>
        <v>33864</v>
      </c>
    </row>
    <row r="261" ht="15.75" spans="1:6">
      <c r="A261" s="119"/>
      <c r="B261" s="46" t="s">
        <v>253</v>
      </c>
      <c r="C261" s="118" t="s">
        <v>157</v>
      </c>
      <c r="D261" s="36">
        <v>5708</v>
      </c>
      <c r="E261" s="36"/>
      <c r="F261" s="17">
        <f t="shared" si="6"/>
        <v>28156</v>
      </c>
    </row>
    <row r="262" ht="15.75" spans="1:6">
      <c r="A262" s="119" t="s">
        <v>2074</v>
      </c>
      <c r="B262" s="46" t="s">
        <v>3230</v>
      </c>
      <c r="C262" s="118" t="s">
        <v>2530</v>
      </c>
      <c r="D262" s="36"/>
      <c r="E262" s="36">
        <v>3262</v>
      </c>
      <c r="F262" s="17">
        <f t="shared" si="6"/>
        <v>31418</v>
      </c>
    </row>
    <row r="263" ht="15.75" spans="1:6">
      <c r="A263" s="119" t="s">
        <v>2078</v>
      </c>
      <c r="B263" s="46" t="s">
        <v>3231</v>
      </c>
      <c r="C263" s="118" t="s">
        <v>2513</v>
      </c>
      <c r="D263" s="36"/>
      <c r="E263" s="36">
        <v>32555</v>
      </c>
      <c r="F263" s="17">
        <f t="shared" si="6"/>
        <v>63973</v>
      </c>
    </row>
    <row r="264" ht="15.75" spans="1:6">
      <c r="A264" s="119" t="s">
        <v>2078</v>
      </c>
      <c r="B264" s="46" t="s">
        <v>253</v>
      </c>
      <c r="C264" s="118" t="s">
        <v>101</v>
      </c>
      <c r="D264" s="36">
        <v>3262</v>
      </c>
      <c r="E264" s="36"/>
      <c r="F264" s="17">
        <f t="shared" si="6"/>
        <v>60711</v>
      </c>
    </row>
    <row r="265" ht="15.75" spans="1:6">
      <c r="A265" s="119" t="s">
        <v>2078</v>
      </c>
      <c r="B265" s="46" t="s">
        <v>253</v>
      </c>
      <c r="C265" s="118" t="s">
        <v>101</v>
      </c>
      <c r="D265" s="36">
        <v>15493</v>
      </c>
      <c r="E265" s="36"/>
      <c r="F265" s="17">
        <f t="shared" si="6"/>
        <v>45218</v>
      </c>
    </row>
    <row r="266" ht="15.75" spans="1:6">
      <c r="A266" s="119" t="s">
        <v>2227</v>
      </c>
      <c r="B266" s="46" t="s">
        <v>253</v>
      </c>
      <c r="C266" s="118" t="s">
        <v>157</v>
      </c>
      <c r="D266" s="36">
        <v>17000</v>
      </c>
      <c r="E266" s="36"/>
      <c r="F266" s="17">
        <f t="shared" si="6"/>
        <v>28218</v>
      </c>
    </row>
    <row r="267" ht="15.75" spans="1:6">
      <c r="A267" s="119"/>
      <c r="B267" s="46" t="s">
        <v>253</v>
      </c>
      <c r="C267" s="118" t="s">
        <v>101</v>
      </c>
      <c r="D267" s="36">
        <v>13000</v>
      </c>
      <c r="E267" s="36"/>
      <c r="F267" s="17">
        <f t="shared" si="6"/>
        <v>15218</v>
      </c>
    </row>
    <row r="268" ht="15.75" spans="1:6">
      <c r="A268" s="119"/>
      <c r="B268" s="46" t="s">
        <v>253</v>
      </c>
      <c r="C268" s="118" t="s">
        <v>101</v>
      </c>
      <c r="D268" s="36">
        <v>2500</v>
      </c>
      <c r="E268" s="36"/>
      <c r="F268" s="17">
        <f t="shared" si="6"/>
        <v>12718</v>
      </c>
    </row>
    <row r="269" ht="15.75" spans="1:6">
      <c r="A269" s="119" t="s">
        <v>2235</v>
      </c>
      <c r="B269" s="46" t="s">
        <v>3232</v>
      </c>
      <c r="C269" s="118" t="s">
        <v>3233</v>
      </c>
      <c r="D269" s="36"/>
      <c r="E269" s="36">
        <v>6547</v>
      </c>
      <c r="F269" s="17">
        <f t="shared" si="6"/>
        <v>19265</v>
      </c>
    </row>
    <row r="270" ht="15.75" spans="1:6">
      <c r="A270" s="119" t="s">
        <v>2082</v>
      </c>
      <c r="B270" s="46" t="s">
        <v>253</v>
      </c>
      <c r="C270" s="118" t="s">
        <v>101</v>
      </c>
      <c r="D270" s="36">
        <v>6550</v>
      </c>
      <c r="E270" s="36"/>
      <c r="F270" s="17">
        <f t="shared" si="6"/>
        <v>12715</v>
      </c>
    </row>
    <row r="271" ht="15.75" spans="1:6">
      <c r="A271" s="119" t="s">
        <v>2204</v>
      </c>
      <c r="B271" s="46" t="s">
        <v>3234</v>
      </c>
      <c r="C271" s="118" t="s">
        <v>2513</v>
      </c>
      <c r="D271" s="36"/>
      <c r="E271" s="36">
        <v>3922</v>
      </c>
      <c r="F271" s="17">
        <f t="shared" si="6"/>
        <v>16637</v>
      </c>
    </row>
    <row r="272" ht="15.75" spans="1:6">
      <c r="A272" s="119" t="s">
        <v>2240</v>
      </c>
      <c r="B272" s="46" t="s">
        <v>253</v>
      </c>
      <c r="C272" s="118" t="s">
        <v>157</v>
      </c>
      <c r="D272" s="36">
        <v>3922</v>
      </c>
      <c r="E272" s="36"/>
      <c r="F272" s="17">
        <f t="shared" si="6"/>
        <v>12715</v>
      </c>
    </row>
    <row r="273" ht="15.75" spans="1:6">
      <c r="A273" s="119" t="s">
        <v>705</v>
      </c>
      <c r="B273" s="46" t="s">
        <v>3235</v>
      </c>
      <c r="C273" s="118" t="s">
        <v>2368</v>
      </c>
      <c r="D273" s="36"/>
      <c r="E273" s="36">
        <v>6502</v>
      </c>
      <c r="F273" s="17">
        <f t="shared" si="6"/>
        <v>19217</v>
      </c>
    </row>
    <row r="274" ht="15.75" spans="1:6">
      <c r="A274" s="119" t="s">
        <v>2087</v>
      </c>
      <c r="B274" s="46" t="s">
        <v>253</v>
      </c>
      <c r="C274" s="118" t="s">
        <v>157</v>
      </c>
      <c r="D274" s="36">
        <v>6500</v>
      </c>
      <c r="E274" s="36"/>
      <c r="F274" s="17">
        <f t="shared" si="6"/>
        <v>12717</v>
      </c>
    </row>
    <row r="275" ht="15.75" spans="1:6">
      <c r="A275" s="119">
        <v>45698</v>
      </c>
      <c r="B275" s="46" t="s">
        <v>3236</v>
      </c>
      <c r="C275" s="118" t="s">
        <v>3237</v>
      </c>
      <c r="D275" s="36"/>
      <c r="E275" s="36">
        <v>5237</v>
      </c>
      <c r="F275" s="17">
        <f t="shared" si="6"/>
        <v>17954</v>
      </c>
    </row>
    <row r="276" ht="15.75" spans="1:6">
      <c r="A276" s="119">
        <v>45757</v>
      </c>
      <c r="B276" s="46" t="s">
        <v>253</v>
      </c>
      <c r="C276" s="118" t="s">
        <v>101</v>
      </c>
      <c r="D276" s="36">
        <v>5237</v>
      </c>
      <c r="E276" s="36"/>
      <c r="F276" s="17">
        <f t="shared" si="6"/>
        <v>12717</v>
      </c>
    </row>
    <row r="277" ht="15.75" spans="1:6">
      <c r="A277" s="119">
        <v>45787</v>
      </c>
      <c r="B277" s="46" t="s">
        <v>3238</v>
      </c>
      <c r="C277" s="118" t="s">
        <v>2513</v>
      </c>
      <c r="D277" s="36"/>
      <c r="E277" s="36">
        <v>4947</v>
      </c>
      <c r="F277" s="17">
        <f t="shared" si="6"/>
        <v>17664</v>
      </c>
    </row>
    <row r="278" ht="15.75" spans="1:6">
      <c r="A278" s="119">
        <v>45848</v>
      </c>
      <c r="B278" s="46" t="s">
        <v>253</v>
      </c>
      <c r="C278" s="118" t="s">
        <v>101</v>
      </c>
      <c r="D278" s="36">
        <v>4947</v>
      </c>
      <c r="E278" s="36"/>
      <c r="F278" s="17">
        <f t="shared" si="6"/>
        <v>12717</v>
      </c>
    </row>
    <row r="279" ht="15.75" spans="1:6">
      <c r="A279" s="119">
        <v>45879</v>
      </c>
      <c r="B279" s="46" t="s">
        <v>3239</v>
      </c>
      <c r="C279" s="118" t="s">
        <v>3240</v>
      </c>
      <c r="D279" s="36"/>
      <c r="E279" s="36">
        <v>2000</v>
      </c>
      <c r="F279" s="17">
        <f t="shared" si="6"/>
        <v>14717</v>
      </c>
    </row>
    <row r="280" ht="15.75" spans="1:6">
      <c r="A280" s="119">
        <v>45910</v>
      </c>
      <c r="B280" s="46" t="s">
        <v>253</v>
      </c>
      <c r="C280" s="118" t="s">
        <v>157</v>
      </c>
      <c r="D280" s="36">
        <v>2000</v>
      </c>
      <c r="E280" s="36"/>
      <c r="F280" s="17">
        <f t="shared" si="6"/>
        <v>12717</v>
      </c>
    </row>
    <row r="281" ht="15.75" spans="1:6">
      <c r="A281" s="119">
        <v>45901</v>
      </c>
      <c r="B281" s="46" t="s">
        <v>3241</v>
      </c>
      <c r="C281" s="118" t="s">
        <v>3242</v>
      </c>
      <c r="D281" s="36"/>
      <c r="E281" s="36">
        <v>6536</v>
      </c>
      <c r="F281" s="17">
        <f t="shared" si="6"/>
        <v>19253</v>
      </c>
    </row>
    <row r="282" ht="15.75" spans="1:6">
      <c r="A282" s="119">
        <v>45971</v>
      </c>
      <c r="B282" s="46" t="s">
        <v>253</v>
      </c>
      <c r="C282" s="118" t="s">
        <v>313</v>
      </c>
      <c r="D282" s="36">
        <v>530</v>
      </c>
      <c r="E282" s="36"/>
      <c r="F282" s="17">
        <f t="shared" si="6"/>
        <v>18723</v>
      </c>
    </row>
    <row r="283" ht="15.75" spans="1:6">
      <c r="A283" s="119"/>
      <c r="B283" s="46" t="s">
        <v>253</v>
      </c>
      <c r="C283" s="118" t="s">
        <v>101</v>
      </c>
      <c r="D283" s="36">
        <v>6000</v>
      </c>
      <c r="E283" s="36"/>
      <c r="F283" s="17">
        <f t="shared" si="6"/>
        <v>12723</v>
      </c>
    </row>
    <row r="284" ht="15.75" spans="1:6">
      <c r="A284" s="119">
        <v>45971</v>
      </c>
      <c r="B284" s="46" t="s">
        <v>3243</v>
      </c>
      <c r="C284" s="118" t="s">
        <v>2530</v>
      </c>
      <c r="D284" s="36"/>
      <c r="E284" s="36">
        <v>8155</v>
      </c>
      <c r="F284" s="17">
        <f t="shared" si="6"/>
        <v>20878</v>
      </c>
    </row>
    <row r="285" ht="15.75" spans="1:6">
      <c r="A285" s="119" t="s">
        <v>729</v>
      </c>
      <c r="B285" s="46" t="s">
        <v>253</v>
      </c>
      <c r="C285" s="118" t="s">
        <v>313</v>
      </c>
      <c r="D285" s="36">
        <v>4000</v>
      </c>
      <c r="E285" s="36"/>
      <c r="F285" s="17">
        <f t="shared" si="6"/>
        <v>16878</v>
      </c>
    </row>
    <row r="286" ht="15.75" spans="1:6">
      <c r="A286" s="119" t="s">
        <v>2753</v>
      </c>
      <c r="B286" s="46" t="s">
        <v>3244</v>
      </c>
      <c r="C286" s="118" t="s">
        <v>2530</v>
      </c>
      <c r="D286" s="36"/>
      <c r="E286" s="36">
        <v>1631</v>
      </c>
      <c r="F286" s="17">
        <f t="shared" si="6"/>
        <v>18509</v>
      </c>
    </row>
    <row r="287" ht="15.75" spans="1:6">
      <c r="A287" s="119" t="s">
        <v>2753</v>
      </c>
      <c r="B287" s="46" t="s">
        <v>253</v>
      </c>
      <c r="C287" s="118" t="s">
        <v>157</v>
      </c>
      <c r="D287" s="36">
        <v>1630</v>
      </c>
      <c r="E287" s="36"/>
      <c r="F287" s="17">
        <f t="shared" si="6"/>
        <v>16879</v>
      </c>
    </row>
    <row r="288" ht="15.75" spans="1:6">
      <c r="A288" s="119" t="s">
        <v>1755</v>
      </c>
      <c r="B288" s="46" t="s">
        <v>3245</v>
      </c>
      <c r="C288" s="118" t="s">
        <v>3246</v>
      </c>
      <c r="D288" s="36"/>
      <c r="E288" s="36">
        <v>7339</v>
      </c>
      <c r="F288" s="17">
        <f t="shared" si="6"/>
        <v>24218</v>
      </c>
    </row>
    <row r="289" ht="15.75" spans="1:6">
      <c r="A289" s="119" t="s">
        <v>2548</v>
      </c>
      <c r="B289" s="46" t="s">
        <v>3247</v>
      </c>
      <c r="C289" s="118" t="s">
        <v>3248</v>
      </c>
      <c r="D289" s="36"/>
      <c r="E289" s="36">
        <v>11085</v>
      </c>
      <c r="F289" s="17">
        <f t="shared" si="6"/>
        <v>35303</v>
      </c>
    </row>
    <row r="290" ht="15.75" spans="1:6">
      <c r="A290" s="119" t="s">
        <v>2548</v>
      </c>
      <c r="B290" s="46" t="s">
        <v>253</v>
      </c>
      <c r="C290" s="118" t="s">
        <v>157</v>
      </c>
      <c r="D290" s="36">
        <v>7340</v>
      </c>
      <c r="E290" s="36"/>
      <c r="F290" s="17">
        <f t="shared" si="6"/>
        <v>27963</v>
      </c>
    </row>
    <row r="291" ht="15.75" spans="1:6">
      <c r="A291" s="119" t="s">
        <v>2272</v>
      </c>
      <c r="B291" s="46" t="s">
        <v>253</v>
      </c>
      <c r="C291" s="118" t="s">
        <v>157</v>
      </c>
      <c r="D291" s="36">
        <v>7060</v>
      </c>
      <c r="E291" s="36"/>
      <c r="F291" s="17">
        <f t="shared" si="6"/>
        <v>20903</v>
      </c>
    </row>
    <row r="292" ht="15.75" spans="1:6">
      <c r="A292" s="119"/>
      <c r="B292" s="46" t="s">
        <v>253</v>
      </c>
      <c r="C292" s="118" t="s">
        <v>101</v>
      </c>
      <c r="D292" s="36">
        <v>4155</v>
      </c>
      <c r="E292" s="36"/>
      <c r="F292" s="17">
        <f t="shared" si="6"/>
        <v>16748</v>
      </c>
    </row>
    <row r="293" ht="15.75" spans="1:6">
      <c r="A293" s="119" t="s">
        <v>2272</v>
      </c>
      <c r="B293" s="46" t="s">
        <v>3249</v>
      </c>
      <c r="C293" s="118" t="s">
        <v>2368</v>
      </c>
      <c r="D293" s="36"/>
      <c r="E293" s="36">
        <v>6502</v>
      </c>
      <c r="F293" s="17">
        <f t="shared" si="6"/>
        <v>23250</v>
      </c>
    </row>
    <row r="294" ht="15.75" spans="1:6">
      <c r="A294" s="119" t="s">
        <v>2275</v>
      </c>
      <c r="B294" s="46" t="s">
        <v>253</v>
      </c>
      <c r="C294" s="118" t="s">
        <v>101</v>
      </c>
      <c r="D294" s="36">
        <v>4025</v>
      </c>
      <c r="E294" s="36"/>
      <c r="F294" s="17">
        <f t="shared" si="6"/>
        <v>19225</v>
      </c>
    </row>
    <row r="295" ht="15.75" spans="1:6">
      <c r="A295" s="119">
        <v>45727</v>
      </c>
      <c r="B295" s="46" t="s">
        <v>3250</v>
      </c>
      <c r="C295" s="118" t="s">
        <v>140</v>
      </c>
      <c r="D295" s="36"/>
      <c r="E295" s="36">
        <v>4969</v>
      </c>
      <c r="F295" s="17">
        <f t="shared" ref="F295:F302" si="7">E295+F294-D295</f>
        <v>24194</v>
      </c>
    </row>
    <row r="296" ht="15.75" spans="1:6">
      <c r="A296" s="119">
        <v>45788</v>
      </c>
      <c r="B296" s="46" t="s">
        <v>253</v>
      </c>
      <c r="C296" s="118" t="s">
        <v>157</v>
      </c>
      <c r="D296" s="36">
        <v>6500</v>
      </c>
      <c r="E296" s="36"/>
      <c r="F296" s="17">
        <f t="shared" si="7"/>
        <v>17694</v>
      </c>
    </row>
    <row r="297" ht="15.75" spans="1:6">
      <c r="A297" s="119">
        <v>45788</v>
      </c>
      <c r="B297" s="46" t="s">
        <v>3251</v>
      </c>
      <c r="C297" s="118" t="s">
        <v>3252</v>
      </c>
      <c r="D297" s="36"/>
      <c r="E297" s="36">
        <v>10930</v>
      </c>
      <c r="F297" s="17">
        <f t="shared" si="7"/>
        <v>28624</v>
      </c>
    </row>
    <row r="298" ht="15.75" spans="1:6">
      <c r="A298" s="119">
        <v>45911</v>
      </c>
      <c r="B298" s="46" t="s">
        <v>253</v>
      </c>
      <c r="C298" s="118" t="s">
        <v>313</v>
      </c>
      <c r="D298" s="36">
        <v>10930</v>
      </c>
      <c r="E298" s="36"/>
      <c r="F298" s="17">
        <f t="shared" si="7"/>
        <v>17694</v>
      </c>
    </row>
    <row r="299" ht="15.75" spans="1:6">
      <c r="A299" s="119">
        <v>45911</v>
      </c>
      <c r="B299" s="46" t="s">
        <v>3253</v>
      </c>
      <c r="C299" s="118" t="s">
        <v>3215</v>
      </c>
      <c r="D299" s="36"/>
      <c r="E299" s="36">
        <v>5047</v>
      </c>
      <c r="F299" s="17">
        <f t="shared" si="7"/>
        <v>22741</v>
      </c>
    </row>
    <row r="300" ht="15.75" spans="1:6">
      <c r="A300" s="119">
        <v>45911</v>
      </c>
      <c r="B300" s="46" t="s">
        <v>3254</v>
      </c>
      <c r="C300" s="118" t="s">
        <v>2461</v>
      </c>
      <c r="D300" s="36"/>
      <c r="E300" s="36">
        <v>1476</v>
      </c>
      <c r="F300" s="17">
        <f t="shared" si="7"/>
        <v>24217</v>
      </c>
    </row>
    <row r="301" ht="15.75" spans="1:6">
      <c r="A301" s="119">
        <v>45972</v>
      </c>
      <c r="B301" s="46" t="s">
        <v>253</v>
      </c>
      <c r="C301" s="118" t="s">
        <v>313</v>
      </c>
      <c r="D301" s="36">
        <v>1476</v>
      </c>
      <c r="E301" s="36"/>
      <c r="F301" s="17">
        <f t="shared" si="7"/>
        <v>22741</v>
      </c>
    </row>
    <row r="302" ht="15.75" spans="1:6">
      <c r="A302" s="120">
        <v>46002</v>
      </c>
      <c r="B302" s="121" t="s">
        <v>3255</v>
      </c>
      <c r="C302" s="122" t="s">
        <v>155</v>
      </c>
      <c r="D302" s="51"/>
      <c r="E302" s="51">
        <v>2531</v>
      </c>
      <c r="F302" s="17">
        <f t="shared" ref="F302:F322" si="8">E302+F301-D302</f>
        <v>25272</v>
      </c>
    </row>
    <row r="303" ht="15.75" spans="1:6">
      <c r="A303" s="120" t="s">
        <v>2565</v>
      </c>
      <c r="B303" s="121" t="s">
        <v>3256</v>
      </c>
      <c r="C303" s="122" t="s">
        <v>3257</v>
      </c>
      <c r="D303" s="51"/>
      <c r="E303" s="51">
        <v>10755</v>
      </c>
      <c r="F303" s="17">
        <f t="shared" si="8"/>
        <v>36027</v>
      </c>
    </row>
    <row r="304" ht="15.75" spans="1:6">
      <c r="A304" s="120" t="s">
        <v>2565</v>
      </c>
      <c r="B304" s="121" t="s">
        <v>253</v>
      </c>
      <c r="C304" s="122" t="s">
        <v>694</v>
      </c>
      <c r="D304" s="51">
        <v>5000</v>
      </c>
      <c r="E304" s="51"/>
      <c r="F304" s="17">
        <f t="shared" si="8"/>
        <v>31027</v>
      </c>
    </row>
    <row r="305" ht="15.75" spans="1:6">
      <c r="A305" s="120" t="s">
        <v>2565</v>
      </c>
      <c r="B305" s="121" t="s">
        <v>253</v>
      </c>
      <c r="C305" s="122" t="s">
        <v>3258</v>
      </c>
      <c r="D305" s="51">
        <v>2588</v>
      </c>
      <c r="E305" s="51"/>
      <c r="F305" s="17">
        <f t="shared" si="8"/>
        <v>28439</v>
      </c>
    </row>
    <row r="306" ht="15.75" spans="1:6">
      <c r="A306" s="120" t="s">
        <v>2568</v>
      </c>
      <c r="B306" s="121" t="s">
        <v>3259</v>
      </c>
      <c r="C306" s="122" t="s">
        <v>3215</v>
      </c>
      <c r="D306" s="51"/>
      <c r="E306" s="51">
        <v>8716</v>
      </c>
      <c r="F306" s="17">
        <f t="shared" si="8"/>
        <v>37155</v>
      </c>
    </row>
    <row r="307" ht="15.75" spans="1:6">
      <c r="A307" s="120" t="s">
        <v>2297</v>
      </c>
      <c r="B307" s="121" t="s">
        <v>3260</v>
      </c>
      <c r="C307" s="122" t="s">
        <v>3215</v>
      </c>
      <c r="D307" s="51"/>
      <c r="E307" s="51">
        <v>16638</v>
      </c>
      <c r="F307" s="17">
        <f t="shared" si="8"/>
        <v>53793</v>
      </c>
    </row>
    <row r="308" ht="15.75" spans="1:6">
      <c r="A308" s="120" t="s">
        <v>2297</v>
      </c>
      <c r="B308" s="121" t="s">
        <v>253</v>
      </c>
      <c r="C308" s="122" t="s">
        <v>3261</v>
      </c>
      <c r="D308" s="51">
        <v>10755</v>
      </c>
      <c r="E308" s="51"/>
      <c r="F308" s="17">
        <f t="shared" si="8"/>
        <v>43038</v>
      </c>
    </row>
    <row r="309" ht="15.75" spans="1:6">
      <c r="A309" s="120" t="s">
        <v>2297</v>
      </c>
      <c r="B309" s="121" t="s">
        <v>253</v>
      </c>
      <c r="C309" s="122" t="s">
        <v>3262</v>
      </c>
      <c r="D309" s="51">
        <v>4969</v>
      </c>
      <c r="E309" s="51"/>
      <c r="F309" s="17">
        <f t="shared" si="8"/>
        <v>38069</v>
      </c>
    </row>
    <row r="310" ht="15.75" spans="1:6">
      <c r="A310" s="120" t="s">
        <v>2297</v>
      </c>
      <c r="B310" s="121" t="s">
        <v>253</v>
      </c>
      <c r="C310" s="122" t="s">
        <v>3263</v>
      </c>
      <c r="D310" s="51">
        <v>8716</v>
      </c>
      <c r="E310" s="51"/>
      <c r="F310" s="17">
        <f t="shared" si="8"/>
        <v>29353</v>
      </c>
    </row>
    <row r="311" ht="15.75" spans="1:6">
      <c r="A311" s="120" t="s">
        <v>2582</v>
      </c>
      <c r="B311" s="121" t="s">
        <v>3264</v>
      </c>
      <c r="C311" s="122" t="s">
        <v>176</v>
      </c>
      <c r="D311" s="51"/>
      <c r="E311" s="51">
        <v>16572</v>
      </c>
      <c r="F311" s="17">
        <f t="shared" si="8"/>
        <v>45925</v>
      </c>
    </row>
    <row r="312" ht="15.75" spans="1:6">
      <c r="A312" s="120" t="s">
        <v>2301</v>
      </c>
      <c r="B312" s="121" t="s">
        <v>253</v>
      </c>
      <c r="C312" s="122" t="s">
        <v>694</v>
      </c>
      <c r="D312" s="51">
        <v>5000</v>
      </c>
      <c r="E312" s="51"/>
      <c r="F312" s="17">
        <f t="shared" si="8"/>
        <v>40925</v>
      </c>
    </row>
    <row r="313" ht="15.75" spans="1:6">
      <c r="A313" s="120" t="s">
        <v>2301</v>
      </c>
      <c r="B313" s="121" t="s">
        <v>253</v>
      </c>
      <c r="C313" s="122" t="s">
        <v>2581</v>
      </c>
      <c r="D313" s="51">
        <v>5000</v>
      </c>
      <c r="E313" s="51"/>
      <c r="F313" s="17">
        <f t="shared" si="8"/>
        <v>35925</v>
      </c>
    </row>
    <row r="314" ht="15.75" spans="1:6">
      <c r="A314" s="120" t="s">
        <v>2301</v>
      </c>
      <c r="B314" s="121" t="s">
        <v>3265</v>
      </c>
      <c r="C314" s="122" t="s">
        <v>3055</v>
      </c>
      <c r="D314" s="51"/>
      <c r="E314" s="51">
        <v>15255</v>
      </c>
      <c r="F314" s="17">
        <f t="shared" si="8"/>
        <v>51180</v>
      </c>
    </row>
    <row r="315" ht="15.75" spans="1:6">
      <c r="A315" s="120">
        <v>45669</v>
      </c>
      <c r="B315" s="121" t="s">
        <v>253</v>
      </c>
      <c r="C315" s="122" t="s">
        <v>3266</v>
      </c>
      <c r="D315" s="51">
        <v>6572</v>
      </c>
      <c r="E315" s="51"/>
      <c r="F315" s="17">
        <f t="shared" si="8"/>
        <v>44608</v>
      </c>
    </row>
    <row r="316" ht="15.75" spans="1:6">
      <c r="A316" s="120">
        <v>45700</v>
      </c>
      <c r="B316" s="121" t="s">
        <v>3267</v>
      </c>
      <c r="C316" s="122" t="s">
        <v>2461</v>
      </c>
      <c r="D316" s="51"/>
      <c r="E316" s="51">
        <v>1476</v>
      </c>
      <c r="F316" s="17">
        <f t="shared" si="8"/>
        <v>46084</v>
      </c>
    </row>
    <row r="317" ht="15.75" spans="1:6">
      <c r="A317" s="120">
        <v>45728</v>
      </c>
      <c r="B317" s="121" t="s">
        <v>253</v>
      </c>
      <c r="C317" s="122" t="s">
        <v>694</v>
      </c>
      <c r="D317" s="51">
        <v>1476</v>
      </c>
      <c r="E317" s="51"/>
      <c r="F317" s="17">
        <f t="shared" si="8"/>
        <v>44608</v>
      </c>
    </row>
    <row r="318" ht="15.75" spans="1:6">
      <c r="A318" s="120">
        <v>45759</v>
      </c>
      <c r="B318" s="121" t="s">
        <v>3268</v>
      </c>
      <c r="C318" s="122" t="s">
        <v>3117</v>
      </c>
      <c r="D318" s="51"/>
      <c r="E318" s="51">
        <v>7085</v>
      </c>
      <c r="F318" s="17">
        <f t="shared" si="8"/>
        <v>51693</v>
      </c>
    </row>
    <row r="319" ht="15.75" spans="1:6">
      <c r="A319" s="120">
        <v>45759</v>
      </c>
      <c r="B319" s="121" t="s">
        <v>253</v>
      </c>
      <c r="C319" s="122" t="s">
        <v>694</v>
      </c>
      <c r="D319" s="51">
        <v>15255</v>
      </c>
      <c r="E319" s="51"/>
      <c r="F319" s="17">
        <f t="shared" si="8"/>
        <v>36438</v>
      </c>
    </row>
    <row r="320" ht="15.75" spans="1:6">
      <c r="A320" s="120">
        <v>45759</v>
      </c>
      <c r="B320" s="121" t="s">
        <v>3269</v>
      </c>
      <c r="C320" s="122" t="s">
        <v>2461</v>
      </c>
      <c r="D320" s="51"/>
      <c r="E320" s="51">
        <v>1476</v>
      </c>
      <c r="F320" s="17">
        <f t="shared" si="8"/>
        <v>37914</v>
      </c>
    </row>
    <row r="321" ht="15.75" spans="1:6">
      <c r="A321" s="120">
        <v>45820</v>
      </c>
      <c r="B321" s="121" t="s">
        <v>253</v>
      </c>
      <c r="C321" s="122" t="s">
        <v>694</v>
      </c>
      <c r="D321" s="51">
        <v>1476</v>
      </c>
      <c r="E321" s="51"/>
      <c r="F321" s="17">
        <f t="shared" ref="F321:F332" si="9">E321+F320-D321</f>
        <v>36438</v>
      </c>
    </row>
    <row r="322" ht="15.75" spans="1:6">
      <c r="A322" s="120">
        <v>45850</v>
      </c>
      <c r="B322" s="121" t="s">
        <v>253</v>
      </c>
      <c r="C322" s="122" t="s">
        <v>2564</v>
      </c>
      <c r="D322" s="51">
        <v>7085</v>
      </c>
      <c r="E322" s="51"/>
      <c r="F322" s="17">
        <f t="shared" si="9"/>
        <v>29353</v>
      </c>
    </row>
    <row r="323" ht="15.75" spans="1:6">
      <c r="A323" s="120" t="s">
        <v>2592</v>
      </c>
      <c r="B323" s="121" t="s">
        <v>3270</v>
      </c>
      <c r="C323" s="122" t="s">
        <v>3215</v>
      </c>
      <c r="D323" s="51"/>
      <c r="E323" s="51">
        <v>7494</v>
      </c>
      <c r="F323" s="17">
        <f t="shared" si="9"/>
        <v>36847</v>
      </c>
    </row>
    <row r="324" ht="15.75" spans="1:6">
      <c r="A324" s="120" t="s">
        <v>2592</v>
      </c>
      <c r="B324" s="121" t="s">
        <v>3271</v>
      </c>
      <c r="C324" s="122" t="s">
        <v>2461</v>
      </c>
      <c r="D324" s="51"/>
      <c r="E324" s="51">
        <v>4482</v>
      </c>
      <c r="F324" s="17">
        <f t="shared" si="9"/>
        <v>41329</v>
      </c>
    </row>
    <row r="325" ht="15.75" spans="1:6">
      <c r="A325" s="120" t="s">
        <v>2597</v>
      </c>
      <c r="B325" s="121" t="s">
        <v>253</v>
      </c>
      <c r="C325" s="122" t="s">
        <v>3272</v>
      </c>
      <c r="D325" s="51">
        <v>7494</v>
      </c>
      <c r="E325" s="51"/>
      <c r="F325" s="17">
        <f t="shared" si="9"/>
        <v>33835</v>
      </c>
    </row>
    <row r="326" ht="15.75" spans="1:6">
      <c r="A326" s="120" t="s">
        <v>2597</v>
      </c>
      <c r="B326" s="121" t="s">
        <v>3273</v>
      </c>
      <c r="C326" s="122" t="s">
        <v>3248</v>
      </c>
      <c r="D326" s="51"/>
      <c r="E326" s="51">
        <v>6184</v>
      </c>
      <c r="F326" s="17">
        <f t="shared" si="9"/>
        <v>40019</v>
      </c>
    </row>
    <row r="327" ht="15.75" spans="1:6">
      <c r="A327" s="120" t="s">
        <v>2776</v>
      </c>
      <c r="B327" s="121" t="s">
        <v>253</v>
      </c>
      <c r="C327" s="122" t="s">
        <v>694</v>
      </c>
      <c r="D327" s="51">
        <v>4482</v>
      </c>
      <c r="E327" s="51"/>
      <c r="F327" s="17">
        <f t="shared" si="9"/>
        <v>35537</v>
      </c>
    </row>
    <row r="328" ht="15.75" spans="1:6">
      <c r="A328" s="120" t="s">
        <v>2605</v>
      </c>
      <c r="B328" s="121" t="s">
        <v>3274</v>
      </c>
      <c r="C328" s="122" t="s">
        <v>3210</v>
      </c>
      <c r="D328" s="51"/>
      <c r="E328" s="51">
        <v>7601</v>
      </c>
      <c r="F328" s="17">
        <f t="shared" si="9"/>
        <v>43138</v>
      </c>
    </row>
    <row r="329" ht="15.75" spans="1:6">
      <c r="A329" s="123" t="s">
        <v>595</v>
      </c>
      <c r="B329" s="124" t="s">
        <v>3275</v>
      </c>
      <c r="C329" s="86" t="s">
        <v>3276</v>
      </c>
      <c r="D329" s="125"/>
      <c r="E329" s="125">
        <v>6399</v>
      </c>
      <c r="F329" s="35">
        <f t="shared" si="9"/>
        <v>49537</v>
      </c>
    </row>
    <row r="330" ht="15.75" spans="1:6">
      <c r="A330" s="120">
        <v>46023</v>
      </c>
      <c r="B330" s="121" t="s">
        <v>253</v>
      </c>
      <c r="C330" s="118" t="s">
        <v>2564</v>
      </c>
      <c r="D330" s="51">
        <v>3399</v>
      </c>
      <c r="E330" s="51"/>
      <c r="F330" s="35">
        <f t="shared" ref="F330:F342" si="10">E330+F329-D330</f>
        <v>46138</v>
      </c>
    </row>
    <row r="331" ht="15.75" spans="1:6">
      <c r="A331" s="120">
        <v>46023</v>
      </c>
      <c r="B331" s="121" t="s">
        <v>253</v>
      </c>
      <c r="C331" s="118" t="s">
        <v>694</v>
      </c>
      <c r="D331" s="51">
        <v>3000</v>
      </c>
      <c r="E331" s="51"/>
      <c r="F331" s="35">
        <f t="shared" si="10"/>
        <v>43138</v>
      </c>
    </row>
    <row r="332" ht="15.75" spans="1:6">
      <c r="A332" s="120">
        <v>46023</v>
      </c>
      <c r="B332" s="121" t="s">
        <v>3277</v>
      </c>
      <c r="C332" s="118" t="s">
        <v>140</v>
      </c>
      <c r="D332" s="51"/>
      <c r="E332" s="51">
        <v>5000</v>
      </c>
      <c r="F332" s="35">
        <f t="shared" si="10"/>
        <v>48138</v>
      </c>
    </row>
    <row r="333" ht="15.75" spans="1:6">
      <c r="A333" s="120">
        <v>46235</v>
      </c>
      <c r="B333" s="121" t="s">
        <v>3278</v>
      </c>
      <c r="C333" s="118" t="s">
        <v>2461</v>
      </c>
      <c r="D333" s="51"/>
      <c r="E333" s="51">
        <v>3591</v>
      </c>
      <c r="F333" s="35">
        <f t="shared" si="10"/>
        <v>51729</v>
      </c>
    </row>
    <row r="334" ht="15.75" spans="1:6">
      <c r="A334" s="120" t="s">
        <v>1314</v>
      </c>
      <c r="B334" s="121" t="s">
        <v>3279</v>
      </c>
      <c r="C334" s="118" t="s">
        <v>3248</v>
      </c>
      <c r="D334" s="51"/>
      <c r="E334" s="51">
        <v>6958</v>
      </c>
      <c r="F334" s="35">
        <f t="shared" si="10"/>
        <v>58687</v>
      </c>
    </row>
    <row r="335" ht="15.75" spans="1:6">
      <c r="A335" s="120" t="s">
        <v>2626</v>
      </c>
      <c r="B335" s="121" t="s">
        <v>3280</v>
      </c>
      <c r="C335" s="118" t="s">
        <v>3248</v>
      </c>
      <c r="D335" s="51"/>
      <c r="E335" s="51">
        <v>5546</v>
      </c>
      <c r="F335" s="35">
        <f t="shared" si="10"/>
        <v>64233</v>
      </c>
    </row>
    <row r="336" ht="15.75" spans="1:6">
      <c r="A336" s="120" t="s">
        <v>3281</v>
      </c>
      <c r="B336" s="121" t="s">
        <v>253</v>
      </c>
      <c r="C336" s="118" t="s">
        <v>2581</v>
      </c>
      <c r="D336" s="51">
        <v>3591</v>
      </c>
      <c r="E336" s="51"/>
      <c r="F336" s="35">
        <f t="shared" si="10"/>
        <v>60642</v>
      </c>
    </row>
    <row r="337" ht="15.75" spans="1:6">
      <c r="A337" s="120" t="s">
        <v>3282</v>
      </c>
      <c r="B337" s="121" t="s">
        <v>3283</v>
      </c>
      <c r="C337" s="118" t="s">
        <v>3284</v>
      </c>
      <c r="D337" s="51"/>
      <c r="E337" s="51">
        <v>4203</v>
      </c>
      <c r="F337" s="35">
        <f t="shared" si="10"/>
        <v>64845</v>
      </c>
    </row>
    <row r="338" ht="15.75" spans="1:6">
      <c r="A338" s="120" t="s">
        <v>3285</v>
      </c>
      <c r="B338" s="121" t="s">
        <v>253</v>
      </c>
      <c r="C338" s="118" t="s">
        <v>694</v>
      </c>
      <c r="D338" s="51">
        <v>5546</v>
      </c>
      <c r="E338" s="51"/>
      <c r="F338" s="35">
        <f t="shared" si="10"/>
        <v>59299</v>
      </c>
    </row>
    <row r="339" ht="15.75" spans="1:6">
      <c r="A339" s="120" t="s">
        <v>2674</v>
      </c>
      <c r="B339" s="121" t="s">
        <v>3286</v>
      </c>
      <c r="C339" s="118" t="s">
        <v>3287</v>
      </c>
      <c r="D339" s="51"/>
      <c r="E339" s="51">
        <v>6825</v>
      </c>
      <c r="F339" s="35">
        <f t="shared" si="10"/>
        <v>66124</v>
      </c>
    </row>
    <row r="340" ht="15.75" spans="1:6">
      <c r="A340" s="120" t="s">
        <v>2632</v>
      </c>
      <c r="B340" s="121" t="s">
        <v>253</v>
      </c>
      <c r="C340" s="118" t="s">
        <v>2564</v>
      </c>
      <c r="D340" s="51">
        <v>6825</v>
      </c>
      <c r="E340" s="51"/>
      <c r="F340" s="35">
        <f t="shared" ref="F340:F352" si="11">E340+F339-D340</f>
        <v>59299</v>
      </c>
    </row>
    <row r="341" ht="15.75" spans="1:6">
      <c r="A341" s="120">
        <v>46024</v>
      </c>
      <c r="B341" s="121" t="s">
        <v>3288</v>
      </c>
      <c r="C341" s="118" t="s">
        <v>3289</v>
      </c>
      <c r="D341" s="51"/>
      <c r="E341" s="51">
        <v>6221</v>
      </c>
      <c r="F341" s="35">
        <f t="shared" si="11"/>
        <v>65520</v>
      </c>
    </row>
    <row r="342" ht="15.75" spans="1:6">
      <c r="A342" s="120">
        <v>46054</v>
      </c>
      <c r="B342" s="121" t="s">
        <v>3290</v>
      </c>
      <c r="C342" s="118" t="s">
        <v>3284</v>
      </c>
      <c r="D342" s="51"/>
      <c r="E342" s="51">
        <v>4716</v>
      </c>
      <c r="F342" s="35">
        <f t="shared" si="11"/>
        <v>70236</v>
      </c>
    </row>
    <row r="343" ht="15.75" spans="1:6">
      <c r="A343" s="120">
        <v>46144</v>
      </c>
      <c r="B343" s="121" t="s">
        <v>3291</v>
      </c>
      <c r="C343" s="118" t="s">
        <v>3210</v>
      </c>
      <c r="D343" s="51"/>
      <c r="E343" s="51">
        <v>8422</v>
      </c>
      <c r="F343" s="35">
        <f t="shared" si="11"/>
        <v>78658</v>
      </c>
    </row>
    <row r="344" ht="15.75" spans="1:6">
      <c r="A344" s="120">
        <v>46205</v>
      </c>
      <c r="B344" s="121" t="s">
        <v>3292</v>
      </c>
      <c r="C344" s="118" t="s">
        <v>3205</v>
      </c>
      <c r="D344" s="51"/>
      <c r="E344" s="51">
        <v>8990</v>
      </c>
      <c r="F344" s="35">
        <f t="shared" si="11"/>
        <v>87648</v>
      </c>
    </row>
    <row r="345" ht="15.75" spans="1:6">
      <c r="A345" s="120">
        <v>46205</v>
      </c>
      <c r="B345" s="121" t="s">
        <v>253</v>
      </c>
      <c r="C345" s="118" t="s">
        <v>3293</v>
      </c>
      <c r="D345" s="51">
        <v>7601</v>
      </c>
      <c r="E345" s="51"/>
      <c r="F345" s="35">
        <f t="shared" si="11"/>
        <v>80047</v>
      </c>
    </row>
    <row r="346" ht="15.75" spans="1:6">
      <c r="A346" s="120">
        <v>46205</v>
      </c>
      <c r="B346" s="121" t="s">
        <v>253</v>
      </c>
      <c r="C346" s="118" t="s">
        <v>3294</v>
      </c>
      <c r="D346" s="51">
        <v>6184</v>
      </c>
      <c r="E346" s="51"/>
      <c r="F346" s="35">
        <f t="shared" si="11"/>
        <v>73863</v>
      </c>
    </row>
    <row r="347" ht="15.75" spans="1:6">
      <c r="A347" s="120">
        <v>46267</v>
      </c>
      <c r="B347" s="121" t="s">
        <v>3295</v>
      </c>
      <c r="C347" s="118" t="s">
        <v>3205</v>
      </c>
      <c r="D347" s="51"/>
      <c r="E347" s="51">
        <v>3991</v>
      </c>
      <c r="F347" s="35">
        <f t="shared" si="11"/>
        <v>77854</v>
      </c>
    </row>
    <row r="348" ht="15.75" spans="1:6">
      <c r="A348" s="120">
        <v>46297</v>
      </c>
      <c r="B348" s="121" t="s">
        <v>3296</v>
      </c>
      <c r="C348" s="118" t="s">
        <v>3284</v>
      </c>
      <c r="D348" s="51"/>
      <c r="E348" s="51">
        <v>4716</v>
      </c>
      <c r="F348" s="35">
        <f t="shared" si="11"/>
        <v>82570</v>
      </c>
    </row>
    <row r="349" ht="15.75" spans="1:6">
      <c r="A349" s="120">
        <v>46297</v>
      </c>
      <c r="B349" s="121" t="s">
        <v>3297</v>
      </c>
      <c r="C349" s="118" t="s">
        <v>3055</v>
      </c>
      <c r="D349" s="51"/>
      <c r="E349" s="51">
        <v>10845</v>
      </c>
      <c r="F349" s="35">
        <f t="shared" si="11"/>
        <v>93415</v>
      </c>
    </row>
    <row r="350" ht="15.75" spans="1:6">
      <c r="A350" s="120">
        <v>46328</v>
      </c>
      <c r="B350" s="121" t="s">
        <v>253</v>
      </c>
      <c r="C350" s="118" t="s">
        <v>3298</v>
      </c>
      <c r="D350" s="51">
        <v>4716</v>
      </c>
      <c r="E350" s="51"/>
      <c r="F350" s="35">
        <f t="shared" ref="F350:F362" si="12">E350+F349-D350</f>
        <v>88699</v>
      </c>
    </row>
    <row r="351" ht="15.75" spans="1:6">
      <c r="A351" s="120">
        <v>46328</v>
      </c>
      <c r="B351" s="121" t="s">
        <v>253</v>
      </c>
      <c r="C351" s="118" t="s">
        <v>3299</v>
      </c>
      <c r="D351" s="51">
        <v>6221</v>
      </c>
      <c r="E351" s="51"/>
      <c r="F351" s="35">
        <f t="shared" si="12"/>
        <v>82478</v>
      </c>
    </row>
    <row r="352" ht="15.75" spans="1:6">
      <c r="A352" s="120">
        <v>46328</v>
      </c>
      <c r="B352" s="121" t="s">
        <v>3300</v>
      </c>
      <c r="C352" s="118" t="s">
        <v>3301</v>
      </c>
      <c r="D352" s="51"/>
      <c r="E352" s="51">
        <v>11829</v>
      </c>
      <c r="F352" s="35">
        <f t="shared" si="12"/>
        <v>94307</v>
      </c>
    </row>
    <row r="353" ht="15.75" spans="1:6">
      <c r="A353" s="120">
        <v>46358</v>
      </c>
      <c r="B353" s="121" t="s">
        <v>253</v>
      </c>
      <c r="C353" s="118" t="s">
        <v>3302</v>
      </c>
      <c r="D353" s="51">
        <v>6958</v>
      </c>
      <c r="E353" s="51"/>
      <c r="F353" s="35">
        <f t="shared" si="12"/>
        <v>87349</v>
      </c>
    </row>
    <row r="354" ht="15.75" spans="1:6">
      <c r="A354" s="120">
        <v>46358</v>
      </c>
      <c r="B354" s="121" t="s">
        <v>253</v>
      </c>
      <c r="C354" s="118" t="s">
        <v>3303</v>
      </c>
      <c r="D354" s="51">
        <v>4203</v>
      </c>
      <c r="E354" s="51"/>
      <c r="F354" s="35">
        <f t="shared" si="12"/>
        <v>83146</v>
      </c>
    </row>
    <row r="355" ht="15.75" spans="1:6">
      <c r="A355" s="120" t="s">
        <v>2646</v>
      </c>
      <c r="B355" s="121" t="s">
        <v>3304</v>
      </c>
      <c r="C355" s="118" t="s">
        <v>3301</v>
      </c>
      <c r="D355" s="51"/>
      <c r="E355" s="51">
        <v>13474</v>
      </c>
      <c r="F355" s="35">
        <f t="shared" si="12"/>
        <v>96620</v>
      </c>
    </row>
    <row r="356" ht="15.75" spans="1:6">
      <c r="A356" s="120" t="s">
        <v>2646</v>
      </c>
      <c r="B356" s="121" t="s">
        <v>253</v>
      </c>
      <c r="C356" s="118" t="s">
        <v>3305</v>
      </c>
      <c r="D356" s="51">
        <v>5000</v>
      </c>
      <c r="E356" s="51"/>
      <c r="F356" s="35">
        <f t="shared" si="12"/>
        <v>91620</v>
      </c>
    </row>
    <row r="357" ht="15.75" spans="1:6">
      <c r="A357" s="120" t="s">
        <v>2646</v>
      </c>
      <c r="B357" s="121" t="s">
        <v>253</v>
      </c>
      <c r="C357" s="118" t="s">
        <v>3306</v>
      </c>
      <c r="D357" s="51">
        <v>3991</v>
      </c>
      <c r="E357" s="51"/>
      <c r="F357" s="35">
        <f t="shared" si="12"/>
        <v>87629</v>
      </c>
    </row>
    <row r="358" ht="15.75" spans="1:6">
      <c r="A358" s="120" t="s">
        <v>2646</v>
      </c>
      <c r="B358" s="121" t="s">
        <v>253</v>
      </c>
      <c r="C358" s="118" t="s">
        <v>3307</v>
      </c>
      <c r="D358" s="51">
        <v>1900</v>
      </c>
      <c r="E358" s="51"/>
      <c r="F358" s="35">
        <f t="shared" si="12"/>
        <v>85729</v>
      </c>
    </row>
    <row r="359" ht="15.75" spans="1:6">
      <c r="A359" s="120" t="s">
        <v>2646</v>
      </c>
      <c r="B359" s="121" t="s">
        <v>3308</v>
      </c>
      <c r="C359" s="118" t="s">
        <v>3301</v>
      </c>
      <c r="D359" s="51"/>
      <c r="E359" s="51">
        <v>5982</v>
      </c>
      <c r="F359" s="35">
        <f t="shared" si="12"/>
        <v>91711</v>
      </c>
    </row>
    <row r="360" ht="15.75" spans="1:6">
      <c r="A360" s="120" t="s">
        <v>2651</v>
      </c>
      <c r="B360" s="121" t="s">
        <v>253</v>
      </c>
      <c r="C360" s="118" t="s">
        <v>3309</v>
      </c>
      <c r="D360" s="51">
        <v>5982</v>
      </c>
      <c r="E360" s="51"/>
      <c r="F360" s="35">
        <f t="shared" ref="F360:F372" si="13">E360+F359-D360</f>
        <v>85729</v>
      </c>
    </row>
    <row r="361" ht="15.75" spans="1:6">
      <c r="A361" s="120" t="s">
        <v>2651</v>
      </c>
      <c r="B361" s="121" t="s">
        <v>253</v>
      </c>
      <c r="C361" s="118" t="s">
        <v>3310</v>
      </c>
      <c r="D361" s="51">
        <v>13474</v>
      </c>
      <c r="E361" s="51"/>
      <c r="F361" s="35">
        <f t="shared" si="13"/>
        <v>72255</v>
      </c>
    </row>
    <row r="362" ht="15.75" spans="1:6">
      <c r="A362" s="120" t="s">
        <v>2651</v>
      </c>
      <c r="B362" s="121" t="s">
        <v>3311</v>
      </c>
      <c r="C362" s="118" t="s">
        <v>3312</v>
      </c>
      <c r="D362" s="51"/>
      <c r="E362" s="51">
        <v>3879</v>
      </c>
      <c r="F362" s="35">
        <f t="shared" si="13"/>
        <v>76134</v>
      </c>
    </row>
    <row r="363" ht="15.75" spans="1:6">
      <c r="A363" s="120" t="s">
        <v>3313</v>
      </c>
      <c r="B363" s="121" t="s">
        <v>3314</v>
      </c>
      <c r="C363" s="118" t="s">
        <v>3315</v>
      </c>
      <c r="D363" s="51"/>
      <c r="E363" s="51">
        <v>12821</v>
      </c>
      <c r="F363" s="35">
        <f t="shared" si="13"/>
        <v>88955</v>
      </c>
    </row>
    <row r="364" ht="15.75" spans="1:6">
      <c r="A364" s="120" t="s">
        <v>2653</v>
      </c>
      <c r="B364" s="121" t="s">
        <v>253</v>
      </c>
      <c r="C364" s="118" t="s">
        <v>3316</v>
      </c>
      <c r="D364" s="51">
        <v>10500</v>
      </c>
      <c r="E364" s="51"/>
      <c r="F364" s="35">
        <f t="shared" si="13"/>
        <v>78455</v>
      </c>
    </row>
    <row r="365" ht="15.75" spans="1:6">
      <c r="A365" s="120" t="s">
        <v>2653</v>
      </c>
      <c r="B365" s="121" t="s">
        <v>253</v>
      </c>
      <c r="C365" s="118" t="s">
        <v>3317</v>
      </c>
      <c r="D365" s="51">
        <v>345</v>
      </c>
      <c r="E365" s="51"/>
      <c r="F365" s="35">
        <f t="shared" si="13"/>
        <v>78110</v>
      </c>
    </row>
    <row r="366" ht="15.75" spans="1:6">
      <c r="A366" s="120"/>
      <c r="B366" s="121"/>
      <c r="C366" s="118"/>
      <c r="D366" s="51"/>
      <c r="E366" s="51"/>
      <c r="F366" s="35">
        <f t="shared" si="13"/>
        <v>78110</v>
      </c>
    </row>
    <row r="367" ht="15.75" spans="1:6">
      <c r="A367" s="120"/>
      <c r="B367" s="121"/>
      <c r="C367" s="118"/>
      <c r="D367" s="51"/>
      <c r="E367" s="51"/>
      <c r="F367" s="35">
        <f t="shared" si="13"/>
        <v>78110</v>
      </c>
    </row>
    <row r="368" ht="15.75" spans="1:6">
      <c r="A368" s="120"/>
      <c r="B368" s="121"/>
      <c r="C368" s="118"/>
      <c r="D368" s="51"/>
      <c r="E368" s="51"/>
      <c r="F368" s="35">
        <f t="shared" si="13"/>
        <v>78110</v>
      </c>
    </row>
    <row r="369" ht="15.75" spans="1:6">
      <c r="A369" s="120"/>
      <c r="B369" s="121"/>
      <c r="C369" s="118"/>
      <c r="D369" s="51"/>
      <c r="E369" s="51"/>
      <c r="F369" s="35">
        <f t="shared" si="13"/>
        <v>78110</v>
      </c>
    </row>
    <row r="370" ht="15.75" spans="1:6">
      <c r="A370" s="120"/>
      <c r="B370" s="121"/>
      <c r="C370" s="122"/>
      <c r="D370" s="51"/>
      <c r="E370" s="51"/>
      <c r="F370" s="35">
        <f t="shared" si="13"/>
        <v>78110</v>
      </c>
    </row>
    <row r="371" ht="15.75" spans="1:6">
      <c r="A371" s="120"/>
      <c r="B371" s="121"/>
      <c r="C371" s="122"/>
      <c r="D371" s="51"/>
      <c r="E371" s="51"/>
      <c r="F371" s="35">
        <f t="shared" si="13"/>
        <v>78110</v>
      </c>
    </row>
    <row r="372" ht="18.75" spans="1:6">
      <c r="A372" s="126"/>
      <c r="B372" s="127"/>
      <c r="C372" s="128" t="s">
        <v>3318</v>
      </c>
      <c r="D372" s="126"/>
      <c r="E372" s="126"/>
      <c r="F372" s="35">
        <f t="shared" si="13"/>
        <v>78110</v>
      </c>
    </row>
  </sheetData>
  <mergeCells count="5">
    <mergeCell ref="A3:C3"/>
    <mergeCell ref="D3:F3"/>
    <mergeCell ref="A4:B4"/>
    <mergeCell ref="C4:F4"/>
    <mergeCell ref="A1:F2"/>
  </mergeCells>
  <pageMargins left="0.7" right="0.7" top="0.75" bottom="0.75" header="0.3" footer="0.3"/>
  <pageSetup paperSize="9" orientation="portrait"/>
  <headerFooter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/>
  <dimension ref="A1:N142"/>
  <sheetViews>
    <sheetView tabSelected="1" topLeftCell="A116" workbookViewId="0">
      <selection activeCell="A135" sqref="A135"/>
    </sheetView>
  </sheetViews>
  <sheetFormatPr defaultColWidth="9" defaultRowHeight="15"/>
  <cols>
    <col min="1" max="1" width="12.4285714285714" customWidth="1"/>
    <col min="2" max="2" width="10.2857142857143" customWidth="1"/>
    <col min="3" max="3" width="31.1428571428571" customWidth="1"/>
    <col min="4" max="4" width="11.5714285714286" customWidth="1"/>
    <col min="5" max="5" width="11.2857142857143" customWidth="1"/>
    <col min="6" max="6" width="10.7142857142857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76</v>
      </c>
      <c r="E3" s="11"/>
      <c r="F3" s="12"/>
    </row>
    <row r="4" ht="18.75" spans="1:6">
      <c r="A4" s="13" t="s">
        <v>84</v>
      </c>
      <c r="B4" s="13"/>
      <c r="C4" s="14"/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20.25" spans="1:6">
      <c r="A6" s="18">
        <v>45576</v>
      </c>
      <c r="B6" s="77" t="s">
        <v>3319</v>
      </c>
      <c r="C6" s="17" t="s">
        <v>1247</v>
      </c>
      <c r="D6" s="17"/>
      <c r="E6" s="17">
        <v>4550</v>
      </c>
      <c r="F6" s="17">
        <f>E6-D6</f>
        <v>4550</v>
      </c>
    </row>
    <row r="7" ht="15.75" spans="1:6">
      <c r="A7" s="18">
        <v>45607</v>
      </c>
      <c r="B7" s="17" t="s">
        <v>3025</v>
      </c>
      <c r="C7" s="71" t="s">
        <v>114</v>
      </c>
      <c r="D7" s="17"/>
      <c r="E7" s="17">
        <v>1800</v>
      </c>
      <c r="F7" s="17">
        <f>F6-D7+E7</f>
        <v>6350</v>
      </c>
    </row>
    <row r="8" ht="15.75" spans="1:6">
      <c r="A8" s="17" t="s">
        <v>168</v>
      </c>
      <c r="B8" s="17" t="s">
        <v>3320</v>
      </c>
      <c r="C8" s="78" t="s">
        <v>3321</v>
      </c>
      <c r="D8" s="17"/>
      <c r="E8" s="17">
        <v>1800</v>
      </c>
      <c r="F8" s="17">
        <f t="shared" ref="F8:F77" si="0">F7-D8+E8</f>
        <v>8150</v>
      </c>
    </row>
    <row r="9" ht="15.75" spans="1:6">
      <c r="A9" s="17" t="s">
        <v>3322</v>
      </c>
      <c r="B9" s="17" t="s">
        <v>3323</v>
      </c>
      <c r="C9" s="17" t="s">
        <v>114</v>
      </c>
      <c r="D9" s="17"/>
      <c r="E9" s="17">
        <v>1800</v>
      </c>
      <c r="F9" s="17">
        <f t="shared" si="0"/>
        <v>9950</v>
      </c>
    </row>
    <row r="10" ht="15.75" spans="1:6">
      <c r="A10" s="18">
        <v>45363</v>
      </c>
      <c r="B10" s="17" t="s">
        <v>3324</v>
      </c>
      <c r="C10" s="17" t="s">
        <v>114</v>
      </c>
      <c r="D10" s="17"/>
      <c r="E10" s="17">
        <v>1800</v>
      </c>
      <c r="F10" s="17">
        <f t="shared" si="0"/>
        <v>11750</v>
      </c>
    </row>
    <row r="11" ht="15.75" spans="1:6">
      <c r="A11" s="17" t="s">
        <v>3075</v>
      </c>
      <c r="B11" s="17" t="s">
        <v>3325</v>
      </c>
      <c r="C11" s="71" t="s">
        <v>3326</v>
      </c>
      <c r="D11" s="17"/>
      <c r="E11" s="17">
        <v>4150</v>
      </c>
      <c r="F11" s="17">
        <f t="shared" si="0"/>
        <v>15900</v>
      </c>
    </row>
    <row r="12" ht="15.75" spans="1:6">
      <c r="A12" s="17" t="s">
        <v>225</v>
      </c>
      <c r="B12" s="17" t="s">
        <v>3327</v>
      </c>
      <c r="C12" s="17" t="s">
        <v>96</v>
      </c>
      <c r="D12" s="17"/>
      <c r="E12" s="17">
        <v>4400</v>
      </c>
      <c r="F12" s="17">
        <f t="shared" si="0"/>
        <v>20300</v>
      </c>
    </row>
    <row r="13" ht="15.75" spans="1:6">
      <c r="A13" s="17" t="s">
        <v>235</v>
      </c>
      <c r="B13" s="17" t="s">
        <v>3328</v>
      </c>
      <c r="C13" s="17" t="s">
        <v>114</v>
      </c>
      <c r="D13" s="17"/>
      <c r="E13" s="17">
        <v>1800</v>
      </c>
      <c r="F13" s="17">
        <v>700</v>
      </c>
    </row>
    <row r="14" ht="15.75" spans="1:6">
      <c r="A14" s="18">
        <v>45839</v>
      </c>
      <c r="B14" s="17" t="s">
        <v>3329</v>
      </c>
      <c r="C14" s="17" t="s">
        <v>96</v>
      </c>
      <c r="D14" s="17"/>
      <c r="E14" s="17">
        <v>5500</v>
      </c>
      <c r="F14" s="17">
        <f t="shared" si="0"/>
        <v>6200</v>
      </c>
    </row>
    <row r="15" ht="15.75" spans="1:6">
      <c r="A15" s="75">
        <v>45962</v>
      </c>
      <c r="B15" s="17" t="s">
        <v>3330</v>
      </c>
      <c r="C15" s="17" t="s">
        <v>3331</v>
      </c>
      <c r="D15" s="17"/>
      <c r="E15" s="19">
        <v>2350</v>
      </c>
      <c r="F15" s="17">
        <f t="shared" si="0"/>
        <v>8550</v>
      </c>
    </row>
    <row r="16" ht="15.75" spans="1:6">
      <c r="A16" s="73" t="s">
        <v>1240</v>
      </c>
      <c r="B16" s="17" t="s">
        <v>3332</v>
      </c>
      <c r="C16" s="17" t="s">
        <v>3333</v>
      </c>
      <c r="D16" s="17"/>
      <c r="E16" s="19">
        <v>3500</v>
      </c>
      <c r="F16" s="17">
        <f t="shared" si="0"/>
        <v>12050</v>
      </c>
    </row>
    <row r="17" ht="15.75" spans="1:14">
      <c r="A17" s="73" t="s">
        <v>3334</v>
      </c>
      <c r="B17" s="17" t="s">
        <v>3335</v>
      </c>
      <c r="C17" s="72" t="s">
        <v>2461</v>
      </c>
      <c r="D17" s="17"/>
      <c r="E17" s="19">
        <v>4100</v>
      </c>
      <c r="F17" s="17">
        <f t="shared" si="0"/>
        <v>16150</v>
      </c>
      <c r="N17" t="s">
        <v>5</v>
      </c>
    </row>
    <row r="18" ht="15.75" spans="1:6">
      <c r="A18" s="73" t="s">
        <v>1903</v>
      </c>
      <c r="B18" s="17" t="s">
        <v>3336</v>
      </c>
      <c r="C18" s="72" t="s">
        <v>96</v>
      </c>
      <c r="D18" s="17"/>
      <c r="E18" s="19">
        <v>5500</v>
      </c>
      <c r="F18" s="17">
        <f t="shared" si="0"/>
        <v>21650</v>
      </c>
    </row>
    <row r="19" ht="15.75" spans="1:6">
      <c r="A19" s="75">
        <v>45871</v>
      </c>
      <c r="B19" s="17" t="s">
        <v>3337</v>
      </c>
      <c r="C19" s="72" t="s">
        <v>3338</v>
      </c>
      <c r="D19" s="17"/>
      <c r="E19" s="19">
        <v>6800</v>
      </c>
      <c r="F19" s="17">
        <f t="shared" si="0"/>
        <v>28450</v>
      </c>
    </row>
    <row r="20" ht="15.75" spans="1:6">
      <c r="A20" s="75">
        <v>45933</v>
      </c>
      <c r="B20" s="17" t="s">
        <v>3339</v>
      </c>
      <c r="C20" s="79" t="s">
        <v>3340</v>
      </c>
      <c r="D20" s="17"/>
      <c r="E20" s="19">
        <v>10200</v>
      </c>
      <c r="F20" s="17">
        <f t="shared" si="0"/>
        <v>38650</v>
      </c>
    </row>
    <row r="21" ht="15.75" spans="1:6">
      <c r="A21" s="75">
        <v>45933</v>
      </c>
      <c r="B21" s="17"/>
      <c r="C21" s="72" t="s">
        <v>3341</v>
      </c>
      <c r="D21" s="17"/>
      <c r="E21" s="19">
        <v>250000</v>
      </c>
      <c r="F21" s="17">
        <f t="shared" si="0"/>
        <v>288650</v>
      </c>
    </row>
    <row r="22" ht="15.75" spans="1:6">
      <c r="A22" s="75" t="s">
        <v>832</v>
      </c>
      <c r="B22" s="17"/>
      <c r="C22" s="72" t="s">
        <v>3342</v>
      </c>
      <c r="D22" s="17">
        <v>200000</v>
      </c>
      <c r="E22" s="19"/>
      <c r="F22" s="17">
        <f t="shared" si="0"/>
        <v>88650</v>
      </c>
    </row>
    <row r="23" ht="15.75" spans="1:6">
      <c r="A23" s="75" t="s">
        <v>358</v>
      </c>
      <c r="B23" s="17" t="s">
        <v>3343</v>
      </c>
      <c r="C23" s="72" t="s">
        <v>3344</v>
      </c>
      <c r="D23" s="17"/>
      <c r="E23" s="19">
        <v>5500</v>
      </c>
      <c r="F23" s="17">
        <f t="shared" si="0"/>
        <v>94150</v>
      </c>
    </row>
    <row r="24" ht="15.75" spans="1:6">
      <c r="A24" s="75" t="s">
        <v>354</v>
      </c>
      <c r="B24" s="17"/>
      <c r="C24" s="72" t="s">
        <v>101</v>
      </c>
      <c r="D24" s="17">
        <v>60000</v>
      </c>
      <c r="E24" s="19"/>
      <c r="F24" s="17">
        <f t="shared" si="0"/>
        <v>34150</v>
      </c>
    </row>
    <row r="25" ht="15.75" spans="1:6">
      <c r="A25" s="75" t="s">
        <v>411</v>
      </c>
      <c r="B25" s="17"/>
      <c r="C25" s="72" t="s">
        <v>101</v>
      </c>
      <c r="D25" s="17">
        <v>15000</v>
      </c>
      <c r="E25" s="19"/>
      <c r="F25" s="17">
        <f t="shared" si="0"/>
        <v>19150</v>
      </c>
    </row>
    <row r="26" ht="15.75" spans="1:6">
      <c r="A26" s="75" t="s">
        <v>422</v>
      </c>
      <c r="B26" s="17" t="s">
        <v>3345</v>
      </c>
      <c r="C26" s="72" t="s">
        <v>3346</v>
      </c>
      <c r="D26" s="17"/>
      <c r="E26" s="19">
        <v>3300</v>
      </c>
      <c r="F26" s="17">
        <f t="shared" si="0"/>
        <v>22450</v>
      </c>
    </row>
    <row r="27" ht="15.75" spans="1:6">
      <c r="A27" s="75">
        <v>45752</v>
      </c>
      <c r="B27" s="17" t="s">
        <v>3347</v>
      </c>
      <c r="C27" s="72" t="s">
        <v>96</v>
      </c>
      <c r="D27" s="17"/>
      <c r="E27" s="19">
        <v>5500</v>
      </c>
      <c r="F27" s="17">
        <f t="shared" si="0"/>
        <v>27950</v>
      </c>
    </row>
    <row r="28" ht="31.5" spans="1:6">
      <c r="A28" s="75">
        <v>45448</v>
      </c>
      <c r="B28" s="17" t="s">
        <v>3348</v>
      </c>
      <c r="C28" s="74" t="s">
        <v>3349</v>
      </c>
      <c r="D28" s="17"/>
      <c r="E28" s="19">
        <v>11200</v>
      </c>
      <c r="F28" s="17">
        <f t="shared" si="0"/>
        <v>39150</v>
      </c>
    </row>
    <row r="29" ht="15.75" spans="1:6">
      <c r="A29" s="75">
        <v>45833</v>
      </c>
      <c r="B29" s="17"/>
      <c r="C29" s="72" t="s">
        <v>101</v>
      </c>
      <c r="D29" s="17">
        <v>20000</v>
      </c>
      <c r="E29" s="19"/>
      <c r="F29" s="17">
        <f t="shared" si="0"/>
        <v>19150</v>
      </c>
    </row>
    <row r="30" ht="15.75" spans="1:6">
      <c r="A30" s="75">
        <v>45874</v>
      </c>
      <c r="B30" s="17" t="s">
        <v>3350</v>
      </c>
      <c r="C30" s="72" t="s">
        <v>3351</v>
      </c>
      <c r="D30" s="17"/>
      <c r="E30" s="19">
        <v>6740</v>
      </c>
      <c r="F30" s="17">
        <f t="shared" si="0"/>
        <v>25890</v>
      </c>
    </row>
    <row r="31" ht="15.75" spans="1:6">
      <c r="A31" s="75">
        <v>45935</v>
      </c>
      <c r="B31" s="17" t="s">
        <v>3352</v>
      </c>
      <c r="C31" s="72" t="s">
        <v>96</v>
      </c>
      <c r="D31" s="17"/>
      <c r="E31" s="19">
        <v>5300</v>
      </c>
      <c r="F31" s="17">
        <f t="shared" si="0"/>
        <v>31190</v>
      </c>
    </row>
    <row r="32" ht="15.75" spans="1:6">
      <c r="A32" s="75">
        <v>45966</v>
      </c>
      <c r="B32" s="17" t="s">
        <v>3353</v>
      </c>
      <c r="C32" s="72" t="s">
        <v>3338</v>
      </c>
      <c r="D32" s="17"/>
      <c r="E32" s="19">
        <v>3550</v>
      </c>
      <c r="F32" s="17">
        <f t="shared" si="0"/>
        <v>34740</v>
      </c>
    </row>
    <row r="33" ht="15.75" spans="1:6">
      <c r="A33" s="75" t="s">
        <v>484</v>
      </c>
      <c r="B33" s="17" t="s">
        <v>3354</v>
      </c>
      <c r="C33" s="72" t="s">
        <v>3355</v>
      </c>
      <c r="D33" s="17"/>
      <c r="E33" s="19">
        <v>13200</v>
      </c>
      <c r="F33" s="17">
        <f t="shared" si="0"/>
        <v>47940</v>
      </c>
    </row>
    <row r="34" ht="15.75" spans="1:6">
      <c r="A34" s="80" t="s">
        <v>522</v>
      </c>
      <c r="B34" s="17"/>
      <c r="C34" s="72" t="s">
        <v>3356</v>
      </c>
      <c r="D34" s="17">
        <v>25000</v>
      </c>
      <c r="E34" s="19"/>
      <c r="F34" s="17">
        <f t="shared" si="0"/>
        <v>22940</v>
      </c>
    </row>
    <row r="35" ht="15.75" spans="1:6">
      <c r="A35" s="75" t="s">
        <v>528</v>
      </c>
      <c r="B35" s="17" t="s">
        <v>3357</v>
      </c>
      <c r="C35" s="72" t="s">
        <v>3358</v>
      </c>
      <c r="D35" s="17"/>
      <c r="E35" s="19">
        <v>14675</v>
      </c>
      <c r="F35" s="17">
        <f t="shared" si="0"/>
        <v>37615</v>
      </c>
    </row>
    <row r="36" ht="15.75" spans="1:6">
      <c r="A36" s="75" t="s">
        <v>1580</v>
      </c>
      <c r="B36" s="17" t="s">
        <v>3359</v>
      </c>
      <c r="C36" s="72" t="s">
        <v>466</v>
      </c>
      <c r="D36" s="17"/>
      <c r="E36" s="19">
        <v>2575</v>
      </c>
      <c r="F36" s="17">
        <f t="shared" si="0"/>
        <v>40190</v>
      </c>
    </row>
    <row r="37" ht="15.75" spans="1:6">
      <c r="A37" s="75" t="s">
        <v>533</v>
      </c>
      <c r="B37" s="17" t="s">
        <v>3360</v>
      </c>
      <c r="C37" s="72" t="s">
        <v>1591</v>
      </c>
      <c r="D37" s="17"/>
      <c r="E37" s="19">
        <v>1500</v>
      </c>
      <c r="F37" s="17">
        <f t="shared" si="0"/>
        <v>41690</v>
      </c>
    </row>
    <row r="38" ht="15.75" spans="1:6">
      <c r="A38" s="75" t="s">
        <v>537</v>
      </c>
      <c r="B38" s="17"/>
      <c r="C38" s="72" t="s">
        <v>101</v>
      </c>
      <c r="D38" s="17">
        <v>30000</v>
      </c>
      <c r="E38" s="19"/>
      <c r="F38" s="17">
        <f t="shared" si="0"/>
        <v>11690</v>
      </c>
    </row>
    <row r="39" ht="31.5" spans="1:6">
      <c r="A39" s="75" t="s">
        <v>540</v>
      </c>
      <c r="B39" s="17" t="s">
        <v>3361</v>
      </c>
      <c r="C39" s="74" t="s">
        <v>3362</v>
      </c>
      <c r="D39" s="17"/>
      <c r="E39" s="19">
        <v>55000</v>
      </c>
      <c r="F39" s="17">
        <f t="shared" si="0"/>
        <v>66690</v>
      </c>
    </row>
    <row r="40" ht="15.75" spans="1:6">
      <c r="A40" s="75" t="s">
        <v>1587</v>
      </c>
      <c r="B40" s="17"/>
      <c r="C40" s="72" t="s">
        <v>101</v>
      </c>
      <c r="D40" s="17">
        <v>30000</v>
      </c>
      <c r="E40" s="19"/>
      <c r="F40" s="17">
        <f t="shared" si="0"/>
        <v>36690</v>
      </c>
    </row>
    <row r="41" ht="15.75" spans="1:6">
      <c r="A41" s="75" t="s">
        <v>3363</v>
      </c>
      <c r="B41" s="17" t="s">
        <v>3364</v>
      </c>
      <c r="C41" s="72" t="s">
        <v>3365</v>
      </c>
      <c r="D41" s="17"/>
      <c r="E41" s="19">
        <v>158900</v>
      </c>
      <c r="F41" s="17">
        <f t="shared" si="0"/>
        <v>195590</v>
      </c>
    </row>
    <row r="42" ht="15.75" spans="1:6">
      <c r="A42" s="75" t="s">
        <v>540</v>
      </c>
      <c r="B42" s="17"/>
      <c r="C42" s="72" t="s">
        <v>101</v>
      </c>
      <c r="D42" s="17">
        <v>130000</v>
      </c>
      <c r="E42" s="19"/>
      <c r="F42" s="17">
        <f t="shared" si="0"/>
        <v>65590</v>
      </c>
    </row>
    <row r="43" s="76" customFormat="1" ht="15.75" spans="1:6">
      <c r="A43" s="18">
        <v>45694</v>
      </c>
      <c r="B43" s="17" t="s">
        <v>3366</v>
      </c>
      <c r="C43" s="17" t="s">
        <v>3333</v>
      </c>
      <c r="D43" s="17"/>
      <c r="E43" s="17">
        <v>6850</v>
      </c>
      <c r="F43" s="17">
        <f t="shared" si="0"/>
        <v>72440</v>
      </c>
    </row>
    <row r="44" ht="15.75" spans="1:6">
      <c r="A44" s="18">
        <v>45935</v>
      </c>
      <c r="B44" s="17" t="s">
        <v>3367</v>
      </c>
      <c r="C44" s="17" t="s">
        <v>1306</v>
      </c>
      <c r="D44" s="17"/>
      <c r="E44" s="17">
        <v>550</v>
      </c>
      <c r="F44" s="17">
        <f t="shared" si="0"/>
        <v>72990</v>
      </c>
    </row>
    <row r="45" ht="15.75" spans="1:6">
      <c r="A45" s="18">
        <v>45997</v>
      </c>
      <c r="B45" s="17"/>
      <c r="C45" s="17" t="s">
        <v>101</v>
      </c>
      <c r="D45" s="17">
        <v>100000</v>
      </c>
      <c r="E45" s="17"/>
      <c r="F45" s="17">
        <f t="shared" si="0"/>
        <v>-27010</v>
      </c>
    </row>
    <row r="46" ht="15.75" spans="1:6">
      <c r="A46" s="18" t="s">
        <v>3368</v>
      </c>
      <c r="B46" s="17"/>
      <c r="C46" s="17" t="s">
        <v>101</v>
      </c>
      <c r="D46" s="17">
        <v>100000</v>
      </c>
      <c r="E46" s="17"/>
      <c r="F46" s="17">
        <f t="shared" si="0"/>
        <v>-127010</v>
      </c>
    </row>
    <row r="47" ht="15.75" spans="1:6">
      <c r="A47" s="18" t="s">
        <v>1173</v>
      </c>
      <c r="B47" s="17" t="s">
        <v>3369</v>
      </c>
      <c r="C47" s="17" t="s">
        <v>114</v>
      </c>
      <c r="D47" s="17"/>
      <c r="E47" s="17">
        <v>5200</v>
      </c>
      <c r="F47" s="17">
        <f t="shared" si="0"/>
        <v>-121810</v>
      </c>
    </row>
    <row r="48" ht="15.75" spans="1:6">
      <c r="A48" s="18" t="s">
        <v>544</v>
      </c>
      <c r="B48" s="17" t="s">
        <v>3370</v>
      </c>
      <c r="C48" s="17" t="s">
        <v>114</v>
      </c>
      <c r="D48" s="17"/>
      <c r="E48" s="17">
        <v>2250</v>
      </c>
      <c r="F48" s="17">
        <f t="shared" si="0"/>
        <v>-119560</v>
      </c>
    </row>
    <row r="49" ht="15.75" spans="1:6">
      <c r="A49" s="18" t="s">
        <v>3371</v>
      </c>
      <c r="B49" s="17" t="s">
        <v>3372</v>
      </c>
      <c r="C49" s="17" t="s">
        <v>3373</v>
      </c>
      <c r="D49" s="17"/>
      <c r="E49" s="17">
        <v>176000</v>
      </c>
      <c r="F49" s="17">
        <f t="shared" si="0"/>
        <v>56440</v>
      </c>
    </row>
    <row r="50" ht="15.75" spans="1:6">
      <c r="A50" s="18" t="s">
        <v>3166</v>
      </c>
      <c r="B50" s="17" t="s">
        <v>3374</v>
      </c>
      <c r="C50" s="17" t="s">
        <v>3375</v>
      </c>
      <c r="D50" s="17"/>
      <c r="E50" s="17">
        <v>10000</v>
      </c>
      <c r="F50" s="17">
        <f t="shared" si="0"/>
        <v>66440</v>
      </c>
    </row>
    <row r="51" ht="15.75" spans="1:6">
      <c r="A51" s="18" t="s">
        <v>1180</v>
      </c>
      <c r="B51" s="81" t="s">
        <v>3376</v>
      </c>
      <c r="C51" s="17" t="s">
        <v>3377</v>
      </c>
      <c r="D51" s="17"/>
      <c r="E51" s="17">
        <v>20800</v>
      </c>
      <c r="F51" s="17">
        <f t="shared" si="0"/>
        <v>87240</v>
      </c>
    </row>
    <row r="52" ht="15.75" spans="1:6">
      <c r="A52" s="18" t="s">
        <v>1183</v>
      </c>
      <c r="B52" s="17" t="s">
        <v>156</v>
      </c>
      <c r="C52" s="17" t="s">
        <v>101</v>
      </c>
      <c r="D52" s="17">
        <v>30000</v>
      </c>
      <c r="E52" s="17"/>
      <c r="F52" s="17">
        <f t="shared" si="0"/>
        <v>57240</v>
      </c>
    </row>
    <row r="53" ht="15.75" spans="1:6">
      <c r="A53" s="18" t="s">
        <v>1597</v>
      </c>
      <c r="B53" s="17" t="s">
        <v>3378</v>
      </c>
      <c r="C53" s="17" t="s">
        <v>140</v>
      </c>
      <c r="D53" s="17"/>
      <c r="E53" s="17">
        <v>10170</v>
      </c>
      <c r="F53" s="17">
        <f t="shared" si="0"/>
        <v>67410</v>
      </c>
    </row>
    <row r="54" ht="15.75" spans="1:6">
      <c r="A54" s="18" t="s">
        <v>3379</v>
      </c>
      <c r="B54" s="17" t="s">
        <v>3380</v>
      </c>
      <c r="C54" s="17" t="s">
        <v>1306</v>
      </c>
      <c r="D54" s="17"/>
      <c r="E54" s="17">
        <v>550</v>
      </c>
      <c r="F54" s="17">
        <f t="shared" si="0"/>
        <v>67960</v>
      </c>
    </row>
    <row r="55" ht="31.5" spans="1:6">
      <c r="A55" s="18" t="s">
        <v>699</v>
      </c>
      <c r="B55" s="17" t="s">
        <v>3381</v>
      </c>
      <c r="C55" s="71" t="s">
        <v>3382</v>
      </c>
      <c r="D55" s="17"/>
      <c r="E55" s="17">
        <v>31100</v>
      </c>
      <c r="F55" s="17">
        <f t="shared" si="0"/>
        <v>99060</v>
      </c>
    </row>
    <row r="56" ht="15.75" spans="1:6">
      <c r="A56" s="18" t="s">
        <v>699</v>
      </c>
      <c r="B56" s="17" t="s">
        <v>3383</v>
      </c>
      <c r="C56" s="17" t="s">
        <v>3384</v>
      </c>
      <c r="D56" s="17"/>
      <c r="E56" s="17">
        <v>3963</v>
      </c>
      <c r="F56" s="17">
        <f t="shared" si="0"/>
        <v>103023</v>
      </c>
    </row>
    <row r="57" ht="15.75" spans="1:6">
      <c r="A57" s="18" t="s">
        <v>699</v>
      </c>
      <c r="B57" s="17"/>
      <c r="C57" s="17" t="s">
        <v>3385</v>
      </c>
      <c r="D57" s="17">
        <v>4850</v>
      </c>
      <c r="E57" s="17"/>
      <c r="F57" s="17">
        <f t="shared" si="0"/>
        <v>98173</v>
      </c>
    </row>
    <row r="58" ht="15.75" spans="1:6">
      <c r="A58" s="18">
        <v>45664</v>
      </c>
      <c r="B58" s="17" t="s">
        <v>3386</v>
      </c>
      <c r="C58" s="17" t="s">
        <v>3387</v>
      </c>
      <c r="D58" s="17"/>
      <c r="E58" s="82">
        <v>1200</v>
      </c>
      <c r="F58" s="17">
        <f t="shared" si="0"/>
        <v>99373</v>
      </c>
    </row>
    <row r="59" ht="15.75" spans="1:6">
      <c r="A59" s="18">
        <v>45845</v>
      </c>
      <c r="B59" s="17" t="s">
        <v>3388</v>
      </c>
      <c r="C59" s="17" t="s">
        <v>96</v>
      </c>
      <c r="D59" s="17"/>
      <c r="E59" s="17">
        <v>5200</v>
      </c>
      <c r="F59" s="17">
        <f t="shared" si="0"/>
        <v>104573</v>
      </c>
    </row>
    <row r="60" ht="15.75" spans="1:6">
      <c r="A60" s="18">
        <v>45907</v>
      </c>
      <c r="B60" s="17"/>
      <c r="C60" s="17" t="s">
        <v>3342</v>
      </c>
      <c r="D60" s="17">
        <v>75000</v>
      </c>
      <c r="E60" s="17"/>
      <c r="F60" s="17">
        <f t="shared" si="0"/>
        <v>29573</v>
      </c>
    </row>
    <row r="61" ht="15.75" spans="1:6">
      <c r="A61" s="18">
        <v>45907</v>
      </c>
      <c r="B61" s="17" t="s">
        <v>3389</v>
      </c>
      <c r="C61" s="17" t="s">
        <v>96</v>
      </c>
      <c r="D61" s="17"/>
      <c r="E61" s="17">
        <v>13000</v>
      </c>
      <c r="F61" s="17">
        <f t="shared" si="0"/>
        <v>42573</v>
      </c>
    </row>
    <row r="62" ht="15.75" spans="1:6">
      <c r="A62" s="18" t="s">
        <v>2457</v>
      </c>
      <c r="B62" s="17" t="s">
        <v>3390</v>
      </c>
      <c r="C62" s="17" t="s">
        <v>1306</v>
      </c>
      <c r="D62" s="17"/>
      <c r="E62" s="17">
        <v>550</v>
      </c>
      <c r="F62" s="17">
        <f t="shared" si="0"/>
        <v>43123</v>
      </c>
    </row>
    <row r="63" ht="15.75" spans="1:6">
      <c r="A63" s="18" t="s">
        <v>1309</v>
      </c>
      <c r="B63" s="17" t="s">
        <v>3391</v>
      </c>
      <c r="C63" s="17" t="s">
        <v>697</v>
      </c>
      <c r="D63" s="17"/>
      <c r="E63" s="17">
        <v>5500</v>
      </c>
      <c r="F63" s="17">
        <f t="shared" si="0"/>
        <v>48623</v>
      </c>
    </row>
    <row r="64" ht="15.75" spans="1:6">
      <c r="A64" s="18" t="s">
        <v>2127</v>
      </c>
      <c r="B64" s="17" t="s">
        <v>3392</v>
      </c>
      <c r="C64" s="17" t="s">
        <v>3393</v>
      </c>
      <c r="D64" s="17"/>
      <c r="E64" s="17">
        <v>2400</v>
      </c>
      <c r="F64" s="17">
        <f t="shared" si="0"/>
        <v>51023</v>
      </c>
    </row>
    <row r="65" ht="15.75" spans="1:6">
      <c r="A65" s="18" t="s">
        <v>702</v>
      </c>
      <c r="B65" s="82" t="s">
        <v>3394</v>
      </c>
      <c r="C65" s="17" t="s">
        <v>96</v>
      </c>
      <c r="D65" s="17"/>
      <c r="E65" s="17">
        <v>13750</v>
      </c>
      <c r="F65" s="17">
        <f t="shared" si="0"/>
        <v>64773</v>
      </c>
    </row>
    <row r="66" ht="15.75" spans="1:6">
      <c r="A66" s="18" t="s">
        <v>702</v>
      </c>
      <c r="B66" s="17" t="s">
        <v>3395</v>
      </c>
      <c r="C66" s="17" t="s">
        <v>317</v>
      </c>
      <c r="D66" s="17"/>
      <c r="E66" s="17">
        <v>234250</v>
      </c>
      <c r="F66" s="17">
        <f t="shared" si="0"/>
        <v>299023</v>
      </c>
    </row>
    <row r="67" ht="15.75" spans="1:6">
      <c r="A67" s="18" t="s">
        <v>1198</v>
      </c>
      <c r="B67" s="17"/>
      <c r="C67" s="17" t="s">
        <v>3396</v>
      </c>
      <c r="D67" s="17">
        <v>250000</v>
      </c>
      <c r="E67" s="17"/>
      <c r="F67" s="17">
        <f t="shared" si="0"/>
        <v>49023</v>
      </c>
    </row>
    <row r="68" ht="15.75" spans="1:6">
      <c r="A68" s="18" t="s">
        <v>2744</v>
      </c>
      <c r="B68" s="17" t="s">
        <v>3397</v>
      </c>
      <c r="C68" s="17" t="s">
        <v>96</v>
      </c>
      <c r="D68" s="17"/>
      <c r="E68" s="17">
        <v>13000</v>
      </c>
      <c r="F68" s="17">
        <f t="shared" si="0"/>
        <v>62023</v>
      </c>
    </row>
    <row r="69" ht="15.75" spans="1:6">
      <c r="A69" s="18" t="s">
        <v>2744</v>
      </c>
      <c r="B69" s="17" t="s">
        <v>156</v>
      </c>
      <c r="C69" s="17" t="s">
        <v>101</v>
      </c>
      <c r="D69" s="17">
        <v>40000</v>
      </c>
      <c r="E69" s="17"/>
      <c r="F69" s="17">
        <f t="shared" si="0"/>
        <v>22023</v>
      </c>
    </row>
    <row r="70" ht="15.75" spans="1:6">
      <c r="A70" s="18">
        <v>45696</v>
      </c>
      <c r="B70" s="17">
        <v>579</v>
      </c>
      <c r="C70" s="17" t="s">
        <v>3398</v>
      </c>
      <c r="D70" s="17"/>
      <c r="E70" s="17">
        <v>2479</v>
      </c>
      <c r="F70" s="17">
        <f t="shared" si="0"/>
        <v>24502</v>
      </c>
    </row>
    <row r="71" ht="15.75" spans="1:6">
      <c r="A71" s="18">
        <v>45755</v>
      </c>
      <c r="B71" s="17" t="s">
        <v>3399</v>
      </c>
      <c r="C71" s="17" t="s">
        <v>1306</v>
      </c>
      <c r="D71" s="17"/>
      <c r="E71" s="17">
        <v>550</v>
      </c>
      <c r="F71" s="17">
        <f t="shared" si="0"/>
        <v>25052</v>
      </c>
    </row>
    <row r="72" ht="15.75" spans="1:6">
      <c r="A72" s="18">
        <v>45846</v>
      </c>
      <c r="B72" s="17" t="s">
        <v>3400</v>
      </c>
      <c r="C72" s="17" t="s">
        <v>96</v>
      </c>
      <c r="D72" s="17"/>
      <c r="E72" s="17">
        <v>2080</v>
      </c>
      <c r="F72" s="17">
        <f t="shared" si="0"/>
        <v>27132</v>
      </c>
    </row>
    <row r="73" ht="15.75" spans="1:6">
      <c r="A73" s="83" t="s">
        <v>547</v>
      </c>
      <c r="B73" s="17" t="s">
        <v>3401</v>
      </c>
      <c r="C73" s="82" t="s">
        <v>3402</v>
      </c>
      <c r="D73" s="17"/>
      <c r="E73" s="82">
        <v>13000</v>
      </c>
      <c r="F73" s="17">
        <f t="shared" si="0"/>
        <v>40132</v>
      </c>
    </row>
    <row r="74" ht="15.75" spans="1:6">
      <c r="A74" s="18" t="s">
        <v>1612</v>
      </c>
      <c r="B74" s="17" t="s">
        <v>3403</v>
      </c>
      <c r="C74" s="17" t="s">
        <v>1501</v>
      </c>
      <c r="D74" s="17"/>
      <c r="E74" s="17">
        <v>750</v>
      </c>
      <c r="F74" s="17">
        <f t="shared" si="0"/>
        <v>40882</v>
      </c>
    </row>
    <row r="75" ht="15.75" spans="1:6">
      <c r="A75" s="83" t="s">
        <v>1612</v>
      </c>
      <c r="B75" s="17" t="s">
        <v>3404</v>
      </c>
      <c r="C75" s="17" t="s">
        <v>3405</v>
      </c>
      <c r="D75" s="17"/>
      <c r="E75" s="82">
        <v>17650</v>
      </c>
      <c r="F75" s="17">
        <f t="shared" si="0"/>
        <v>58532</v>
      </c>
    </row>
    <row r="76" ht="15.75" spans="1:6">
      <c r="A76" s="18" t="s">
        <v>2168</v>
      </c>
      <c r="B76" s="17" t="s">
        <v>3406</v>
      </c>
      <c r="C76" s="17" t="s">
        <v>114</v>
      </c>
      <c r="D76" s="17"/>
      <c r="E76" s="17">
        <v>150</v>
      </c>
      <c r="F76" s="17">
        <f t="shared" si="0"/>
        <v>58682</v>
      </c>
    </row>
    <row r="77" ht="15.75" spans="1:6">
      <c r="A77" s="18" t="s">
        <v>2481</v>
      </c>
      <c r="B77" s="17" t="s">
        <v>3407</v>
      </c>
      <c r="C77" s="17" t="s">
        <v>1306</v>
      </c>
      <c r="D77" s="17"/>
      <c r="E77" s="17">
        <v>1750</v>
      </c>
      <c r="F77" s="17">
        <f t="shared" si="0"/>
        <v>60432</v>
      </c>
    </row>
    <row r="78" ht="15.75" spans="1:6">
      <c r="A78" s="18" t="s">
        <v>552</v>
      </c>
      <c r="B78" s="17" t="s">
        <v>3408</v>
      </c>
      <c r="C78" s="17" t="s">
        <v>3409</v>
      </c>
      <c r="D78" s="17">
        <v>7920</v>
      </c>
      <c r="E78" s="17"/>
      <c r="F78" s="17">
        <f t="shared" ref="F78:F113" si="1">F77-D78+E78</f>
        <v>52512</v>
      </c>
    </row>
    <row r="79" ht="15.75" spans="1:6">
      <c r="A79" s="18" t="s">
        <v>554</v>
      </c>
      <c r="B79" s="17" t="s">
        <v>3410</v>
      </c>
      <c r="C79" s="17" t="s">
        <v>3411</v>
      </c>
      <c r="D79" s="17"/>
      <c r="E79" s="17">
        <v>8450</v>
      </c>
      <c r="F79" s="17">
        <f t="shared" si="1"/>
        <v>60962</v>
      </c>
    </row>
    <row r="80" ht="15.75" spans="1:6">
      <c r="A80" s="18">
        <v>45666</v>
      </c>
      <c r="B80" s="17" t="s">
        <v>3412</v>
      </c>
      <c r="C80" s="17" t="s">
        <v>3413</v>
      </c>
      <c r="D80" s="17"/>
      <c r="E80" s="17">
        <v>2600</v>
      </c>
      <c r="F80" s="17">
        <f t="shared" si="1"/>
        <v>63562</v>
      </c>
    </row>
    <row r="81" ht="15.75" spans="1:6">
      <c r="A81" s="18">
        <v>45697</v>
      </c>
      <c r="B81" s="17" t="s">
        <v>3414</v>
      </c>
      <c r="C81" s="17" t="s">
        <v>466</v>
      </c>
      <c r="D81" s="17"/>
      <c r="E81" s="17">
        <v>13250</v>
      </c>
      <c r="F81" s="17">
        <f t="shared" si="1"/>
        <v>76812</v>
      </c>
    </row>
    <row r="82" ht="15.75" spans="1:10">
      <c r="A82" s="18">
        <v>45725</v>
      </c>
      <c r="B82" s="17" t="s">
        <v>3415</v>
      </c>
      <c r="C82" s="17" t="s">
        <v>3355</v>
      </c>
      <c r="D82" s="17"/>
      <c r="E82" s="17">
        <v>13250</v>
      </c>
      <c r="F82" s="17">
        <f t="shared" si="1"/>
        <v>90062</v>
      </c>
      <c r="J82" s="84"/>
    </row>
    <row r="83" ht="15.75" spans="1:6">
      <c r="A83" s="18">
        <v>45725</v>
      </c>
      <c r="B83" s="17" t="s">
        <v>3416</v>
      </c>
      <c r="C83" s="17" t="s">
        <v>96</v>
      </c>
      <c r="D83" s="17"/>
      <c r="E83" s="17">
        <v>5250</v>
      </c>
      <c r="F83" s="17">
        <f t="shared" si="1"/>
        <v>95312</v>
      </c>
    </row>
    <row r="84" ht="15.75" spans="1:6">
      <c r="A84" s="18">
        <v>45847</v>
      </c>
      <c r="B84" s="17" t="s">
        <v>3417</v>
      </c>
      <c r="C84" s="17" t="s">
        <v>3418</v>
      </c>
      <c r="D84" s="17"/>
      <c r="E84" s="17">
        <v>275000</v>
      </c>
      <c r="F84" s="17">
        <f t="shared" si="1"/>
        <v>370312</v>
      </c>
    </row>
    <row r="85" ht="15.75" spans="1:6">
      <c r="A85" s="18" t="s">
        <v>3419</v>
      </c>
      <c r="B85" s="17"/>
      <c r="C85" s="17" t="s">
        <v>101</v>
      </c>
      <c r="D85" s="17">
        <v>300000</v>
      </c>
      <c r="E85" s="17"/>
      <c r="F85" s="17">
        <f t="shared" si="1"/>
        <v>70312</v>
      </c>
    </row>
    <row r="86" ht="15.75" spans="1:6">
      <c r="A86" s="18">
        <v>45786</v>
      </c>
      <c r="B86" s="17"/>
      <c r="C86" s="17" t="s">
        <v>3420</v>
      </c>
      <c r="D86" s="17">
        <v>10000</v>
      </c>
      <c r="E86" s="17"/>
      <c r="F86" s="17">
        <f t="shared" si="1"/>
        <v>60312</v>
      </c>
    </row>
    <row r="87" ht="15.75" spans="1:6">
      <c r="A87" s="18" t="s">
        <v>1621</v>
      </c>
      <c r="B87" s="17" t="s">
        <v>3421</v>
      </c>
      <c r="C87" s="17" t="s">
        <v>3422</v>
      </c>
      <c r="D87" s="17"/>
      <c r="E87" s="17">
        <v>5200</v>
      </c>
      <c r="F87" s="17">
        <f t="shared" si="1"/>
        <v>65512</v>
      </c>
    </row>
    <row r="88" ht="15.75" spans="1:6">
      <c r="A88" s="18" t="s">
        <v>2078</v>
      </c>
      <c r="B88" s="17" t="s">
        <v>3423</v>
      </c>
      <c r="C88" s="17" t="s">
        <v>3424</v>
      </c>
      <c r="D88" s="17"/>
      <c r="E88" s="17">
        <v>1700</v>
      </c>
      <c r="F88" s="17">
        <f t="shared" si="1"/>
        <v>67212</v>
      </c>
    </row>
    <row r="89" ht="15.75" spans="1:6">
      <c r="A89" s="18" t="s">
        <v>2235</v>
      </c>
      <c r="B89" s="17"/>
      <c r="C89" s="17" t="s">
        <v>3342</v>
      </c>
      <c r="D89" s="17">
        <v>20000</v>
      </c>
      <c r="E89" s="17"/>
      <c r="F89" s="17">
        <f t="shared" si="1"/>
        <v>47212</v>
      </c>
    </row>
    <row r="90" ht="15.75" spans="1:6">
      <c r="A90" s="18"/>
      <c r="B90" s="17"/>
      <c r="C90" s="17" t="s">
        <v>3425</v>
      </c>
      <c r="D90" s="17">
        <v>23000</v>
      </c>
      <c r="E90" s="17"/>
      <c r="F90" s="17">
        <f t="shared" si="1"/>
        <v>24212</v>
      </c>
    </row>
    <row r="91" ht="15.75" spans="1:6">
      <c r="A91" s="18" t="s">
        <v>2524</v>
      </c>
      <c r="B91" s="17" t="s">
        <v>3426</v>
      </c>
      <c r="C91" s="17" t="s">
        <v>3427</v>
      </c>
      <c r="D91" s="17">
        <v>63360</v>
      </c>
      <c r="E91" s="17"/>
      <c r="F91" s="17">
        <f t="shared" si="1"/>
        <v>-39148</v>
      </c>
    </row>
    <row r="92" ht="15.75" spans="1:6">
      <c r="A92" s="18">
        <v>45818</v>
      </c>
      <c r="B92" s="17" t="s">
        <v>2262</v>
      </c>
      <c r="C92" s="17" t="s">
        <v>466</v>
      </c>
      <c r="D92" s="17"/>
      <c r="E92" s="17">
        <v>13000</v>
      </c>
      <c r="F92" s="17">
        <f t="shared" si="1"/>
        <v>-26148</v>
      </c>
    </row>
    <row r="93" ht="15.75" spans="1:6">
      <c r="A93" s="18">
        <v>45848</v>
      </c>
      <c r="B93" s="17" t="s">
        <v>3428</v>
      </c>
      <c r="C93" s="17" t="s">
        <v>2364</v>
      </c>
      <c r="D93" s="17"/>
      <c r="E93" s="17">
        <v>625</v>
      </c>
      <c r="F93" s="17">
        <f t="shared" si="1"/>
        <v>-25523</v>
      </c>
    </row>
    <row r="94" ht="15.75" spans="1:6">
      <c r="A94" s="18">
        <v>45971</v>
      </c>
      <c r="B94" s="17" t="s">
        <v>3429</v>
      </c>
      <c r="C94" s="17" t="s">
        <v>466</v>
      </c>
      <c r="D94" s="17"/>
      <c r="E94" s="17">
        <v>12050</v>
      </c>
      <c r="F94" s="17">
        <f t="shared" si="1"/>
        <v>-13473</v>
      </c>
    </row>
    <row r="95" ht="15.75" spans="1:6">
      <c r="A95" s="18">
        <v>46001</v>
      </c>
      <c r="B95" s="17" t="s">
        <v>3430</v>
      </c>
      <c r="C95" s="17" t="s">
        <v>3431</v>
      </c>
      <c r="D95" s="17"/>
      <c r="E95" s="17">
        <v>31200</v>
      </c>
      <c r="F95" s="17">
        <f t="shared" si="1"/>
        <v>17727</v>
      </c>
    </row>
    <row r="96" ht="15.75" spans="1:6">
      <c r="A96" s="18" t="s">
        <v>2753</v>
      </c>
      <c r="B96" s="17" t="s">
        <v>3432</v>
      </c>
      <c r="C96" s="17" t="s">
        <v>3422</v>
      </c>
      <c r="D96" s="17"/>
      <c r="E96" s="17">
        <v>7800</v>
      </c>
      <c r="F96" s="17">
        <f t="shared" si="1"/>
        <v>25527</v>
      </c>
    </row>
    <row r="97" ht="15.75" spans="1:6">
      <c r="A97" s="18" t="s">
        <v>2548</v>
      </c>
      <c r="B97" s="17" t="s">
        <v>3433</v>
      </c>
      <c r="C97" s="17" t="s">
        <v>3434</v>
      </c>
      <c r="D97" s="17"/>
      <c r="E97" s="17">
        <v>12750</v>
      </c>
      <c r="F97" s="17">
        <f t="shared" si="1"/>
        <v>38277</v>
      </c>
    </row>
    <row r="98" ht="15.75" spans="1:6">
      <c r="A98" s="18" t="s">
        <v>3435</v>
      </c>
      <c r="B98" s="17" t="s">
        <v>3436</v>
      </c>
      <c r="C98" s="17" t="s">
        <v>3424</v>
      </c>
      <c r="D98" s="17"/>
      <c r="E98" s="17">
        <v>1800</v>
      </c>
      <c r="F98" s="17">
        <f t="shared" si="1"/>
        <v>40077</v>
      </c>
    </row>
    <row r="99" ht="15.75" spans="1:6">
      <c r="A99" s="18" t="s">
        <v>3435</v>
      </c>
      <c r="B99" s="17" t="s">
        <v>3437</v>
      </c>
      <c r="C99" s="17" t="s">
        <v>3422</v>
      </c>
      <c r="D99" s="17"/>
      <c r="E99" s="17">
        <v>9950</v>
      </c>
      <c r="F99" s="17">
        <f t="shared" si="1"/>
        <v>50027</v>
      </c>
    </row>
    <row r="100" ht="15.75" spans="1:6">
      <c r="A100" s="18" t="s">
        <v>2551</v>
      </c>
      <c r="B100" s="17" t="s">
        <v>3438</v>
      </c>
      <c r="C100" s="17" t="s">
        <v>3439</v>
      </c>
      <c r="D100" s="17"/>
      <c r="E100" s="17">
        <v>9550</v>
      </c>
      <c r="F100" s="17">
        <f t="shared" si="1"/>
        <v>59577</v>
      </c>
    </row>
    <row r="101" ht="15.75" spans="1:6">
      <c r="A101" s="18">
        <v>45699</v>
      </c>
      <c r="B101" s="17" t="s">
        <v>3440</v>
      </c>
      <c r="C101" s="17" t="s">
        <v>3441</v>
      </c>
      <c r="D101" s="17"/>
      <c r="E101" s="17">
        <v>1090</v>
      </c>
      <c r="F101" s="17">
        <f t="shared" si="1"/>
        <v>60667</v>
      </c>
    </row>
    <row r="102" ht="15.75" spans="1:6">
      <c r="A102" s="18">
        <v>45788</v>
      </c>
      <c r="B102" s="17" t="s">
        <v>3442</v>
      </c>
      <c r="C102" s="17" t="s">
        <v>3422</v>
      </c>
      <c r="D102" s="17"/>
      <c r="E102" s="17">
        <v>13000</v>
      </c>
      <c r="F102" s="17">
        <f t="shared" si="1"/>
        <v>73667</v>
      </c>
    </row>
    <row r="103" ht="15.75" spans="1:6">
      <c r="A103" s="18">
        <v>45941</v>
      </c>
      <c r="B103" s="17" t="s">
        <v>3443</v>
      </c>
      <c r="C103" s="17" t="s">
        <v>3333</v>
      </c>
      <c r="D103" s="17"/>
      <c r="E103" s="17">
        <v>3750</v>
      </c>
      <c r="F103" s="17">
        <f t="shared" si="1"/>
        <v>77417</v>
      </c>
    </row>
    <row r="104" ht="15.75" spans="1:6">
      <c r="A104" s="18">
        <v>45972</v>
      </c>
      <c r="B104" s="17" t="s">
        <v>3444</v>
      </c>
      <c r="C104" s="17" t="s">
        <v>3424</v>
      </c>
      <c r="D104" s="17"/>
      <c r="E104" s="17">
        <v>1800</v>
      </c>
      <c r="F104" s="17">
        <f t="shared" si="1"/>
        <v>79217</v>
      </c>
    </row>
    <row r="105" ht="15.75" spans="1:6">
      <c r="A105" s="18">
        <v>45880</v>
      </c>
      <c r="B105" s="17" t="s">
        <v>3445</v>
      </c>
      <c r="C105" s="17" t="s">
        <v>3446</v>
      </c>
      <c r="D105" s="17">
        <v>57600</v>
      </c>
      <c r="E105" s="17"/>
      <c r="F105" s="17">
        <f t="shared" si="1"/>
        <v>21617</v>
      </c>
    </row>
    <row r="106" ht="15.75" spans="1:6">
      <c r="A106" s="18">
        <v>45880</v>
      </c>
      <c r="B106" s="17" t="s">
        <v>3445</v>
      </c>
      <c r="C106" s="17" t="s">
        <v>3447</v>
      </c>
      <c r="D106" s="17"/>
      <c r="E106" s="17">
        <v>13000</v>
      </c>
      <c r="F106" s="17">
        <f t="shared" si="1"/>
        <v>34617</v>
      </c>
    </row>
    <row r="107" ht="15.75" spans="1:6">
      <c r="A107" s="18" t="s">
        <v>2764</v>
      </c>
      <c r="B107" s="17" t="s">
        <v>3448</v>
      </c>
      <c r="C107" s="17" t="s">
        <v>3422</v>
      </c>
      <c r="D107" s="17"/>
      <c r="E107" s="17">
        <v>12000</v>
      </c>
      <c r="F107" s="17">
        <f t="shared" si="1"/>
        <v>46617</v>
      </c>
    </row>
    <row r="108" ht="15.75" spans="1:6">
      <c r="A108" s="18" t="s">
        <v>2573</v>
      </c>
      <c r="B108" s="17" t="s">
        <v>3449</v>
      </c>
      <c r="C108" s="17" t="s">
        <v>3450</v>
      </c>
      <c r="D108" s="17"/>
      <c r="E108" s="17">
        <v>12000</v>
      </c>
      <c r="F108" s="17">
        <f t="shared" si="1"/>
        <v>58617</v>
      </c>
    </row>
    <row r="109" ht="15.75" spans="1:6">
      <c r="A109" s="18" t="s">
        <v>2573</v>
      </c>
      <c r="B109" s="17" t="s">
        <v>3451</v>
      </c>
      <c r="C109" s="17" t="s">
        <v>1306</v>
      </c>
      <c r="D109" s="17"/>
      <c r="E109" s="17">
        <v>550</v>
      </c>
      <c r="F109" s="17">
        <f t="shared" si="1"/>
        <v>59167</v>
      </c>
    </row>
    <row r="110" ht="15.75" spans="1:6">
      <c r="A110" s="18" t="s">
        <v>2582</v>
      </c>
      <c r="B110" s="17" t="s">
        <v>3452</v>
      </c>
      <c r="C110" s="17" t="s">
        <v>3453</v>
      </c>
      <c r="D110" s="17"/>
      <c r="E110" s="17">
        <v>6100</v>
      </c>
      <c r="F110" s="17">
        <f t="shared" si="1"/>
        <v>65267</v>
      </c>
    </row>
    <row r="111" ht="15.75" spans="1:6">
      <c r="A111" s="18">
        <v>45669</v>
      </c>
      <c r="B111" s="17" t="s">
        <v>3454</v>
      </c>
      <c r="C111" s="17" t="s">
        <v>3455</v>
      </c>
      <c r="D111" s="17"/>
      <c r="E111" s="17">
        <v>29200</v>
      </c>
      <c r="F111" s="17">
        <f t="shared" ref="F111:F132" si="2">F110-D111+E111</f>
        <v>94467</v>
      </c>
    </row>
    <row r="112" ht="15.75" spans="1:6">
      <c r="A112" s="18">
        <v>45700</v>
      </c>
      <c r="B112" s="17" t="s">
        <v>156</v>
      </c>
      <c r="C112" s="17" t="s">
        <v>694</v>
      </c>
      <c r="D112" s="17">
        <v>6100</v>
      </c>
      <c r="E112" s="17"/>
      <c r="F112" s="17">
        <f t="shared" si="2"/>
        <v>88367</v>
      </c>
    </row>
    <row r="113" ht="15.75" spans="1:6">
      <c r="A113" s="18">
        <v>45700</v>
      </c>
      <c r="B113" s="17" t="s">
        <v>156</v>
      </c>
      <c r="C113" s="17" t="s">
        <v>694</v>
      </c>
      <c r="D113" s="17">
        <v>9200</v>
      </c>
      <c r="E113" s="17"/>
      <c r="F113" s="17">
        <f t="shared" si="2"/>
        <v>79167</v>
      </c>
    </row>
    <row r="114" ht="15.75" spans="1:6">
      <c r="A114" s="18">
        <v>46357</v>
      </c>
      <c r="B114" s="17" t="s">
        <v>3456</v>
      </c>
      <c r="C114" s="17" t="s">
        <v>3457</v>
      </c>
      <c r="D114" s="17"/>
      <c r="E114" s="17">
        <v>11450</v>
      </c>
      <c r="F114" s="17">
        <f t="shared" si="2"/>
        <v>90617</v>
      </c>
    </row>
    <row r="115" ht="15.75" spans="1:6">
      <c r="A115" s="18" t="s">
        <v>2624</v>
      </c>
      <c r="B115" s="17" t="s">
        <v>3458</v>
      </c>
      <c r="C115" s="17" t="s">
        <v>3434</v>
      </c>
      <c r="D115" s="17"/>
      <c r="E115" s="17">
        <v>18875</v>
      </c>
      <c r="F115" s="17">
        <f t="shared" si="2"/>
        <v>109492</v>
      </c>
    </row>
    <row r="116" ht="15.75" spans="1:6">
      <c r="A116" s="18" t="s">
        <v>2624</v>
      </c>
      <c r="B116" s="17" t="s">
        <v>3459</v>
      </c>
      <c r="C116" s="17" t="s">
        <v>3460</v>
      </c>
      <c r="D116" s="17">
        <v>33600</v>
      </c>
      <c r="E116" s="17"/>
      <c r="F116" s="17">
        <f t="shared" si="2"/>
        <v>75892</v>
      </c>
    </row>
    <row r="117" ht="15.75" spans="1:6">
      <c r="A117" s="18" t="s">
        <v>2624</v>
      </c>
      <c r="B117" s="17" t="s">
        <v>3461</v>
      </c>
      <c r="C117" s="17" t="s">
        <v>3462</v>
      </c>
      <c r="D117" s="17"/>
      <c r="E117" s="17">
        <v>20400</v>
      </c>
      <c r="F117" s="17">
        <f t="shared" si="2"/>
        <v>96292</v>
      </c>
    </row>
    <row r="118" ht="15.75" spans="1:6">
      <c r="A118" s="18" t="s">
        <v>3281</v>
      </c>
      <c r="B118" s="17" t="s">
        <v>3463</v>
      </c>
      <c r="C118" s="17" t="s">
        <v>3457</v>
      </c>
      <c r="D118" s="17"/>
      <c r="E118" s="17">
        <v>12240</v>
      </c>
      <c r="F118" s="17">
        <f t="shared" si="2"/>
        <v>108532</v>
      </c>
    </row>
    <row r="119" ht="15.75" spans="1:6">
      <c r="A119" s="18" t="s">
        <v>2626</v>
      </c>
      <c r="B119" s="17" t="s">
        <v>3464</v>
      </c>
      <c r="C119" s="17" t="s">
        <v>3462</v>
      </c>
      <c r="D119" s="17"/>
      <c r="E119" s="17">
        <v>31975</v>
      </c>
      <c r="F119" s="17">
        <f t="shared" si="2"/>
        <v>140507</v>
      </c>
    </row>
    <row r="120" ht="15.75" spans="1:6">
      <c r="A120" s="18" t="s">
        <v>2627</v>
      </c>
      <c r="B120" s="17"/>
      <c r="C120" s="17" t="s">
        <v>3465</v>
      </c>
      <c r="D120" s="17"/>
      <c r="E120" s="17">
        <v>35000</v>
      </c>
      <c r="F120" s="17">
        <f t="shared" si="2"/>
        <v>175507</v>
      </c>
    </row>
    <row r="121" ht="15.75" spans="1:6">
      <c r="A121" s="18" t="s">
        <v>2630</v>
      </c>
      <c r="B121" s="17"/>
      <c r="C121" s="17" t="s">
        <v>3460</v>
      </c>
      <c r="D121" s="17">
        <v>90200</v>
      </c>
      <c r="E121" s="17"/>
      <c r="F121" s="17">
        <f t="shared" si="2"/>
        <v>85307</v>
      </c>
    </row>
    <row r="122" ht="15.75" spans="1:6">
      <c r="A122" s="18" t="s">
        <v>3466</v>
      </c>
      <c r="B122" s="17" t="s">
        <v>3467</v>
      </c>
      <c r="C122" s="17" t="s">
        <v>2669</v>
      </c>
      <c r="D122" s="17"/>
      <c r="E122" s="17">
        <v>10500</v>
      </c>
      <c r="F122" s="17">
        <f t="shared" si="2"/>
        <v>95807</v>
      </c>
    </row>
    <row r="123" ht="15.75" spans="1:6">
      <c r="A123" s="18" t="s">
        <v>2674</v>
      </c>
      <c r="B123" s="17" t="s">
        <v>3468</v>
      </c>
      <c r="C123" s="17" t="s">
        <v>3469</v>
      </c>
      <c r="D123" s="17"/>
      <c r="E123" s="17">
        <v>1000</v>
      </c>
      <c r="F123" s="17">
        <f t="shared" si="2"/>
        <v>96807</v>
      </c>
    </row>
    <row r="124" ht="15.75" spans="1:6">
      <c r="A124" s="18">
        <v>46114</v>
      </c>
      <c r="B124" s="17" t="s">
        <v>3470</v>
      </c>
      <c r="C124" s="17" t="s">
        <v>2669</v>
      </c>
      <c r="D124" s="17"/>
      <c r="E124" s="17">
        <v>5800</v>
      </c>
      <c r="F124" s="17">
        <f t="shared" si="2"/>
        <v>102607</v>
      </c>
    </row>
    <row r="125" ht="15.75" spans="1:6">
      <c r="A125" s="18">
        <v>46144</v>
      </c>
      <c r="B125" s="17" t="s">
        <v>3471</v>
      </c>
      <c r="C125" s="17" t="s">
        <v>2669</v>
      </c>
      <c r="D125" s="17"/>
      <c r="E125" s="17">
        <v>4800</v>
      </c>
      <c r="F125" s="17">
        <f t="shared" si="2"/>
        <v>107407</v>
      </c>
    </row>
    <row r="126" ht="15.75" spans="1:6">
      <c r="A126" s="18">
        <v>46236</v>
      </c>
      <c r="B126" s="17" t="s">
        <v>3472</v>
      </c>
      <c r="C126" s="17" t="s">
        <v>2669</v>
      </c>
      <c r="D126" s="17"/>
      <c r="E126" s="17">
        <v>12000</v>
      </c>
      <c r="F126" s="17">
        <f t="shared" si="2"/>
        <v>119407</v>
      </c>
    </row>
    <row r="127" ht="15.75" spans="1:6">
      <c r="A127" s="18">
        <v>46236</v>
      </c>
      <c r="B127" s="17" t="s">
        <v>156</v>
      </c>
      <c r="C127" s="17" t="s">
        <v>694</v>
      </c>
      <c r="D127" s="17">
        <v>20000</v>
      </c>
      <c r="E127" s="17"/>
      <c r="F127" s="17">
        <f t="shared" si="2"/>
        <v>99407</v>
      </c>
    </row>
    <row r="128" ht="15.75" spans="1:6">
      <c r="A128" s="18">
        <v>46297</v>
      </c>
      <c r="B128" s="17" t="s">
        <v>3473</v>
      </c>
      <c r="C128" s="17" t="s">
        <v>140</v>
      </c>
      <c r="D128" s="17"/>
      <c r="E128" s="17">
        <v>190</v>
      </c>
      <c r="F128" s="17">
        <f t="shared" si="2"/>
        <v>99597</v>
      </c>
    </row>
    <row r="129" ht="15.75" spans="1:6">
      <c r="A129" s="18">
        <v>46297</v>
      </c>
      <c r="B129" s="17" t="s">
        <v>156</v>
      </c>
      <c r="C129" s="17" t="s">
        <v>694</v>
      </c>
      <c r="D129" s="17">
        <v>8300</v>
      </c>
      <c r="E129" s="17"/>
      <c r="F129" s="17">
        <f t="shared" si="2"/>
        <v>91297</v>
      </c>
    </row>
    <row r="130" ht="15.75" spans="1:6">
      <c r="A130" s="18" t="s">
        <v>2651</v>
      </c>
      <c r="B130" s="17" t="s">
        <v>3474</v>
      </c>
      <c r="C130" s="17" t="s">
        <v>2564</v>
      </c>
      <c r="D130" s="17">
        <v>4585</v>
      </c>
      <c r="E130" s="17"/>
      <c r="F130" s="17">
        <f t="shared" ref="F130:F142" si="3">F129-D130+E130</f>
        <v>86712</v>
      </c>
    </row>
    <row r="131" ht="15.75" spans="1:6">
      <c r="A131" s="18" t="s">
        <v>2653</v>
      </c>
      <c r="B131" s="17" t="s">
        <v>3475</v>
      </c>
      <c r="C131" s="17" t="s">
        <v>3476</v>
      </c>
      <c r="D131" s="17"/>
      <c r="E131" s="17">
        <v>17850</v>
      </c>
      <c r="F131" s="17">
        <f t="shared" si="3"/>
        <v>104562</v>
      </c>
    </row>
    <row r="132" ht="15.75" spans="1:6">
      <c r="A132" s="18" t="s">
        <v>2653</v>
      </c>
      <c r="B132" s="17" t="s">
        <v>156</v>
      </c>
      <c r="C132" s="17" t="s">
        <v>694</v>
      </c>
      <c r="D132" s="17">
        <v>30000</v>
      </c>
      <c r="E132" s="17"/>
      <c r="F132" s="17">
        <f t="shared" si="3"/>
        <v>74562</v>
      </c>
    </row>
    <row r="133" ht="15.75" spans="1:6">
      <c r="A133" s="18" t="s">
        <v>2653</v>
      </c>
      <c r="B133" s="17" t="s">
        <v>156</v>
      </c>
      <c r="C133" s="17" t="s">
        <v>2564</v>
      </c>
      <c r="D133" s="17">
        <v>10000</v>
      </c>
      <c r="E133" s="17"/>
      <c r="F133" s="17">
        <f t="shared" si="3"/>
        <v>64562</v>
      </c>
    </row>
    <row r="134" ht="15.75" spans="1:6">
      <c r="A134" s="18" t="s">
        <v>3477</v>
      </c>
      <c r="B134" s="17" t="s">
        <v>3478</v>
      </c>
      <c r="C134" s="17" t="s">
        <v>3479</v>
      </c>
      <c r="D134" s="17"/>
      <c r="E134" s="17">
        <v>56950</v>
      </c>
      <c r="F134" s="17">
        <f t="shared" si="3"/>
        <v>121512</v>
      </c>
    </row>
    <row r="135" ht="15.75" spans="1:6">
      <c r="A135" s="18"/>
      <c r="B135" s="17"/>
      <c r="C135" s="17"/>
      <c r="D135" s="17"/>
      <c r="E135" s="17"/>
      <c r="F135" s="17">
        <f t="shared" si="3"/>
        <v>121512</v>
      </c>
    </row>
    <row r="136" ht="15.75" spans="1:6">
      <c r="A136" s="18"/>
      <c r="B136" s="17"/>
      <c r="C136" s="17"/>
      <c r="D136" s="17"/>
      <c r="E136" s="17"/>
      <c r="F136" s="17">
        <f t="shared" si="3"/>
        <v>121512</v>
      </c>
    </row>
    <row r="137" ht="15.75" spans="1:6">
      <c r="A137" s="18"/>
      <c r="B137" s="17"/>
      <c r="C137" s="17"/>
      <c r="D137" s="17"/>
      <c r="E137" s="17"/>
      <c r="F137" s="17">
        <f t="shared" si="3"/>
        <v>121512</v>
      </c>
    </row>
    <row r="138" ht="15.75" spans="1:6">
      <c r="A138" s="18"/>
      <c r="B138" s="17"/>
      <c r="C138" s="17"/>
      <c r="D138" s="17"/>
      <c r="E138" s="17"/>
      <c r="F138" s="17">
        <f t="shared" si="3"/>
        <v>121512</v>
      </c>
    </row>
    <row r="139" ht="15.75" spans="1:6">
      <c r="A139" s="18"/>
      <c r="B139" s="17"/>
      <c r="C139" s="17"/>
      <c r="D139" s="17"/>
      <c r="E139" s="17"/>
      <c r="F139" s="17">
        <f t="shared" si="3"/>
        <v>121512</v>
      </c>
    </row>
    <row r="140" ht="15.75" spans="1:6">
      <c r="A140" s="18"/>
      <c r="B140" s="17"/>
      <c r="C140" s="17"/>
      <c r="D140" s="17"/>
      <c r="E140" s="17"/>
      <c r="F140" s="17">
        <f t="shared" si="3"/>
        <v>121512</v>
      </c>
    </row>
    <row r="141" ht="15.75" spans="1:6">
      <c r="A141" s="18"/>
      <c r="B141" s="17"/>
      <c r="C141" s="17"/>
      <c r="D141" s="17"/>
      <c r="E141" s="17"/>
      <c r="F141" s="17">
        <f t="shared" si="3"/>
        <v>121512</v>
      </c>
    </row>
    <row r="142" ht="18.75" spans="1:6">
      <c r="A142" s="13" t="s">
        <v>303</v>
      </c>
      <c r="B142" s="13"/>
      <c r="C142" s="13"/>
      <c r="D142" s="13"/>
      <c r="E142" s="13"/>
      <c r="F142" s="17">
        <f t="shared" si="3"/>
        <v>121512</v>
      </c>
    </row>
  </sheetData>
  <mergeCells count="6">
    <mergeCell ref="A3:C3"/>
    <mergeCell ref="D3:F3"/>
    <mergeCell ref="A4:B4"/>
    <mergeCell ref="C4:F4"/>
    <mergeCell ref="A142:E142"/>
    <mergeCell ref="A1:F2"/>
  </mergeCells>
  <pageMargins left="0.7" right="0.7" top="0.75" bottom="0.75" header="0.3" footer="0.3"/>
  <pageSetup paperSize="9" orientation="portrait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/>
  <dimension ref="A1:F25"/>
  <sheetViews>
    <sheetView topLeftCell="A10" workbookViewId="0">
      <selection activeCell="D12" sqref="D12"/>
    </sheetView>
  </sheetViews>
  <sheetFormatPr defaultColWidth="9" defaultRowHeight="15" outlineLevelCol="5"/>
  <cols>
    <col min="1" max="1" width="10.1428571428571" customWidth="1"/>
    <col min="2" max="2" width="10.2857142857143" customWidth="1"/>
    <col min="3" max="3" width="22" customWidth="1"/>
    <col min="4" max="4" width="11.1428571428571" customWidth="1"/>
    <col min="5" max="5" width="10.8571428571429" customWidth="1"/>
    <col min="6" max="6" width="13.1428571428571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3480</v>
      </c>
      <c r="E3" s="11"/>
      <c r="F3" s="12"/>
    </row>
    <row r="4" ht="18.75" spans="1:6">
      <c r="A4" s="13" t="s">
        <v>84</v>
      </c>
      <c r="B4" s="13"/>
      <c r="C4" s="14" t="s">
        <v>3481</v>
      </c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8">
        <v>45872</v>
      </c>
      <c r="B6" s="17" t="s">
        <v>3482</v>
      </c>
      <c r="C6" s="17" t="s">
        <v>275</v>
      </c>
      <c r="D6" s="17"/>
      <c r="E6" s="17">
        <v>17350</v>
      </c>
      <c r="F6" s="17">
        <f>E6-D6</f>
        <v>17350</v>
      </c>
    </row>
    <row r="7" ht="15.75" spans="1:6">
      <c r="A7" s="18">
        <v>45903</v>
      </c>
      <c r="B7" s="17" t="s">
        <v>253</v>
      </c>
      <c r="C7" s="17" t="s">
        <v>313</v>
      </c>
      <c r="D7" s="17">
        <v>19300</v>
      </c>
      <c r="E7" s="17"/>
      <c r="F7" s="17">
        <f>E7-D7+F6</f>
        <v>-1950</v>
      </c>
    </row>
    <row r="8" ht="15.75" spans="1:6">
      <c r="A8" s="18">
        <v>45903</v>
      </c>
      <c r="B8" s="17" t="s">
        <v>3483</v>
      </c>
      <c r="C8" s="17" t="s">
        <v>3484</v>
      </c>
      <c r="D8" s="17"/>
      <c r="E8" s="17">
        <v>2000</v>
      </c>
      <c r="F8" s="17">
        <f t="shared" ref="F8:F25" si="0">E8-D8+F7</f>
        <v>50</v>
      </c>
    </row>
    <row r="9" ht="15.75" spans="1:6">
      <c r="A9" s="17" t="s">
        <v>3485</v>
      </c>
      <c r="B9" s="17" t="s">
        <v>3486</v>
      </c>
      <c r="C9" s="17" t="s">
        <v>275</v>
      </c>
      <c r="D9" s="17"/>
      <c r="E9" s="19">
        <v>55000</v>
      </c>
      <c r="F9" s="17">
        <f t="shared" si="0"/>
        <v>55050</v>
      </c>
    </row>
    <row r="10" ht="15.75" spans="1:6">
      <c r="A10" s="18">
        <v>45994</v>
      </c>
      <c r="B10" s="17" t="s">
        <v>3487</v>
      </c>
      <c r="C10" s="17" t="s">
        <v>3488</v>
      </c>
      <c r="D10" s="17"/>
      <c r="E10" s="19">
        <v>1200</v>
      </c>
      <c r="F10" s="17">
        <f t="shared" si="0"/>
        <v>56250</v>
      </c>
    </row>
    <row r="11" ht="31.5" spans="1:6">
      <c r="A11" s="17" t="s">
        <v>832</v>
      </c>
      <c r="B11" s="17" t="s">
        <v>3489</v>
      </c>
      <c r="C11" s="71" t="s">
        <v>3490</v>
      </c>
      <c r="D11" s="17"/>
      <c r="E11" s="19">
        <v>6550</v>
      </c>
      <c r="F11" s="17">
        <f t="shared" si="0"/>
        <v>62800</v>
      </c>
    </row>
    <row r="12" ht="15.75" spans="1:6">
      <c r="A12" s="17" t="s">
        <v>351</v>
      </c>
      <c r="B12" s="17" t="s">
        <v>3491</v>
      </c>
      <c r="C12" s="17" t="s">
        <v>3492</v>
      </c>
      <c r="D12" s="17"/>
      <c r="E12" s="19">
        <v>1530</v>
      </c>
      <c r="F12" s="17">
        <f t="shared" si="0"/>
        <v>64330</v>
      </c>
    </row>
    <row r="13" ht="15.75" spans="1:6">
      <c r="A13" s="17" t="s">
        <v>358</v>
      </c>
      <c r="B13" s="17" t="s">
        <v>253</v>
      </c>
      <c r="C13" s="72" t="s">
        <v>313</v>
      </c>
      <c r="D13" s="17">
        <v>1200</v>
      </c>
      <c r="E13" s="19"/>
      <c r="F13" s="17">
        <f t="shared" si="0"/>
        <v>63130</v>
      </c>
    </row>
    <row r="14" ht="15.75" spans="1:6">
      <c r="A14" s="73" t="s">
        <v>358</v>
      </c>
      <c r="B14" s="17" t="s">
        <v>253</v>
      </c>
      <c r="C14" s="72" t="s">
        <v>313</v>
      </c>
      <c r="D14" s="17">
        <v>1530</v>
      </c>
      <c r="E14" s="19"/>
      <c r="F14" s="17">
        <f t="shared" si="0"/>
        <v>61600</v>
      </c>
    </row>
    <row r="15" ht="31.5" spans="1:6">
      <c r="A15" s="73" t="s">
        <v>358</v>
      </c>
      <c r="B15" s="17" t="s">
        <v>253</v>
      </c>
      <c r="C15" s="74" t="s">
        <v>3493</v>
      </c>
      <c r="D15" s="17">
        <v>35000</v>
      </c>
      <c r="E15" s="19"/>
      <c r="F15" s="17">
        <f t="shared" si="0"/>
        <v>26600</v>
      </c>
    </row>
    <row r="16" ht="15.75" spans="1:6">
      <c r="A16" s="75">
        <v>45904</v>
      </c>
      <c r="B16" s="17" t="s">
        <v>3494</v>
      </c>
      <c r="C16" s="72" t="s">
        <v>3495</v>
      </c>
      <c r="D16" s="17"/>
      <c r="E16" s="19">
        <v>500</v>
      </c>
      <c r="F16" s="17">
        <f t="shared" si="0"/>
        <v>27100</v>
      </c>
    </row>
    <row r="17" ht="15.75" spans="1:6">
      <c r="A17" s="73" t="s">
        <v>403</v>
      </c>
      <c r="B17" s="17" t="s">
        <v>3496</v>
      </c>
      <c r="C17" s="72" t="s">
        <v>1545</v>
      </c>
      <c r="D17" s="17"/>
      <c r="E17" s="19">
        <v>250</v>
      </c>
      <c r="F17" s="17">
        <f t="shared" si="0"/>
        <v>27350</v>
      </c>
    </row>
    <row r="18" ht="15.75" spans="1:6">
      <c r="A18" s="73" t="s">
        <v>1543</v>
      </c>
      <c r="B18" s="17" t="s">
        <v>3497</v>
      </c>
      <c r="C18" s="72" t="s">
        <v>3498</v>
      </c>
      <c r="D18" s="17"/>
      <c r="E18" s="19">
        <v>7500</v>
      </c>
      <c r="F18" s="17">
        <f t="shared" si="0"/>
        <v>34850</v>
      </c>
    </row>
    <row r="19" ht="15.75" spans="1:6">
      <c r="A19" s="73" t="s">
        <v>405</v>
      </c>
      <c r="B19" s="17" t="s">
        <v>253</v>
      </c>
      <c r="C19" s="72" t="s">
        <v>313</v>
      </c>
      <c r="D19" s="17">
        <v>20000</v>
      </c>
      <c r="E19" s="19"/>
      <c r="F19" s="17">
        <f t="shared" si="0"/>
        <v>14850</v>
      </c>
    </row>
    <row r="20" ht="15.75" spans="1:6">
      <c r="A20" s="73"/>
      <c r="B20" s="17"/>
      <c r="C20" s="74"/>
      <c r="D20" s="17"/>
      <c r="E20" s="19"/>
      <c r="F20" s="17">
        <f t="shared" si="0"/>
        <v>14850</v>
      </c>
    </row>
    <row r="21" ht="31.5" spans="1:6">
      <c r="A21" s="73" t="s">
        <v>405</v>
      </c>
      <c r="B21" s="17" t="s">
        <v>3499</v>
      </c>
      <c r="C21" s="74" t="s">
        <v>3500</v>
      </c>
      <c r="D21" s="17"/>
      <c r="E21" s="19">
        <v>7915</v>
      </c>
      <c r="F21" s="17">
        <f t="shared" si="0"/>
        <v>22765</v>
      </c>
    </row>
    <row r="22" ht="15.75" spans="1:6">
      <c r="A22" s="73"/>
      <c r="B22" s="17"/>
      <c r="C22" s="72"/>
      <c r="D22" s="17"/>
      <c r="E22" s="19"/>
      <c r="F22" s="17">
        <f t="shared" si="0"/>
        <v>22765</v>
      </c>
    </row>
    <row r="23" ht="15.75" spans="1:6">
      <c r="A23" s="73"/>
      <c r="B23" s="17"/>
      <c r="C23" s="72"/>
      <c r="D23" s="17"/>
      <c r="E23" s="19"/>
      <c r="F23" s="17">
        <f t="shared" si="0"/>
        <v>22765</v>
      </c>
    </row>
    <row r="24" ht="15.75" spans="1:6">
      <c r="A24" s="73"/>
      <c r="B24" s="17"/>
      <c r="C24" s="72"/>
      <c r="D24" s="17"/>
      <c r="E24" s="19"/>
      <c r="F24" s="17">
        <f t="shared" si="0"/>
        <v>22765</v>
      </c>
    </row>
    <row r="25" ht="18.75" spans="1:6">
      <c r="A25" s="7" t="s">
        <v>303</v>
      </c>
      <c r="B25" s="8"/>
      <c r="C25" s="8"/>
      <c r="D25" s="8"/>
      <c r="E25" s="9"/>
      <c r="F25" s="17">
        <f t="shared" si="0"/>
        <v>22765</v>
      </c>
    </row>
  </sheetData>
  <mergeCells count="6">
    <mergeCell ref="A3:C3"/>
    <mergeCell ref="D3:F3"/>
    <mergeCell ref="A4:B4"/>
    <mergeCell ref="C4:F4"/>
    <mergeCell ref="A25:E25"/>
    <mergeCell ref="A1:F2"/>
  </mergeCells>
  <pageMargins left="0.7" right="0.7" top="0.75" bottom="0.75" header="0.3" footer="0.3"/>
  <pageSetup paperSize="9" orientation="portrait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/>
  <dimension ref="A1:G21"/>
  <sheetViews>
    <sheetView workbookViewId="0">
      <selection activeCell="A11" sqref="A11"/>
    </sheetView>
  </sheetViews>
  <sheetFormatPr defaultColWidth="9" defaultRowHeight="15" outlineLevelCol="6"/>
  <cols>
    <col min="1" max="1" width="10.1428571428571" customWidth="1"/>
    <col min="3" max="3" width="24.1428571428571" customWidth="1"/>
    <col min="6" max="6" width="10.7142857142857" customWidth="1"/>
  </cols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3501</v>
      </c>
      <c r="E3" s="11"/>
      <c r="F3" s="12"/>
    </row>
    <row r="4" ht="18.75" spans="1:6">
      <c r="A4" s="13" t="s">
        <v>84</v>
      </c>
      <c r="B4" s="13"/>
      <c r="C4" s="14"/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546</v>
      </c>
      <c r="B6" s="17" t="s">
        <v>3502</v>
      </c>
      <c r="C6" s="17" t="s">
        <v>3503</v>
      </c>
      <c r="D6" s="17"/>
      <c r="E6" s="17">
        <v>32000</v>
      </c>
      <c r="F6" s="17">
        <f>E6-D6</f>
        <v>32000</v>
      </c>
    </row>
    <row r="7" ht="15.75" spans="1:6">
      <c r="A7" s="18"/>
      <c r="B7" s="17"/>
      <c r="C7" s="17" t="s">
        <v>3504</v>
      </c>
      <c r="D7" s="17"/>
      <c r="E7" s="17">
        <v>800</v>
      </c>
      <c r="F7" s="17">
        <f>F6-D7+E7</f>
        <v>32800</v>
      </c>
    </row>
    <row r="8" ht="15.75" spans="1:6">
      <c r="A8" s="18">
        <v>45938</v>
      </c>
      <c r="B8" s="17" t="s">
        <v>3505</v>
      </c>
      <c r="C8" s="17" t="s">
        <v>1678</v>
      </c>
      <c r="D8" s="17"/>
      <c r="E8" s="17">
        <v>1500</v>
      </c>
      <c r="F8" s="17">
        <f>F7-D8+E8</f>
        <v>34300</v>
      </c>
    </row>
    <row r="9" ht="15.75" spans="1:7">
      <c r="A9" s="18">
        <v>46143</v>
      </c>
      <c r="B9" s="17"/>
      <c r="C9" s="17"/>
      <c r="D9" s="17">
        <v>34300</v>
      </c>
      <c r="E9" s="17"/>
      <c r="F9" s="17">
        <f t="shared" ref="F9:F21" si="0">F8-D9+E9</f>
        <v>0</v>
      </c>
      <c r="G9" s="20"/>
    </row>
    <row r="10" ht="15.75" spans="1:6">
      <c r="A10" s="18" t="s">
        <v>2653</v>
      </c>
      <c r="B10" s="17" t="s">
        <v>3506</v>
      </c>
      <c r="C10" s="17" t="s">
        <v>3507</v>
      </c>
      <c r="D10" s="17"/>
      <c r="E10" s="17">
        <v>5500</v>
      </c>
      <c r="F10" s="17">
        <f t="shared" si="0"/>
        <v>5500</v>
      </c>
    </row>
    <row r="11" ht="15.75" spans="1:6">
      <c r="A11" s="18"/>
      <c r="B11" s="17"/>
      <c r="C11" s="17"/>
      <c r="D11" s="17"/>
      <c r="E11" s="17"/>
      <c r="F11" s="17">
        <f t="shared" si="0"/>
        <v>5500</v>
      </c>
    </row>
    <row r="12" ht="15.75" spans="1:6">
      <c r="A12" s="18"/>
      <c r="B12" s="17"/>
      <c r="C12" s="17"/>
      <c r="D12" s="17"/>
      <c r="E12" s="17"/>
      <c r="F12" s="17">
        <f t="shared" si="0"/>
        <v>5500</v>
      </c>
    </row>
    <row r="13" ht="15.75" spans="1:6">
      <c r="A13" s="18"/>
      <c r="B13" s="17"/>
      <c r="C13" s="17"/>
      <c r="D13" s="17"/>
      <c r="E13" s="17"/>
      <c r="F13" s="17">
        <f t="shared" si="0"/>
        <v>5500</v>
      </c>
    </row>
    <row r="14" ht="15.75" spans="1:6">
      <c r="A14" s="18"/>
      <c r="B14" s="17"/>
      <c r="C14" s="17"/>
      <c r="D14" s="17"/>
      <c r="E14" s="17"/>
      <c r="F14" s="17">
        <f t="shared" si="0"/>
        <v>5500</v>
      </c>
    </row>
    <row r="15" ht="15.75" spans="1:6">
      <c r="A15" s="18"/>
      <c r="B15" s="17"/>
      <c r="C15" s="17"/>
      <c r="D15" s="17"/>
      <c r="E15" s="17"/>
      <c r="F15" s="17">
        <f t="shared" si="0"/>
        <v>5500</v>
      </c>
    </row>
    <row r="16" ht="15.75" spans="1:6">
      <c r="A16" s="18"/>
      <c r="B16" s="17"/>
      <c r="C16" s="17"/>
      <c r="D16" s="17"/>
      <c r="E16" s="17"/>
      <c r="F16" s="17">
        <f t="shared" si="0"/>
        <v>5500</v>
      </c>
    </row>
    <row r="17" ht="15.75" spans="1:6">
      <c r="A17" s="18"/>
      <c r="B17" s="17"/>
      <c r="C17" s="17"/>
      <c r="D17" s="17"/>
      <c r="E17" s="17"/>
      <c r="F17" s="17">
        <f t="shared" si="0"/>
        <v>5500</v>
      </c>
    </row>
    <row r="18" ht="15.75" spans="1:6">
      <c r="A18" s="18"/>
      <c r="B18" s="17"/>
      <c r="C18" s="17"/>
      <c r="D18" s="17"/>
      <c r="E18" s="17"/>
      <c r="F18" s="17">
        <f t="shared" si="0"/>
        <v>5500</v>
      </c>
    </row>
    <row r="19" ht="15.75" spans="1:6">
      <c r="A19" s="18"/>
      <c r="B19" s="17"/>
      <c r="C19" s="17"/>
      <c r="D19" s="17"/>
      <c r="E19" s="17"/>
      <c r="F19" s="17">
        <f t="shared" si="0"/>
        <v>5500</v>
      </c>
    </row>
    <row r="20" ht="15.75" spans="1:6">
      <c r="A20" s="17"/>
      <c r="B20" s="17"/>
      <c r="C20" s="17"/>
      <c r="D20" s="17"/>
      <c r="E20" s="17"/>
      <c r="F20" s="17">
        <f t="shared" si="0"/>
        <v>5500</v>
      </c>
    </row>
    <row r="21" ht="18.75" spans="1:6">
      <c r="A21" s="7" t="s">
        <v>303</v>
      </c>
      <c r="B21" s="8"/>
      <c r="C21" s="8"/>
      <c r="D21" s="8"/>
      <c r="E21" s="9"/>
      <c r="F21" s="17">
        <f t="shared" si="0"/>
        <v>5500</v>
      </c>
    </row>
  </sheetData>
  <mergeCells count="6">
    <mergeCell ref="A3:C3"/>
    <mergeCell ref="D3:F3"/>
    <mergeCell ref="A4:B4"/>
    <mergeCell ref="C4:F4"/>
    <mergeCell ref="A21:E21"/>
    <mergeCell ref="A1:F2"/>
  </mergeCells>
  <pageMargins left="0.7" right="0.7" top="0.75" bottom="0.75" header="0.3" footer="0.3"/>
  <pageSetup paperSize="9" orientation="portrait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workbookViewId="0">
      <selection activeCell="D11" sqref="D11"/>
    </sheetView>
  </sheetViews>
  <sheetFormatPr defaultColWidth="9.14285714285714" defaultRowHeight="15" outlineLevelCol="5"/>
  <cols>
    <col min="1" max="1" width="12.7142857142857" style="36"/>
    <col min="2" max="2" width="9.14285714285714" style="36"/>
    <col min="3" max="3" width="26.7142857142857" style="36" customWidth="1"/>
    <col min="4" max="5" width="9.14285714285714" style="36"/>
    <col min="6" max="6" width="11.1428571428571" style="36" customWidth="1"/>
  </cols>
  <sheetData>
    <row r="1" ht="42" customHeight="1" spans="1:6">
      <c r="A1" s="58" t="s">
        <v>1210</v>
      </c>
      <c r="B1" s="59"/>
      <c r="C1" s="59"/>
      <c r="D1" s="59"/>
      <c r="E1" s="59"/>
      <c r="F1" s="59"/>
    </row>
    <row r="2" ht="26.25" spans="1:6">
      <c r="A2" s="60" t="s">
        <v>82</v>
      </c>
      <c r="B2" s="61"/>
      <c r="C2" s="62"/>
      <c r="D2" s="63" t="s">
        <v>3508</v>
      </c>
      <c r="E2" s="64"/>
      <c r="F2" s="65"/>
    </row>
    <row r="3" ht="23.25" spans="1:6">
      <c r="A3" s="66" t="s">
        <v>3509</v>
      </c>
      <c r="B3" s="67"/>
      <c r="C3" s="68"/>
      <c r="D3" s="64"/>
      <c r="E3" s="64"/>
      <c r="F3" s="65"/>
    </row>
    <row r="4" ht="21" spans="1:6">
      <c r="A4" s="69" t="s">
        <v>86</v>
      </c>
      <c r="B4" s="69" t="s">
        <v>3510</v>
      </c>
      <c r="C4" s="69" t="s">
        <v>3511</v>
      </c>
      <c r="D4" s="69" t="s">
        <v>89</v>
      </c>
      <c r="E4" s="69" t="s">
        <v>90</v>
      </c>
      <c r="F4" s="69" t="s">
        <v>91</v>
      </c>
    </row>
    <row r="5" spans="1:6">
      <c r="A5" s="70">
        <v>46002</v>
      </c>
      <c r="C5" s="36" t="s">
        <v>3512</v>
      </c>
      <c r="D5" s="36">
        <v>22550</v>
      </c>
      <c r="F5" s="36">
        <v>-22550</v>
      </c>
    </row>
    <row r="6" ht="15.75" spans="1:6">
      <c r="A6" s="52">
        <v>46002</v>
      </c>
      <c r="B6" s="51" t="s">
        <v>3513</v>
      </c>
      <c r="C6" s="51" t="s">
        <v>3514</v>
      </c>
      <c r="D6" s="51"/>
      <c r="E6" s="51">
        <v>9600</v>
      </c>
      <c r="F6" s="51">
        <f>F5+E6-D6</f>
        <v>-12950</v>
      </c>
    </row>
    <row r="7" ht="15.75" spans="1:6">
      <c r="A7" s="52">
        <v>46002</v>
      </c>
      <c r="B7" s="51"/>
      <c r="C7" s="51" t="s">
        <v>3515</v>
      </c>
      <c r="D7" s="51"/>
      <c r="E7" s="51">
        <v>4400</v>
      </c>
      <c r="F7" s="51">
        <f t="shared" ref="F7:F23" si="0">F6+E7-D7</f>
        <v>-8550</v>
      </c>
    </row>
    <row r="8" ht="15.75" spans="1:6">
      <c r="A8" s="51"/>
      <c r="B8" s="51"/>
      <c r="C8" s="51" t="s">
        <v>3516</v>
      </c>
      <c r="D8" s="51"/>
      <c r="E8" s="51">
        <v>2200</v>
      </c>
      <c r="F8" s="51">
        <f t="shared" si="0"/>
        <v>-6350</v>
      </c>
    </row>
    <row r="9" ht="15.75" spans="1:6">
      <c r="A9" s="51" t="s">
        <v>2661</v>
      </c>
      <c r="B9" s="51" t="s">
        <v>3517</v>
      </c>
      <c r="C9" s="51" t="s">
        <v>3518</v>
      </c>
      <c r="D9" s="51"/>
      <c r="E9" s="51">
        <v>6350</v>
      </c>
      <c r="F9" s="51">
        <f t="shared" si="0"/>
        <v>0</v>
      </c>
    </row>
    <row r="10" ht="15.75" spans="1:6">
      <c r="A10" s="51"/>
      <c r="B10" s="51"/>
      <c r="C10" s="51"/>
      <c r="D10" s="51"/>
      <c r="E10" s="51"/>
      <c r="F10" s="51">
        <f t="shared" si="0"/>
        <v>0</v>
      </c>
    </row>
    <row r="11" ht="15.75" spans="1:6">
      <c r="A11" s="51"/>
      <c r="B11" s="51"/>
      <c r="C11" s="51"/>
      <c r="D11" s="51"/>
      <c r="E11" s="51"/>
      <c r="F11" s="51">
        <f t="shared" si="0"/>
        <v>0</v>
      </c>
    </row>
    <row r="12" ht="15.75" spans="1:6">
      <c r="A12" s="51"/>
      <c r="B12" s="51"/>
      <c r="C12" s="51"/>
      <c r="D12" s="51"/>
      <c r="E12" s="51"/>
      <c r="F12" s="51">
        <f t="shared" si="0"/>
        <v>0</v>
      </c>
    </row>
    <row r="13" ht="15.75" spans="1:6">
      <c r="A13" s="51"/>
      <c r="B13" s="51"/>
      <c r="C13" s="51"/>
      <c r="D13" s="51"/>
      <c r="E13" s="51"/>
      <c r="F13" s="51">
        <f t="shared" si="0"/>
        <v>0</v>
      </c>
    </row>
    <row r="14" ht="15.75" spans="1:6">
      <c r="A14" s="51"/>
      <c r="B14" s="51"/>
      <c r="C14" s="51"/>
      <c r="D14" s="51"/>
      <c r="E14" s="51"/>
      <c r="F14" s="51">
        <f t="shared" si="0"/>
        <v>0</v>
      </c>
    </row>
    <row r="15" ht="15.75" spans="1:6">
      <c r="A15" s="51"/>
      <c r="B15" s="51"/>
      <c r="C15" s="51"/>
      <c r="D15" s="51"/>
      <c r="E15" s="51"/>
      <c r="F15" s="51">
        <f t="shared" si="0"/>
        <v>0</v>
      </c>
    </row>
    <row r="16" ht="15.75" spans="1:6">
      <c r="A16" s="51"/>
      <c r="B16" s="51"/>
      <c r="C16" s="51"/>
      <c r="D16" s="51"/>
      <c r="E16" s="51"/>
      <c r="F16" s="51">
        <f t="shared" si="0"/>
        <v>0</v>
      </c>
    </row>
    <row r="17" ht="15.75" spans="1:6">
      <c r="A17" s="51"/>
      <c r="B17" s="51"/>
      <c r="C17" s="51"/>
      <c r="D17" s="51"/>
      <c r="E17" s="51"/>
      <c r="F17" s="51">
        <f t="shared" si="0"/>
        <v>0</v>
      </c>
    </row>
    <row r="18" ht="15.75" spans="1:6">
      <c r="A18" s="51"/>
      <c r="B18" s="51"/>
      <c r="C18" s="51"/>
      <c r="D18" s="51"/>
      <c r="E18" s="51"/>
      <c r="F18" s="51">
        <f t="shared" si="0"/>
        <v>0</v>
      </c>
    </row>
    <row r="19" ht="15.75" spans="1:6">
      <c r="A19" s="51"/>
      <c r="B19" s="51"/>
      <c r="C19" s="51"/>
      <c r="D19" s="51"/>
      <c r="E19" s="51"/>
      <c r="F19" s="51">
        <f t="shared" si="0"/>
        <v>0</v>
      </c>
    </row>
    <row r="20" ht="15.75" spans="1:6">
      <c r="A20" s="51"/>
      <c r="B20" s="51"/>
      <c r="C20" s="51"/>
      <c r="D20" s="51"/>
      <c r="E20" s="51"/>
      <c r="F20" s="51">
        <f t="shared" si="0"/>
        <v>0</v>
      </c>
    </row>
    <row r="21" ht="15.75" spans="1:6">
      <c r="A21" s="51"/>
      <c r="B21" s="51"/>
      <c r="C21" s="51"/>
      <c r="D21" s="51"/>
      <c r="E21" s="51"/>
      <c r="F21" s="51">
        <f t="shared" si="0"/>
        <v>0</v>
      </c>
    </row>
    <row r="22" ht="15.75" spans="1:6">
      <c r="A22" s="51"/>
      <c r="B22" s="51"/>
      <c r="C22" s="51"/>
      <c r="D22" s="51"/>
      <c r="E22" s="51"/>
      <c r="F22" s="51">
        <f t="shared" si="0"/>
        <v>0</v>
      </c>
    </row>
    <row r="23" ht="26.25" spans="1:6">
      <c r="A23" s="60" t="s">
        <v>2688</v>
      </c>
      <c r="B23" s="61"/>
      <c r="C23" s="61"/>
      <c r="D23" s="61"/>
      <c r="E23" s="62"/>
      <c r="F23" s="51">
        <f t="shared" si="0"/>
        <v>0</v>
      </c>
    </row>
    <row r="24" ht="15.75" spans="1:6">
      <c r="A24" s="51"/>
      <c r="B24" s="51"/>
      <c r="C24" s="51"/>
      <c r="D24" s="51"/>
      <c r="E24" s="51"/>
      <c r="F24" s="51"/>
    </row>
    <row r="25" ht="15.75" spans="1:6">
      <c r="A25" s="51"/>
      <c r="B25" s="51"/>
      <c r="C25" s="51"/>
      <c r="D25" s="51"/>
      <c r="E25" s="51"/>
      <c r="F25" s="51"/>
    </row>
    <row r="26" ht="15.75" spans="1:6">
      <c r="A26" s="51"/>
      <c r="B26" s="51"/>
      <c r="C26" s="51"/>
      <c r="D26" s="51"/>
      <c r="E26" s="51"/>
      <c r="F26" s="51"/>
    </row>
    <row r="27" ht="15.75" spans="1:6">
      <c r="A27" s="51"/>
      <c r="B27" s="51"/>
      <c r="C27" s="51"/>
      <c r="D27" s="51"/>
      <c r="E27" s="51"/>
      <c r="F27" s="51"/>
    </row>
    <row r="28" ht="15.75" spans="1:6">
      <c r="A28" s="51"/>
      <c r="B28" s="51"/>
      <c r="C28" s="51"/>
      <c r="D28" s="51"/>
      <c r="E28" s="51"/>
      <c r="F28" s="51"/>
    </row>
    <row r="29" ht="15.75" spans="1:6">
      <c r="A29" s="51"/>
      <c r="B29" s="51"/>
      <c r="C29" s="51"/>
      <c r="D29" s="51"/>
      <c r="E29" s="51"/>
      <c r="F29" s="51"/>
    </row>
    <row r="30" ht="15.75" spans="1:6">
      <c r="A30" s="51"/>
      <c r="B30" s="51"/>
      <c r="C30" s="51"/>
      <c r="D30" s="51"/>
      <c r="E30" s="51"/>
      <c r="F30" s="51"/>
    </row>
    <row r="31" ht="15.75" spans="1:6">
      <c r="A31" s="51"/>
      <c r="B31" s="51"/>
      <c r="C31" s="51"/>
      <c r="D31" s="51"/>
      <c r="E31" s="51"/>
      <c r="F31" s="51"/>
    </row>
    <row r="32" ht="15.75" spans="1:6">
      <c r="A32" s="51"/>
      <c r="B32" s="51"/>
      <c r="C32" s="51"/>
      <c r="D32" s="51"/>
      <c r="E32" s="51"/>
      <c r="F32" s="51"/>
    </row>
    <row r="33" ht="15.75" spans="1:6">
      <c r="A33" s="51"/>
      <c r="B33" s="51"/>
      <c r="C33" s="51"/>
      <c r="D33" s="51"/>
      <c r="E33" s="51"/>
      <c r="F33" s="51"/>
    </row>
    <row r="34" ht="15.75" spans="1:6">
      <c r="A34" s="51"/>
      <c r="B34" s="51"/>
      <c r="C34" s="51"/>
      <c r="D34" s="51"/>
      <c r="E34" s="51"/>
      <c r="F34" s="51"/>
    </row>
    <row r="35" ht="15.75" spans="1:6">
      <c r="A35" s="51"/>
      <c r="B35" s="51"/>
      <c r="C35" s="51"/>
      <c r="D35" s="51"/>
      <c r="E35" s="51"/>
      <c r="F35" s="51"/>
    </row>
    <row r="36" ht="15.75" spans="1:6">
      <c r="A36" s="51"/>
      <c r="B36" s="51"/>
      <c r="C36" s="51"/>
      <c r="D36" s="51"/>
      <c r="E36" s="51"/>
      <c r="F36" s="51"/>
    </row>
    <row r="37" ht="15.75" spans="1:6">
      <c r="A37" s="51"/>
      <c r="B37" s="51"/>
      <c r="C37" s="51"/>
      <c r="D37" s="51"/>
      <c r="E37" s="51"/>
      <c r="F37" s="51"/>
    </row>
    <row r="38" ht="15.75" spans="1:6">
      <c r="A38" s="51"/>
      <c r="B38" s="51"/>
      <c r="C38" s="51"/>
      <c r="D38" s="51"/>
      <c r="E38" s="51"/>
      <c r="F38" s="51"/>
    </row>
    <row r="39" ht="15.75" spans="1:6">
      <c r="A39" s="51"/>
      <c r="B39" s="51"/>
      <c r="C39" s="51"/>
      <c r="D39" s="51"/>
      <c r="E39" s="51"/>
      <c r="F39" s="51"/>
    </row>
    <row r="40" ht="15.75" spans="1:6">
      <c r="A40" s="51"/>
      <c r="B40" s="51"/>
      <c r="C40" s="51"/>
      <c r="D40" s="51"/>
      <c r="E40" s="51"/>
      <c r="F40" s="51"/>
    </row>
    <row r="41" ht="15.75" spans="1:6">
      <c r="A41" s="51"/>
      <c r="B41" s="51"/>
      <c r="C41" s="51"/>
      <c r="D41" s="51"/>
      <c r="E41" s="51"/>
      <c r="F41" s="51"/>
    </row>
    <row r="42" ht="15.75" spans="1:6">
      <c r="A42" s="51"/>
      <c r="B42" s="51"/>
      <c r="C42" s="51"/>
      <c r="D42" s="51"/>
      <c r="E42" s="51"/>
      <c r="F42" s="51"/>
    </row>
    <row r="43" ht="15.75" spans="1:6">
      <c r="A43" s="51"/>
      <c r="B43" s="51"/>
      <c r="C43" s="51"/>
      <c r="D43" s="51"/>
      <c r="E43" s="51"/>
      <c r="F43" s="51"/>
    </row>
    <row r="44" ht="15.75" spans="1:6">
      <c r="A44" s="51"/>
      <c r="B44" s="51"/>
      <c r="C44" s="51"/>
      <c r="D44" s="51"/>
      <c r="E44" s="51"/>
      <c r="F44" s="51"/>
    </row>
    <row r="45" ht="15.75" spans="1:6">
      <c r="A45" s="51"/>
      <c r="B45" s="51"/>
      <c r="C45" s="51"/>
      <c r="D45" s="51"/>
      <c r="E45" s="51"/>
      <c r="F45" s="51"/>
    </row>
    <row r="46" ht="15.75" spans="1:6">
      <c r="A46" s="51"/>
      <c r="B46" s="51"/>
      <c r="C46" s="51"/>
      <c r="D46" s="51"/>
      <c r="E46" s="51"/>
      <c r="F46" s="51"/>
    </row>
    <row r="47" ht="15.75" spans="1:6">
      <c r="A47" s="51"/>
      <c r="B47" s="51"/>
      <c r="C47" s="51"/>
      <c r="D47" s="51"/>
      <c r="E47" s="51"/>
      <c r="F47" s="51"/>
    </row>
    <row r="48" ht="15.75" spans="1:6">
      <c r="A48" s="51"/>
      <c r="B48" s="51"/>
      <c r="C48" s="51"/>
      <c r="D48" s="51"/>
      <c r="E48" s="51"/>
      <c r="F48" s="51"/>
    </row>
    <row r="49" ht="15.75" spans="1:6">
      <c r="A49" s="51"/>
      <c r="B49" s="51"/>
      <c r="C49" s="51"/>
      <c r="D49" s="51"/>
      <c r="E49" s="51"/>
      <c r="F49" s="51"/>
    </row>
    <row r="50" ht="15.75" spans="1:6">
      <c r="A50" s="51"/>
      <c r="B50" s="51"/>
      <c r="C50" s="51"/>
      <c r="D50" s="51"/>
      <c r="E50" s="51"/>
      <c r="F50" s="51"/>
    </row>
    <row r="51" ht="15.75" spans="1:6">
      <c r="A51" s="51"/>
      <c r="B51" s="51"/>
      <c r="C51" s="51"/>
      <c r="D51" s="51"/>
      <c r="E51" s="51"/>
      <c r="F51" s="51"/>
    </row>
    <row r="52" ht="15.75" spans="1:6">
      <c r="A52" s="51"/>
      <c r="B52" s="51"/>
      <c r="C52" s="51"/>
      <c r="D52" s="51"/>
      <c r="E52" s="51"/>
      <c r="F52" s="51"/>
    </row>
    <row r="53" ht="15.75" spans="1:6">
      <c r="A53" s="51"/>
      <c r="B53" s="51"/>
      <c r="C53" s="51"/>
      <c r="D53" s="51"/>
      <c r="E53" s="51"/>
      <c r="F53" s="51"/>
    </row>
    <row r="54" ht="15.75" spans="1:6">
      <c r="A54" s="51"/>
      <c r="B54" s="51"/>
      <c r="C54" s="51"/>
      <c r="D54" s="51"/>
      <c r="E54" s="51"/>
      <c r="F54" s="51"/>
    </row>
    <row r="55" ht="15.75" spans="1:6">
      <c r="A55" s="51"/>
      <c r="B55" s="51"/>
      <c r="C55" s="51"/>
      <c r="D55" s="51"/>
      <c r="E55" s="51"/>
      <c r="F55" s="51"/>
    </row>
    <row r="56" ht="15.75" spans="1:6">
      <c r="A56" s="51"/>
      <c r="B56" s="51"/>
      <c r="C56" s="51"/>
      <c r="D56" s="51"/>
      <c r="E56" s="51"/>
      <c r="F56" s="51"/>
    </row>
    <row r="57" ht="15.75" spans="1:6">
      <c r="A57" s="51"/>
      <c r="B57" s="51"/>
      <c r="C57" s="51"/>
      <c r="D57" s="51"/>
      <c r="E57" s="51"/>
      <c r="F57" s="51"/>
    </row>
    <row r="58" ht="15.75" spans="1:6">
      <c r="A58" s="51"/>
      <c r="B58" s="51"/>
      <c r="C58" s="51"/>
      <c r="D58" s="51"/>
      <c r="E58" s="51"/>
      <c r="F58" s="51"/>
    </row>
    <row r="59" ht="15.75" spans="1:6">
      <c r="A59" s="51"/>
      <c r="B59" s="51"/>
      <c r="C59" s="51"/>
      <c r="D59" s="51"/>
      <c r="E59" s="51"/>
      <c r="F59" s="51"/>
    </row>
    <row r="60" ht="15.75" spans="1:6">
      <c r="A60" s="51"/>
      <c r="B60" s="51"/>
      <c r="C60" s="51"/>
      <c r="D60" s="51"/>
      <c r="E60" s="51"/>
      <c r="F60" s="51"/>
    </row>
    <row r="61" ht="15.75" spans="1:6">
      <c r="A61" s="51"/>
      <c r="B61" s="51"/>
      <c r="C61" s="51"/>
      <c r="D61" s="51"/>
      <c r="E61" s="51"/>
      <c r="F61" s="51"/>
    </row>
    <row r="62" ht="15.75" spans="1:6">
      <c r="A62" s="51"/>
      <c r="B62" s="51"/>
      <c r="C62" s="51"/>
      <c r="D62" s="51"/>
      <c r="E62" s="51"/>
      <c r="F62" s="51"/>
    </row>
  </sheetData>
  <mergeCells count="6">
    <mergeCell ref="A1:F1"/>
    <mergeCell ref="A2:C2"/>
    <mergeCell ref="D2:F2"/>
    <mergeCell ref="A3:B3"/>
    <mergeCell ref="C3:F3"/>
    <mergeCell ref="A23:E23"/>
  </mergeCells>
  <pageMargins left="0.75" right="0.75" top="1" bottom="1" header="0.5" footer="0.5"/>
  <pageSetup paperSize="1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opLeftCell="A14" workbookViewId="0">
      <selection activeCell="B32" sqref="B32"/>
    </sheetView>
  </sheetViews>
  <sheetFormatPr defaultColWidth="9.14285714285714" defaultRowHeight="15"/>
  <cols>
    <col min="1" max="1" width="9.57142857142857" style="36"/>
    <col min="2" max="3" width="9.14285714285714" style="36"/>
    <col min="4" max="4" width="29.4285714285714" style="36" customWidth="1"/>
    <col min="5" max="5" width="9.57142857142857" style="36" customWidth="1"/>
    <col min="6" max="6" width="12.8571428571429" style="36" customWidth="1"/>
  </cols>
  <sheetData>
    <row r="1" ht="31.5" spans="1:6">
      <c r="A1" s="40" t="s">
        <v>3519</v>
      </c>
      <c r="B1" s="41"/>
      <c r="C1" s="41"/>
      <c r="D1" s="41"/>
      <c r="E1" s="41"/>
      <c r="F1" s="42"/>
    </row>
    <row r="2" ht="31.5" spans="1:13">
      <c r="A2" s="43" t="s">
        <v>3520</v>
      </c>
      <c r="B2" s="44"/>
      <c r="C2" s="44"/>
      <c r="D2" s="45" t="s">
        <v>3521</v>
      </c>
      <c r="E2" s="46"/>
      <c r="F2" s="46"/>
      <c r="G2" s="47"/>
      <c r="H2" s="47"/>
      <c r="I2" s="57"/>
      <c r="J2" s="57"/>
      <c r="K2" s="57"/>
      <c r="L2" s="57"/>
      <c r="M2" s="57"/>
    </row>
    <row r="3" ht="26.25" spans="1:6">
      <c r="A3" s="48" t="s">
        <v>3522</v>
      </c>
      <c r="B3" s="44"/>
      <c r="C3" s="44"/>
      <c r="D3" s="44"/>
      <c r="E3" s="49" t="s">
        <v>3523</v>
      </c>
      <c r="F3" s="46"/>
    </row>
    <row r="4" ht="18.75" spans="1:6">
      <c r="A4" s="50" t="s">
        <v>3524</v>
      </c>
      <c r="B4" s="50" t="s">
        <v>3525</v>
      </c>
      <c r="C4" s="50" t="s">
        <v>3526</v>
      </c>
      <c r="D4" s="50" t="s">
        <v>3527</v>
      </c>
      <c r="E4" s="50" t="s">
        <v>3523</v>
      </c>
      <c r="F4" s="50" t="s">
        <v>3528</v>
      </c>
    </row>
    <row r="5" ht="15.75" spans="1:6">
      <c r="A5" s="51">
        <v>35350</v>
      </c>
      <c r="B5" s="51">
        <v>35350</v>
      </c>
      <c r="D5" s="51" t="s">
        <v>3529</v>
      </c>
      <c r="E5" s="51" t="s">
        <v>3530</v>
      </c>
      <c r="F5" s="51" t="s">
        <v>3531</v>
      </c>
    </row>
    <row r="6" ht="15.75" spans="1:6">
      <c r="A6" s="51">
        <f>A5+B6-C6</f>
        <v>40350</v>
      </c>
      <c r="B6" s="51">
        <v>5000</v>
      </c>
      <c r="C6" s="51"/>
      <c r="D6" s="51" t="s">
        <v>3532</v>
      </c>
      <c r="E6" s="51" t="s">
        <v>3533</v>
      </c>
      <c r="F6" s="51" t="s">
        <v>3531</v>
      </c>
    </row>
    <row r="7" ht="15.75" spans="1:6">
      <c r="A7" s="51">
        <f t="shared" ref="A7:A29" si="0">A6+B7-C7</f>
        <v>25350</v>
      </c>
      <c r="B7" s="51"/>
      <c r="C7" s="51">
        <v>15000</v>
      </c>
      <c r="D7" s="51" t="s">
        <v>3534</v>
      </c>
      <c r="E7" s="51" t="s">
        <v>3535</v>
      </c>
      <c r="F7" s="52">
        <v>44995</v>
      </c>
    </row>
    <row r="8" ht="15.75" spans="1:6">
      <c r="A8" s="51">
        <f t="shared" si="0"/>
        <v>30600</v>
      </c>
      <c r="B8" s="51">
        <v>5250</v>
      </c>
      <c r="C8" s="51"/>
      <c r="D8" s="51" t="s">
        <v>3536</v>
      </c>
      <c r="E8" s="51" t="s">
        <v>3537</v>
      </c>
      <c r="F8" s="51" t="s">
        <v>3538</v>
      </c>
    </row>
    <row r="9" ht="15.75" spans="1:6">
      <c r="A9" s="51">
        <f t="shared" si="0"/>
        <v>36100</v>
      </c>
      <c r="B9" s="51">
        <v>5500</v>
      </c>
      <c r="C9" s="51"/>
      <c r="D9" s="51" t="s">
        <v>3532</v>
      </c>
      <c r="E9" s="51" t="s">
        <v>3539</v>
      </c>
      <c r="F9" s="52">
        <v>44937</v>
      </c>
    </row>
    <row r="10" ht="15.75" spans="1:6">
      <c r="A10" s="51">
        <f t="shared" si="0"/>
        <v>42100</v>
      </c>
      <c r="B10" s="51">
        <v>6000</v>
      </c>
      <c r="C10" s="51"/>
      <c r="D10" s="53" t="s">
        <v>3540</v>
      </c>
      <c r="E10" s="51" t="s">
        <v>3541</v>
      </c>
      <c r="F10" s="51" t="s">
        <v>737</v>
      </c>
    </row>
    <row r="11" ht="15.75" spans="1:6">
      <c r="A11" s="51">
        <f t="shared" si="0"/>
        <v>43200</v>
      </c>
      <c r="B11" s="51">
        <v>1100</v>
      </c>
      <c r="C11" s="51"/>
      <c r="D11" s="51" t="s">
        <v>3542</v>
      </c>
      <c r="E11" s="51" t="s">
        <v>3543</v>
      </c>
      <c r="F11" s="51" t="s">
        <v>738</v>
      </c>
    </row>
    <row r="12" ht="15.75" spans="1:6">
      <c r="A12" s="51">
        <f t="shared" si="0"/>
        <v>45400</v>
      </c>
      <c r="B12" s="51">
        <v>2200</v>
      </c>
      <c r="C12" s="51"/>
      <c r="D12" s="51" t="s">
        <v>3544</v>
      </c>
      <c r="E12" s="51" t="s">
        <v>3545</v>
      </c>
      <c r="F12" s="51" t="s">
        <v>3546</v>
      </c>
    </row>
    <row r="13" ht="15.75" spans="1:6">
      <c r="A13" s="51">
        <f t="shared" si="0"/>
        <v>163000</v>
      </c>
      <c r="B13" s="51">
        <v>117600</v>
      </c>
      <c r="C13" s="51"/>
      <c r="D13" s="51" t="s">
        <v>3547</v>
      </c>
      <c r="E13" s="51"/>
      <c r="F13" s="51" t="s">
        <v>564</v>
      </c>
    </row>
    <row r="14" ht="15.75" spans="1:6">
      <c r="A14" s="51">
        <f t="shared" si="0"/>
        <v>217400</v>
      </c>
      <c r="B14" s="51">
        <v>54400</v>
      </c>
      <c r="C14" s="51"/>
      <c r="D14" s="51" t="s">
        <v>3529</v>
      </c>
      <c r="E14" s="51"/>
      <c r="F14" s="51" t="s">
        <v>564</v>
      </c>
    </row>
    <row r="15" ht="15.75" spans="1:6">
      <c r="A15" s="51">
        <f t="shared" si="0"/>
        <v>82400</v>
      </c>
      <c r="B15" s="51"/>
      <c r="C15" s="51">
        <v>135000</v>
      </c>
      <c r="D15" s="51" t="s">
        <v>3548</v>
      </c>
      <c r="E15" s="51"/>
      <c r="F15" s="51" t="s">
        <v>564</v>
      </c>
    </row>
    <row r="16" ht="15.75" spans="1:6">
      <c r="A16" s="51">
        <f t="shared" si="0"/>
        <v>42400</v>
      </c>
      <c r="B16" s="51"/>
      <c r="C16" s="51">
        <v>40000</v>
      </c>
      <c r="D16" s="51" t="s">
        <v>3548</v>
      </c>
      <c r="E16" s="51"/>
      <c r="F16" s="51" t="s">
        <v>746</v>
      </c>
    </row>
    <row r="17" ht="15.75" spans="1:6">
      <c r="A17" s="51">
        <f t="shared" si="0"/>
        <v>70440</v>
      </c>
      <c r="B17" s="51">
        <v>28040</v>
      </c>
      <c r="C17" s="51"/>
      <c r="D17" s="51" t="s">
        <v>3549</v>
      </c>
      <c r="E17" s="51" t="s">
        <v>3550</v>
      </c>
      <c r="F17" s="52">
        <v>45568</v>
      </c>
    </row>
    <row r="18" ht="15.75" spans="1:6">
      <c r="A18" s="51">
        <f t="shared" si="0"/>
        <v>70950</v>
      </c>
      <c r="B18" s="51">
        <v>510</v>
      </c>
      <c r="C18" s="51"/>
      <c r="D18" s="51"/>
      <c r="E18" s="51" t="s">
        <v>3551</v>
      </c>
      <c r="F18" s="51" t="s">
        <v>748</v>
      </c>
    </row>
    <row r="19" ht="15.75" spans="1:6">
      <c r="A19" s="51">
        <f t="shared" si="0"/>
        <v>68500</v>
      </c>
      <c r="B19" s="51"/>
      <c r="C19" s="51">
        <v>2450</v>
      </c>
      <c r="D19" s="51" t="s">
        <v>3552</v>
      </c>
      <c r="E19" s="51"/>
      <c r="F19" s="51" t="s">
        <v>751</v>
      </c>
    </row>
    <row r="20" ht="15.75" spans="1:6">
      <c r="A20" s="51">
        <f t="shared" si="0"/>
        <v>18500</v>
      </c>
      <c r="B20" s="51"/>
      <c r="C20" s="51">
        <v>50000</v>
      </c>
      <c r="D20" s="51" t="s">
        <v>3553</v>
      </c>
      <c r="E20" s="51"/>
      <c r="F20" s="51" t="s">
        <v>751</v>
      </c>
    </row>
    <row r="21" ht="15.75" spans="1:6">
      <c r="A21" s="51">
        <f t="shared" si="0"/>
        <v>60660</v>
      </c>
      <c r="B21" s="51">
        <v>42160</v>
      </c>
      <c r="C21" s="51"/>
      <c r="D21" s="51" t="s">
        <v>3554</v>
      </c>
      <c r="E21" s="51"/>
      <c r="F21" s="51" t="s">
        <v>751</v>
      </c>
    </row>
    <row r="22" ht="15.75" spans="1:6">
      <c r="A22" s="51">
        <f t="shared" si="0"/>
        <v>25660</v>
      </c>
      <c r="B22" s="51"/>
      <c r="C22" s="51">
        <v>35000</v>
      </c>
      <c r="D22" s="51" t="s">
        <v>3555</v>
      </c>
      <c r="E22" s="51"/>
      <c r="F22" s="51"/>
    </row>
    <row r="23" ht="15.75" spans="1:6">
      <c r="A23" s="51">
        <f t="shared" si="0"/>
        <v>5660</v>
      </c>
      <c r="B23" s="51"/>
      <c r="C23" s="51">
        <v>20000</v>
      </c>
      <c r="D23" s="51" t="s">
        <v>3553</v>
      </c>
      <c r="E23" s="51"/>
      <c r="F23" s="51" t="s">
        <v>3556</v>
      </c>
    </row>
    <row r="24" ht="15.75" spans="1:6">
      <c r="A24" s="51">
        <f t="shared" si="0"/>
        <v>45785</v>
      </c>
      <c r="B24" s="51">
        <v>40125</v>
      </c>
      <c r="C24" s="51"/>
      <c r="D24" s="51" t="s">
        <v>3557</v>
      </c>
      <c r="E24" s="51" t="s">
        <v>3558</v>
      </c>
      <c r="F24" s="51" t="s">
        <v>3559</v>
      </c>
    </row>
    <row r="25" ht="15.75" spans="1:6">
      <c r="A25" s="51">
        <f t="shared" si="0"/>
        <v>46160</v>
      </c>
      <c r="B25" s="51">
        <v>375</v>
      </c>
      <c r="C25" s="51"/>
      <c r="D25" s="51" t="s">
        <v>3560</v>
      </c>
      <c r="E25" s="51" t="s">
        <v>3561</v>
      </c>
      <c r="F25" s="52">
        <v>45839</v>
      </c>
    </row>
    <row r="26" ht="15.75" spans="1:6">
      <c r="A26" s="51">
        <f t="shared" si="0"/>
        <v>47660</v>
      </c>
      <c r="B26" s="51">
        <v>1500</v>
      </c>
      <c r="C26" s="51"/>
      <c r="D26" s="51" t="s">
        <v>3562</v>
      </c>
      <c r="E26" s="51" t="s">
        <v>763</v>
      </c>
      <c r="F26" s="51" t="s">
        <v>3563</v>
      </c>
    </row>
    <row r="27" ht="15.75" spans="1:6">
      <c r="A27" s="51">
        <f t="shared" ref="A27:A37" si="1">A26+B27-C27</f>
        <v>68090</v>
      </c>
      <c r="B27" s="51">
        <v>20430</v>
      </c>
      <c r="C27" s="51"/>
      <c r="D27" s="51" t="s">
        <v>3564</v>
      </c>
      <c r="E27" s="51" t="s">
        <v>3565</v>
      </c>
      <c r="F27" s="52">
        <v>45845</v>
      </c>
    </row>
    <row r="28" ht="15.75" spans="1:6">
      <c r="A28" s="51">
        <f t="shared" si="1"/>
        <v>70840</v>
      </c>
      <c r="B28" s="51">
        <v>2750</v>
      </c>
      <c r="C28" s="51"/>
      <c r="D28" s="51" t="s">
        <v>3566</v>
      </c>
      <c r="E28" s="51" t="s">
        <v>3567</v>
      </c>
      <c r="F28" s="52">
        <v>45816</v>
      </c>
    </row>
    <row r="29" ht="15.75" spans="1:6">
      <c r="A29" s="51">
        <f t="shared" si="1"/>
        <v>53840</v>
      </c>
      <c r="B29" s="51"/>
      <c r="C29" s="51">
        <v>17000</v>
      </c>
      <c r="D29" s="51" t="s">
        <v>3553</v>
      </c>
      <c r="E29" s="51" t="s">
        <v>3565</v>
      </c>
      <c r="F29" s="52">
        <v>45845</v>
      </c>
    </row>
    <row r="30" ht="15.75" spans="1:6">
      <c r="A30" s="51">
        <f t="shared" si="1"/>
        <v>38840</v>
      </c>
      <c r="B30" s="51"/>
      <c r="C30" s="51">
        <v>15000</v>
      </c>
      <c r="D30" s="51" t="s">
        <v>3568</v>
      </c>
      <c r="E30" s="51"/>
      <c r="F30" s="51"/>
    </row>
    <row r="31" ht="15.75" spans="1:6">
      <c r="A31" s="51">
        <f t="shared" si="1"/>
        <v>34840</v>
      </c>
      <c r="B31" s="51"/>
      <c r="C31" s="51">
        <v>4000</v>
      </c>
      <c r="D31" s="51" t="s">
        <v>3569</v>
      </c>
      <c r="E31" s="51"/>
      <c r="F31" s="51"/>
    </row>
    <row r="32" ht="15.75" spans="1:6">
      <c r="A32" s="51">
        <f t="shared" si="1"/>
        <v>30340</v>
      </c>
      <c r="B32" s="51"/>
      <c r="C32" s="51">
        <v>4500</v>
      </c>
      <c r="D32" s="51" t="s">
        <v>3569</v>
      </c>
      <c r="E32" s="51"/>
      <c r="F32" s="52">
        <v>46113</v>
      </c>
    </row>
    <row r="33" ht="15.75" spans="1:6">
      <c r="A33" s="51">
        <f t="shared" si="1"/>
        <v>30340</v>
      </c>
      <c r="B33" s="51"/>
      <c r="C33" s="51"/>
      <c r="D33" s="51"/>
      <c r="E33" s="51"/>
      <c r="F33" s="51"/>
    </row>
    <row r="34" ht="15.75" spans="1:6">
      <c r="A34" s="51">
        <f t="shared" si="1"/>
        <v>30340</v>
      </c>
      <c r="B34" s="51"/>
      <c r="C34" s="51"/>
      <c r="D34" s="51"/>
      <c r="E34" s="51"/>
      <c r="F34" s="51"/>
    </row>
    <row r="35" ht="15.75" spans="1:6">
      <c r="A35" s="51">
        <f t="shared" si="1"/>
        <v>30340</v>
      </c>
      <c r="B35" s="51"/>
      <c r="C35" s="51"/>
      <c r="D35" s="51"/>
      <c r="E35" s="51"/>
      <c r="F35" s="51"/>
    </row>
    <row r="36" ht="15.75" spans="1:6">
      <c r="A36" s="51">
        <f t="shared" si="1"/>
        <v>30340</v>
      </c>
      <c r="B36" s="51"/>
      <c r="C36" s="51"/>
      <c r="D36" s="51"/>
      <c r="E36" s="51"/>
      <c r="F36" s="51"/>
    </row>
    <row r="37" ht="15.75" spans="1:6">
      <c r="A37" s="51">
        <f t="shared" si="1"/>
        <v>30340</v>
      </c>
      <c r="B37" s="51"/>
      <c r="C37" s="51"/>
      <c r="D37" s="51"/>
      <c r="E37" s="51"/>
      <c r="F37" s="51"/>
    </row>
    <row r="38" ht="26.25" spans="1:6">
      <c r="A38" s="51">
        <v>34840</v>
      </c>
      <c r="B38" s="54" t="s">
        <v>3570</v>
      </c>
      <c r="C38" s="55"/>
      <c r="D38" s="55"/>
      <c r="E38" s="55"/>
      <c r="F38" s="56"/>
    </row>
    <row r="39" ht="15.75" spans="1:6">
      <c r="A39" s="51"/>
      <c r="B39" s="51"/>
      <c r="C39" s="51"/>
      <c r="D39" s="51"/>
      <c r="E39" s="51"/>
      <c r="F39" s="51"/>
    </row>
    <row r="40" ht="15.75" spans="1:6">
      <c r="A40" s="51"/>
      <c r="B40" s="51"/>
      <c r="C40" s="51"/>
      <c r="D40" s="51"/>
      <c r="E40" s="51"/>
      <c r="F40" s="51"/>
    </row>
  </sheetData>
  <mergeCells count="6">
    <mergeCell ref="A1:F1"/>
    <mergeCell ref="A2:C2"/>
    <mergeCell ref="D2:F2"/>
    <mergeCell ref="A3:D3"/>
    <mergeCell ref="E3:F3"/>
    <mergeCell ref="B38:F38"/>
  </mergeCells>
  <pageMargins left="0.75" right="0.75" top="1" bottom="1" header="0.5" footer="0.5"/>
  <pageSetup paperSize="9" orientation="portrait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14" workbookViewId="0">
      <selection activeCell="O26" sqref="O26"/>
    </sheetView>
  </sheetViews>
  <sheetFormatPr defaultColWidth="9.14285714285714" defaultRowHeight="15" outlineLevelCol="5"/>
  <sheetData>
    <row r="1" spans="1:6">
      <c r="A1" s="1" t="s">
        <v>81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ht="18.75" spans="1:6">
      <c r="A3" s="7" t="s">
        <v>82</v>
      </c>
      <c r="B3" s="8"/>
      <c r="C3" s="9"/>
      <c r="D3" s="10" t="s">
        <v>1256</v>
      </c>
      <c r="E3" s="11"/>
      <c r="F3" s="12"/>
    </row>
    <row r="4" ht="18.75" spans="1:6">
      <c r="A4" s="13" t="s">
        <v>84</v>
      </c>
      <c r="B4" s="13"/>
      <c r="C4" s="14" t="s">
        <v>1257</v>
      </c>
      <c r="D4" s="15"/>
      <c r="E4" s="15"/>
      <c r="F4" s="16"/>
    </row>
    <row r="5" ht="18.75" spans="1:6">
      <c r="A5" s="13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</row>
    <row r="6" ht="15.75" spans="1:6">
      <c r="A6" s="17" t="s">
        <v>1258</v>
      </c>
      <c r="B6" s="17" t="s">
        <v>1259</v>
      </c>
      <c r="C6" s="17" t="s">
        <v>1260</v>
      </c>
      <c r="D6" s="17"/>
      <c r="E6" s="17">
        <v>88500</v>
      </c>
      <c r="F6" s="17">
        <f>E6</f>
        <v>88500</v>
      </c>
    </row>
    <row r="7" ht="15.75" spans="1:6">
      <c r="A7" s="17"/>
      <c r="B7" s="17"/>
      <c r="C7" s="17" t="s">
        <v>1261</v>
      </c>
      <c r="D7" s="17"/>
      <c r="E7" s="17">
        <v>7500</v>
      </c>
      <c r="F7" s="17">
        <f t="shared" ref="F7:F12" si="0">F6-D7+E7</f>
        <v>96000</v>
      </c>
    </row>
    <row r="8" ht="15.75" spans="1:6">
      <c r="A8" s="17" t="s">
        <v>1262</v>
      </c>
      <c r="B8" s="17" t="s">
        <v>1263</v>
      </c>
      <c r="C8" s="17" t="s">
        <v>3571</v>
      </c>
      <c r="D8" s="17"/>
      <c r="E8" s="17">
        <v>4000</v>
      </c>
      <c r="F8" s="17">
        <f t="shared" si="0"/>
        <v>100000</v>
      </c>
    </row>
    <row r="9" ht="15.75" spans="1:6">
      <c r="A9" s="18">
        <v>45327</v>
      </c>
      <c r="B9" s="17" t="s">
        <v>1265</v>
      </c>
      <c r="C9" s="17" t="s">
        <v>3572</v>
      </c>
      <c r="D9" s="17"/>
      <c r="E9" s="17">
        <v>5000</v>
      </c>
      <c r="F9" s="17">
        <f t="shared" si="0"/>
        <v>105000</v>
      </c>
    </row>
    <row r="10" ht="15.75" spans="1:6">
      <c r="A10" s="18">
        <v>45631</v>
      </c>
      <c r="B10" s="19" t="s">
        <v>1267</v>
      </c>
      <c r="C10" s="17" t="s">
        <v>3572</v>
      </c>
      <c r="D10" s="17"/>
      <c r="E10" s="17">
        <v>900</v>
      </c>
      <c r="F10" s="17">
        <f t="shared" si="0"/>
        <v>105900</v>
      </c>
    </row>
    <row r="11" ht="15.75" spans="1:6">
      <c r="A11" s="18">
        <v>45297</v>
      </c>
      <c r="B11" s="20" t="s">
        <v>1269</v>
      </c>
      <c r="C11" s="17" t="s">
        <v>3572</v>
      </c>
      <c r="D11" s="17"/>
      <c r="E11" s="20">
        <v>4500</v>
      </c>
      <c r="F11" s="17">
        <f t="shared" si="0"/>
        <v>110400</v>
      </c>
    </row>
    <row r="12" ht="15.75" spans="1:6">
      <c r="A12" s="21">
        <v>45391</v>
      </c>
      <c r="B12" s="22" t="s">
        <v>1271</v>
      </c>
      <c r="C12" s="23" t="s">
        <v>1272</v>
      </c>
      <c r="D12" s="17"/>
      <c r="E12" s="17">
        <v>4000</v>
      </c>
      <c r="F12" s="17">
        <f t="shared" si="0"/>
        <v>114400</v>
      </c>
    </row>
    <row r="13" ht="15.75" spans="1:6">
      <c r="A13" s="24"/>
      <c r="B13" s="22"/>
      <c r="C13" s="25"/>
      <c r="D13" s="17"/>
      <c r="E13" s="17"/>
      <c r="F13" s="17"/>
    </row>
    <row r="14" ht="94.5" spans="1:6">
      <c r="A14" s="26" t="s">
        <v>1274</v>
      </c>
      <c r="B14" s="27" t="s">
        <v>1275</v>
      </c>
      <c r="C14" s="28" t="s">
        <v>1276</v>
      </c>
      <c r="D14" s="17"/>
      <c r="E14" s="29">
        <v>700</v>
      </c>
      <c r="F14" s="17">
        <f>F12-D14+E14</f>
        <v>115100</v>
      </c>
    </row>
    <row r="15" ht="15.75" spans="1:6">
      <c r="A15" s="30">
        <v>45637</v>
      </c>
      <c r="B15" s="27" t="s">
        <v>1277</v>
      </c>
      <c r="C15" s="31" t="s">
        <v>3573</v>
      </c>
      <c r="D15" s="17"/>
      <c r="E15" s="29">
        <v>9000</v>
      </c>
      <c r="F15" s="17">
        <f t="shared" ref="F15:F36" si="1">F14-D15+E15</f>
        <v>124100</v>
      </c>
    </row>
    <row r="16" ht="15.75" spans="1:6">
      <c r="A16" s="32" t="s">
        <v>1279</v>
      </c>
      <c r="B16" s="33" t="s">
        <v>1280</v>
      </c>
      <c r="C16" s="34" t="s">
        <v>3574</v>
      </c>
      <c r="D16" s="35"/>
      <c r="E16" s="20">
        <v>4500</v>
      </c>
      <c r="F16" s="17">
        <f t="shared" si="1"/>
        <v>128600</v>
      </c>
    </row>
    <row r="17" ht="15.75" spans="1:6">
      <c r="A17" s="29" t="s">
        <v>212</v>
      </c>
      <c r="B17" s="36" t="s">
        <v>1282</v>
      </c>
      <c r="C17" s="36" t="s">
        <v>3575</v>
      </c>
      <c r="D17" s="17"/>
      <c r="E17" s="17">
        <v>20500</v>
      </c>
      <c r="F17" s="17">
        <f t="shared" si="1"/>
        <v>149100</v>
      </c>
    </row>
    <row r="18" ht="15.75" spans="1:6">
      <c r="A18" s="29" t="s">
        <v>237</v>
      </c>
      <c r="B18" s="36" t="s">
        <v>1284</v>
      </c>
      <c r="C18" s="36" t="s">
        <v>1082</v>
      </c>
      <c r="D18" s="17"/>
      <c r="E18" s="17">
        <v>11000</v>
      </c>
      <c r="F18" s="17">
        <f t="shared" si="1"/>
        <v>160100</v>
      </c>
    </row>
    <row r="19" ht="15.75" spans="1:6">
      <c r="A19" s="30">
        <v>45689</v>
      </c>
      <c r="B19" s="36" t="s">
        <v>1286</v>
      </c>
      <c r="C19" s="36" t="s">
        <v>1287</v>
      </c>
      <c r="D19" s="17"/>
      <c r="E19" s="17">
        <v>800</v>
      </c>
      <c r="F19" s="17">
        <f t="shared" si="1"/>
        <v>160900</v>
      </c>
    </row>
    <row r="20" ht="15.75" spans="1:6">
      <c r="A20" s="30">
        <v>45778</v>
      </c>
      <c r="B20" s="36" t="s">
        <v>1288</v>
      </c>
      <c r="C20" s="36" t="s">
        <v>1082</v>
      </c>
      <c r="D20" s="17"/>
      <c r="E20" s="17">
        <v>14500</v>
      </c>
      <c r="F20" s="17">
        <f t="shared" si="1"/>
        <v>175400</v>
      </c>
    </row>
    <row r="21" ht="15.75" spans="1:6">
      <c r="A21" s="30">
        <v>45962</v>
      </c>
      <c r="B21" s="36" t="s">
        <v>1290</v>
      </c>
      <c r="C21" s="36" t="s">
        <v>1291</v>
      </c>
      <c r="D21" s="17"/>
      <c r="E21" s="17">
        <v>2400</v>
      </c>
      <c r="F21" s="17">
        <f t="shared" si="1"/>
        <v>177800</v>
      </c>
    </row>
    <row r="22" ht="75" spans="1:6">
      <c r="A22" s="37" t="s">
        <v>285</v>
      </c>
      <c r="B22" s="36" t="s">
        <v>1292</v>
      </c>
      <c r="C22" s="38" t="s">
        <v>1293</v>
      </c>
      <c r="D22" s="17"/>
      <c r="E22" s="17">
        <v>600</v>
      </c>
      <c r="F22" s="17">
        <f t="shared" si="1"/>
        <v>178400</v>
      </c>
    </row>
    <row r="23" ht="15.75" spans="1:6">
      <c r="A23" s="37" t="s">
        <v>322</v>
      </c>
      <c r="B23" s="36" t="s">
        <v>1294</v>
      </c>
      <c r="C23" s="36" t="s">
        <v>1295</v>
      </c>
      <c r="D23" s="17"/>
      <c r="E23" s="17">
        <v>3500</v>
      </c>
      <c r="F23" s="17">
        <f t="shared" si="1"/>
        <v>181900</v>
      </c>
    </row>
    <row r="24" ht="15.75" spans="1:6">
      <c r="A24" s="39">
        <v>45963</v>
      </c>
      <c r="B24" s="36" t="s">
        <v>1296</v>
      </c>
      <c r="C24" s="36" t="s">
        <v>1082</v>
      </c>
      <c r="D24" s="17"/>
      <c r="E24" s="17">
        <v>1800</v>
      </c>
      <c r="F24" s="17">
        <f t="shared" si="1"/>
        <v>183700</v>
      </c>
    </row>
    <row r="25" ht="15.75" spans="1:6">
      <c r="A25" s="39">
        <v>45781</v>
      </c>
      <c r="B25" s="36" t="s">
        <v>1298</v>
      </c>
      <c r="C25" s="36" t="s">
        <v>1299</v>
      </c>
      <c r="D25" s="17"/>
      <c r="E25" s="17">
        <v>5000</v>
      </c>
      <c r="F25" s="17">
        <f t="shared" si="1"/>
        <v>188700</v>
      </c>
    </row>
    <row r="26" ht="15.75" spans="1:6">
      <c r="A26" s="39" t="s">
        <v>403</v>
      </c>
      <c r="B26" s="36" t="s">
        <v>1300</v>
      </c>
      <c r="C26" s="36" t="s">
        <v>1301</v>
      </c>
      <c r="D26" s="17"/>
      <c r="E26" s="17">
        <v>5500</v>
      </c>
      <c r="F26" s="17">
        <f t="shared" si="1"/>
        <v>194200</v>
      </c>
    </row>
    <row r="27" ht="15.75" spans="1:6">
      <c r="A27" s="39"/>
      <c r="B27" s="36"/>
      <c r="C27" s="36"/>
      <c r="D27" s="17"/>
      <c r="E27" s="17"/>
      <c r="F27" s="17">
        <f t="shared" si="1"/>
        <v>194200</v>
      </c>
    </row>
    <row r="28" ht="15.75" spans="1:6">
      <c r="A28" s="39"/>
      <c r="B28" s="36"/>
      <c r="C28" s="36"/>
      <c r="D28" s="17"/>
      <c r="E28" s="17"/>
      <c r="F28" s="17">
        <f t="shared" si="1"/>
        <v>194200</v>
      </c>
    </row>
    <row r="29" ht="15.75" spans="1:6">
      <c r="A29" s="39"/>
      <c r="B29" s="36"/>
      <c r="C29" s="36"/>
      <c r="D29" s="17"/>
      <c r="E29" s="17"/>
      <c r="F29" s="17">
        <f t="shared" si="1"/>
        <v>194200</v>
      </c>
    </row>
    <row r="30" ht="15.75" spans="1:6">
      <c r="A30" s="39"/>
      <c r="B30" s="36"/>
      <c r="C30" s="36"/>
      <c r="D30" s="17"/>
      <c r="E30" s="17"/>
      <c r="F30" s="17">
        <f t="shared" si="1"/>
        <v>194200</v>
      </c>
    </row>
    <row r="31" ht="15.75" spans="1:6">
      <c r="A31" s="39"/>
      <c r="B31" s="36"/>
      <c r="C31" s="36"/>
      <c r="D31" s="17"/>
      <c r="E31" s="17"/>
      <c r="F31" s="17">
        <f t="shared" si="1"/>
        <v>194200</v>
      </c>
    </row>
    <row r="32" ht="15.75" spans="1:6">
      <c r="A32" s="39"/>
      <c r="B32" s="36"/>
      <c r="C32" s="36"/>
      <c r="D32" s="17"/>
      <c r="E32" s="17"/>
      <c r="F32" s="17">
        <f t="shared" si="1"/>
        <v>194200</v>
      </c>
    </row>
    <row r="33" ht="15.75" spans="1:6">
      <c r="A33" s="39"/>
      <c r="B33" s="36"/>
      <c r="C33" s="36"/>
      <c r="D33" s="17"/>
      <c r="E33" s="17"/>
      <c r="F33" s="17">
        <f t="shared" si="1"/>
        <v>194200</v>
      </c>
    </row>
    <row r="34" ht="15.75" spans="1:6">
      <c r="A34" s="39"/>
      <c r="B34" s="36"/>
      <c r="C34" s="36"/>
      <c r="D34" s="17"/>
      <c r="E34" s="17"/>
      <c r="F34" s="17">
        <f t="shared" si="1"/>
        <v>194200</v>
      </c>
    </row>
    <row r="35" ht="15.75" spans="1:6">
      <c r="A35" s="37"/>
      <c r="B35" s="36"/>
      <c r="C35" s="36"/>
      <c r="D35" s="17"/>
      <c r="E35" s="17"/>
      <c r="F35" s="17">
        <f t="shared" si="1"/>
        <v>194200</v>
      </c>
    </row>
    <row r="36" ht="18.75" spans="1:6">
      <c r="A36" s="7" t="s">
        <v>303</v>
      </c>
      <c r="B36" s="8"/>
      <c r="C36" s="8"/>
      <c r="D36" s="8"/>
      <c r="E36" s="9"/>
      <c r="F36" s="17">
        <f t="shared" si="1"/>
        <v>194200</v>
      </c>
    </row>
  </sheetData>
  <mergeCells count="6">
    <mergeCell ref="A3:C3"/>
    <mergeCell ref="D3:F3"/>
    <mergeCell ref="A4:B4"/>
    <mergeCell ref="C4:F4"/>
    <mergeCell ref="A36:E36"/>
    <mergeCell ref="A1:F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87</vt:i4>
      </vt:variant>
    </vt:vector>
  </HeadingPairs>
  <TitlesOfParts>
    <vt:vector size="87" baseType="lpstr">
      <vt:lpstr>Receivables list</vt:lpstr>
      <vt:lpstr>Aqua Refine </vt:lpstr>
      <vt:lpstr>Al Bayan Water </vt:lpstr>
      <vt:lpstr>Aqua Need</vt:lpstr>
      <vt:lpstr>Ab e Rose Water</vt:lpstr>
      <vt:lpstr>Aqua Musafi</vt:lpstr>
      <vt:lpstr>Al Javed Ice Factory</vt:lpstr>
      <vt:lpstr>Al Maida Water</vt:lpstr>
      <vt:lpstr>Ahmed N One water</vt:lpstr>
      <vt:lpstr>Al Shafi Water (Younas sb)</vt:lpstr>
      <vt:lpstr>Al Khidmat lodhran </vt:lpstr>
      <vt:lpstr>Al Khidmat Bwp</vt:lpstr>
      <vt:lpstr>Abshar Water</vt:lpstr>
      <vt:lpstr>Aqua Marine </vt:lpstr>
      <vt:lpstr>Ab e Hayat Plus</vt:lpstr>
      <vt:lpstr>Ajwah Water</vt:lpstr>
      <vt:lpstr>Aqsa Water</vt:lpstr>
      <vt:lpstr>Al Azam Water</vt:lpstr>
      <vt:lpstr>Aqua Santa</vt:lpstr>
      <vt:lpstr>Ahmed Ice Factory </vt:lpstr>
      <vt:lpstr>Aqua Shereen </vt:lpstr>
      <vt:lpstr>Alien Water( Bwp)</vt:lpstr>
      <vt:lpstr>Al Safina Water</vt:lpstr>
      <vt:lpstr>Alien Water( Lodhran)</vt:lpstr>
      <vt:lpstr>Al Nemat Water</vt:lpstr>
      <vt:lpstr>A.F Water</vt:lpstr>
      <vt:lpstr>Aswad Sb</vt:lpstr>
      <vt:lpstr>Ahsas Water </vt:lpstr>
      <vt:lpstr>Asia Homeyo Store</vt:lpstr>
      <vt:lpstr>Al Subhan Water</vt:lpstr>
      <vt:lpstr>Barcly Water</vt:lpstr>
      <vt:lpstr>Bling Water</vt:lpstr>
      <vt:lpstr>Bissimillah Senitary </vt:lpstr>
      <vt:lpstr>Berg Water New</vt:lpstr>
      <vt:lpstr>Berg Water</vt:lpstr>
      <vt:lpstr>Blue Ice </vt:lpstr>
      <vt:lpstr>Bwp Water</vt:lpstr>
      <vt:lpstr>BWMC</vt:lpstr>
      <vt:lpstr>Chand Agro</vt:lpstr>
      <vt:lpstr>Clean &amp; Clean</vt:lpstr>
      <vt:lpstr>Candy Water</vt:lpstr>
      <vt:lpstr>Crystal Water Bagouchi Pull</vt:lpstr>
      <vt:lpstr>Dar e Arqam </vt:lpstr>
      <vt:lpstr>1</vt:lpstr>
      <vt:lpstr>Ever Best</vt:lpstr>
      <vt:lpstr>Qari ajmal Sb</vt:lpstr>
      <vt:lpstr>2</vt:lpstr>
      <vt:lpstr>Haji Yousaf Sb</vt:lpstr>
      <vt:lpstr>Honey Water Dr Jameel</vt:lpstr>
      <vt:lpstr>Hunza Water </vt:lpstr>
      <vt:lpstr>Hayat Royal Water</vt:lpstr>
      <vt:lpstr>Ice Mountain </vt:lpstr>
      <vt:lpstr>Just Pure</vt:lpstr>
      <vt:lpstr>J Smart </vt:lpstr>
      <vt:lpstr>Kashif Askari Bank</vt:lpstr>
      <vt:lpstr>Moen Sb</vt:lpstr>
      <vt:lpstr>Mateen Sb</vt:lpstr>
      <vt:lpstr>Nero Water</vt:lpstr>
      <vt:lpstr>Nonari</vt:lpstr>
      <vt:lpstr>National Water</vt:lpstr>
      <vt:lpstr>Nayab Water</vt:lpstr>
      <vt:lpstr>Rohi Water</vt:lpstr>
      <vt:lpstr> Shafi Water (Adnan sb)</vt:lpstr>
      <vt:lpstr>Sheikh Usman Sb</vt:lpstr>
      <vt:lpstr>TMA Ali Sb</vt:lpstr>
      <vt:lpstr>Umer Awan Sb</vt:lpstr>
      <vt:lpstr>Urban Water</vt:lpstr>
      <vt:lpstr>Waleed Sb BVH</vt:lpstr>
      <vt:lpstr>Yasir Sb</vt:lpstr>
      <vt:lpstr>ZYNG </vt:lpstr>
      <vt:lpstr>Zain Water</vt:lpstr>
      <vt:lpstr>Basharat Sb</vt:lpstr>
      <vt:lpstr>Yes Water</vt:lpstr>
      <vt:lpstr>Misclenous Customer List</vt:lpstr>
      <vt:lpstr>MD Foods</vt:lpstr>
      <vt:lpstr>Gysing Pak Water</vt:lpstr>
      <vt:lpstr>Usman Zubair.</vt:lpstr>
      <vt:lpstr>Dr.Jameel Sab</vt:lpstr>
      <vt:lpstr>HB Water.</vt:lpstr>
      <vt:lpstr>Sheet1</vt:lpstr>
      <vt:lpstr>Saboor sb Opal Water</vt:lpstr>
      <vt:lpstr>Star Light</vt:lpstr>
      <vt:lpstr>New SalSabeel BWP</vt:lpstr>
      <vt:lpstr>Qazi Irfan</vt:lpstr>
      <vt:lpstr>Harpal pure</vt:lpstr>
      <vt:lpstr>Al azam</vt:lpstr>
      <vt:lpstr>just pure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Hassan farooq azad</cp:lastModifiedBy>
  <dcterms:created xsi:type="dcterms:W3CDTF">2021-06-29T11:32:00Z</dcterms:created>
  <cp:lastPrinted>2025-11-06T09:16:00Z</cp:lastPrinted>
  <dcterms:modified xsi:type="dcterms:W3CDTF">2026-02-19T10:24:45Z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B17F13D72D574321A77D41A7C65A7794_13</vt:lpwstr>
  </property>
  <property fmtid="{D5CDD505-2E9C-101B-9397-08002B2CF9AE}" pid="3" name="KSOProductBuildVer">
    <vt:lpwstr>1033-12.2.0.23196</vt:lpwstr>
  </property>
</Properties>
</file>